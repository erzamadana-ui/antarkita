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ks Uji" sheetId="1" state="visible" r:id="rId3"/>
    <sheet name="Ringkasan" sheetId="2" state="visible" r:id="rId4"/>
    <sheet name="E2E wajib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<sst xmlns="http://schemas.openxmlformats.org/spreadsheetml/2006/main" count="619" uniqueCount="426">
  <si>
    <t xml:space="preserve">Matriks Uji AntarKita — Standar Testing Listing Nasional v1.0 · 2026-09-12</t>
  </si>
  <si>
    <t xml:space="preserve">Release candidate: commit 30e3ced + perbaikan QC (0083/0084) · AAB v3.0.0 build 104 (aab-4) → build 105 setelah push</t>
  </si>
  <si>
    <t xml:space="preserve">Pelaksana: Claude (QA Lead independen, atas kuasa Erza) · Lingkungan: basis data produksi (setiap uji di-ROLLBACK), web live, Edge Functions</t>
  </si>
  <si>
    <t xml:space="preserve">ID</t>
  </si>
  <si>
    <t xml:space="preserve">Bagian standar</t>
  </si>
  <si>
    <t xml:space="preserve">Skenario</t>
  </si>
  <si>
    <t xml:space="preserve">Prasyarat</t>
  </si>
  <si>
    <t xml:space="preserve">Data uji</t>
  </si>
  <si>
    <t xml:space="preserve">Langkah</t>
  </si>
  <si>
    <t xml:space="preserve">Expected</t>
  </si>
  <si>
    <t xml:space="preserve">Actual</t>
  </si>
  <si>
    <t xml:space="preserve">Severity</t>
  </si>
  <si>
    <t xml:space="preserve">Bukti</t>
  </si>
  <si>
    <t xml:space="preserve">Status</t>
  </si>
  <si>
    <t xml:space="preserve">PIC / target</t>
  </si>
  <si>
    <t xml:space="preserve">AUTH-01</t>
  </si>
  <si>
    <t xml:space="preserve">6.1 / E2E-09</t>
  </si>
  <si>
    <t xml:space="preserve">Pengguna A tidak bisa membaca dompet/order pengguna B (IDOR)</t>
  </si>
  <si>
    <t xml:space="preserve">Akun uji customer</t>
  </si>
  <si>
    <t xml:space="preserve">2 akun uji</t>
  </si>
  <si>
    <t xml:space="preserve">Sesi RLS sebagai customer → select wallets/orders milik orang lain</t>
  </si>
  <si>
    <t xml:space="preserve">0 baris</t>
  </si>
  <si>
    <t xml:space="preserve">-</t>
  </si>
  <si>
    <t xml:space="preserve">bukti/uji_keamanan.log</t>
  </si>
  <si>
    <t xml:space="preserve">PASS</t>
  </si>
  <si>
    <t xml:space="preserve">AUTH-02</t>
  </si>
  <si>
    <t xml:space="preserve">6.1</t>
  </si>
  <si>
    <t xml:space="preserve">Eskalasi hak: customer mengubah role sendiri jadi admin</t>
  </si>
  <si>
    <t xml:space="preserve">update profiles.role</t>
  </si>
  <si>
    <t xml:space="preserve">Jalankan update sebagai customer</t>
  </si>
  <si>
    <t xml:space="preserve">Diblokir trigger</t>
  </si>
  <si>
    <t xml:space="preserve">Diblokir</t>
  </si>
  <si>
    <t xml:space="preserve">AUTH-03</t>
  </si>
  <si>
    <t xml:space="preserve">Fungsi admin dipanggil non-admin / anon</t>
  </si>
  <si>
    <t xml:space="preserve">admin_adjust_wallet, admin_map_status, admin_turn_status, admin_set_city_status…</t>
  </si>
  <si>
    <t xml:space="preserve">Panggil RPC sebagai customer &amp; anon</t>
  </si>
  <si>
    <t xml:space="preserve">Ditolak 'Hanya admin'; anon tanpa hak EXECUTE</t>
  </si>
  <si>
    <t xml:space="preserve">Ditolak</t>
  </si>
  <si>
    <t xml:space="preserve">bukti/uji_keamanan.log, uji_kota.log 6a–6f, uji_turn.log 2a–3c</t>
  </si>
  <si>
    <t xml:space="preserve">AUTH-04</t>
  </si>
  <si>
    <t xml:space="preserve">Hapus akun → e-mail bebas dipakai daftar ulang, sesi lama mati</t>
  </si>
  <si>
    <t xml:space="preserve">Akun uji</t>
  </si>
  <si>
    <t xml:space="preserve">S35</t>
  </si>
  <si>
    <t xml:space="preserve">admin_delete_partner('user') lalu daftar ulang e-mail sama</t>
  </si>
  <si>
    <t xml:space="preserve">Tombstone auth.users+identities; daftar ulang berhasil</t>
  </si>
  <si>
    <t xml:space="preserve">Sesuai (S35a–e)</t>
  </si>
  <si>
    <t xml:space="preserve">bukti/simulasi_e2e.log</t>
  </si>
  <si>
    <t xml:space="preserve">AUTH-05</t>
  </si>
  <si>
    <t xml:space="preserve">Lupa/reset kata sandi lewat e-mail, tautan kedaluwarsa</t>
  </si>
  <si>
    <t xml:space="preserve">Supabase Auth e-mail</t>
  </si>
  <si>
    <t xml:space="preserve">Alur forgot → kode → reset</t>
  </si>
  <si>
    <t xml:space="preserve">Berhasil; kode salah/kedaluwarsa ditolak</t>
  </si>
  <si>
    <t xml:space="preserve">Bukti sesi 6 Sep (19 pemeriksaan) — TIDAK diulang pada RC ini</t>
  </si>
  <si>
    <t xml:space="preserve">docs/LUPA-KATA-SANDI.md</t>
  </si>
  <si>
    <t xml:space="preserve">BLOCKED</t>
  </si>
  <si>
    <t xml:space="preserve">QA: ulang pada RC final</t>
  </si>
  <si>
    <t xml:space="preserve">AUTH-06</t>
  </si>
  <si>
    <t xml:space="preserve">6.1 / 6.7</t>
  </si>
  <si>
    <t xml:space="preserve">Proteksi kata sandi bocor (HIBP) &amp; pembatasan percobaan login</t>
  </si>
  <si>
    <t xml:space="preserve">Dashboard Supabase</t>
  </si>
  <si>
    <t xml:space="preserve">Cek Auth → Attack Protection</t>
  </si>
  <si>
    <t xml:space="preserve">Leaked Password Protection ON</t>
  </si>
  <si>
    <t xml:space="preserve">Advisor Supabase: auth_leaked_password_protection = WARN (OFF)</t>
  </si>
  <si>
    <t xml:space="preserve">Medium</t>
  </si>
  <si>
    <t xml:space="preserve">get_advisors security 12 Sep</t>
  </si>
  <si>
    <t xml:space="preserve">FAIL</t>
  </si>
  <si>
    <t xml:space="preserve">Erza (login dashboard) — sebelum closed beta</t>
  </si>
  <si>
    <t xml:space="preserve">ORD-01</t>
  </si>
  <si>
    <t xml:space="preserve">6.2 / E2E-01</t>
  </si>
  <si>
    <t xml:space="preserve">Golden path pesanan: searching → accepted → arrived → in_progress → completed, PIN serah-terima</t>
  </si>
  <si>
    <t xml:space="preserve">Akun uji customer+driver, saldo</t>
  </si>
  <si>
    <t xml:space="preserve">ride_motor Rp9.000 dompet</t>
  </si>
  <si>
    <t xml:space="preserve">S1 + S38a</t>
  </si>
  <si>
    <t xml:space="preserve">Status berurutan; PIN benar; dompet: pelanggan −total, driver +bagian</t>
  </si>
  <si>
    <t xml:space="preserve">Sesuai</t>
  </si>
  <si>
    <t xml:space="preserve">bukti/simulasi_e2e.log S1, S38</t>
  </si>
  <si>
    <t xml:space="preserve">ORD-02</t>
  </si>
  <si>
    <t xml:space="preserve">6.2</t>
  </si>
  <si>
    <t xml:space="preserve">Satu order tidak dapat diterima dua mitra (balapan)</t>
  </si>
  <si>
    <t xml:space="preserve">2 driver uji</t>
  </si>
  <si>
    <t xml:space="preserve">S48a</t>
  </si>
  <si>
    <t xml:space="preserve">Dua driver_accept_order berturutan</t>
  </si>
  <si>
    <t xml:space="preserve">Satu pemenang, satu ditolak, event accepted=1</t>
  </si>
  <si>
    <t xml:space="preserve">bukti/simulasi_e2e.log S48a–b</t>
  </si>
  <si>
    <t xml:space="preserve">ORD-03</t>
  </si>
  <si>
    <t xml:space="preserve">6.2 / E2E-07</t>
  </si>
  <si>
    <t xml:space="preserve">Ketuk ganda / koneksi putus saat submit → tidak ada order &amp; tagihan ganda</t>
  </si>
  <si>
    <t xml:space="preserve">create_order 2× identik; 2× dengan client_request_id sama</t>
  </si>
  <si>
    <t xml:space="preserve">Panggil create_order dua kali</t>
  </si>
  <si>
    <t xml:space="preserve">1 order, 1 potongan dompet</t>
  </si>
  <si>
    <t xml:space="preserve">SEBELUM: 2 order + 2 potongan (S48c). SESUDAH migrasi 0083 + orders.ts: 1 order, 1 potongan</t>
  </si>
  <si>
    <t xml:space="preserve">High (diperbaiki)</t>
  </si>
  <si>
    <t xml:space="preserve">bukti/uji_idempotensi.log; scripts/test-order-request.mjs 7/7</t>
  </si>
  <si>
    <t xml:space="preserve">PASS (setelah perbaikan)</t>
  </si>
  <si>
    <t xml:space="preserve">Build 105 memuat kunci klien; server sudah aktif</t>
  </si>
  <si>
    <t xml:space="preserve">ORD-04</t>
  </si>
  <si>
    <t xml:space="preserve">6.2 / E2E-06</t>
  </si>
  <si>
    <t xml:space="preserve">Tidak ada mitra / mitra menolak / kelas kendaraan tidak tersedia</t>
  </si>
  <si>
    <t xml:space="preserve">Driver uji</t>
  </si>
  <si>
    <t xml:space="preserve">S17, S23, S24</t>
  </si>
  <si>
    <t xml:space="preserve">Tolak order; tunggu masa tahan; prioritas rating</t>
  </si>
  <si>
    <t xml:space="preserve">Order hilang dari feed penolak; fallback kelas; prioritas rating; masa tahan AntarNow</t>
  </si>
  <si>
    <t xml:space="preserve">bukti/simulasi_e2e.log S17, S22–S24, S34</t>
  </si>
  <si>
    <t xml:space="preserve">ORD-05</t>
  </si>
  <si>
    <t xml:space="preserve">6.2 / E2E-05</t>
  </si>
  <si>
    <t xml:space="preserve">Pembatalan pada tiap status yang diizinkan, konsekuensi biaya/refund</t>
  </si>
  <si>
    <t xml:space="preserve">S44a–g, S50c, S50e, S51e</t>
  </si>
  <si>
    <t xml:space="preserve">Batalkan di SEARCHING/ACCEPTED/ARRIVED/IN_PROGRESS/scheduled; merchant menolak</t>
  </si>
  <si>
    <t xml:space="preserve">Refund utuh kecuali kebijakan (carter &lt;12 jam potong 30%); IN_PROGRESS tidak bisa dibatalkan sendiri</t>
  </si>
  <si>
    <t xml:space="preserve">bukti/simulasi_e2e.log S44, S45, S50, S51</t>
  </si>
  <si>
    <t xml:space="preserve">ORD-06</t>
  </si>
  <si>
    <t xml:space="preserve">6.2 / E2E-08</t>
  </si>
  <si>
    <t xml:space="preserve">Intervensi admin: batal/refund dengan alasan, pelaku, jejak audit, PIN</t>
  </si>
  <si>
    <t xml:space="preserve">Akun admin uji</t>
  </si>
  <si>
    <t xml:space="preserve">S45, S27</t>
  </si>
  <si>
    <t xml:space="preserve">Admin batalkan IN_PROGRESS; hapus mitra tanpa PIN/alasan</t>
  </si>
  <si>
    <t xml:space="preserve">cancelled_by=admin, refund utuh; tanpa PIN/alasan ditolak; security_events bertambah</t>
  </si>
  <si>
    <t xml:space="preserve">bukti/simulasi_e2e.log S27, S45</t>
  </si>
  <si>
    <t xml:space="preserve">ORD-07</t>
  </si>
  <si>
    <t xml:space="preserve">Mitra tidak bisa menyelesaikan/mengambil order di luar assignment</t>
  </si>
  <si>
    <t xml:space="preserve">S23c, S48</t>
  </si>
  <si>
    <t xml:space="preserve">Tolak/terima order yang sudah dimiliki driver lain</t>
  </si>
  <si>
    <t xml:space="preserve">bukti/simulasi_e2e.log S23c, S48a</t>
  </si>
  <si>
    <t xml:space="preserve">PAY-01</t>
  </si>
  <si>
    <t xml:space="preserve">6.3</t>
  </si>
  <si>
    <t xml:space="preserve">Quote harga dapat dilacak: jarak, tarif, biaya jasa, promo, total; bagian driver/merchant/platform</t>
  </si>
  <si>
    <t xml:space="preserve">S29d admin_order_split</t>
  </si>
  <si>
    <t xml:space="preserve">Bandingkan split order vs laporan</t>
  </si>
  <si>
    <t xml:space="preserve">Identitas revenue−promo−gateway=net; cogs=driver+merchant+gateway+promo</t>
  </si>
  <si>
    <t xml:space="preserve">Sesuai (0 pelanggaran)</t>
  </si>
  <si>
    <t xml:space="preserve">bukti/simulasi_e2e.log S29, S30</t>
  </si>
  <si>
    <t xml:space="preserve">PAY-02</t>
  </si>
  <si>
    <t xml:space="preserve">Klien tidak bisa memanipulasi nominal: server menghitung ulang dari route_km; tagihan = yang ditampilkan</t>
  </si>
  <si>
    <t xml:space="preserve">tests/peta/uji-ongkos.mjs</t>
  </si>
  <si>
    <t xml:space="preserve">Pratinjau vs finalizeRoute untuk 7 layanan</t>
  </si>
  <si>
    <t xml:space="preserve">route_km dikirim = jarak pratinjau dasar harga</t>
  </si>
  <si>
    <t xml:space="preserve">Sesuai 7/7 layanan</t>
  </si>
  <si>
    <t xml:space="preserve">tests/peta/uji-ongkos.mjs (12 Sep)</t>
  </si>
  <si>
    <t xml:space="preserve">PAY-03</t>
  </si>
  <si>
    <t xml:space="preserve">6.3 / E2E-03</t>
  </si>
  <si>
    <t xml:space="preserve">Webhook settlement dikirim 2×, status expire, external_id tak dikenal</t>
  </si>
  <si>
    <t xml:space="preserve">Payment uji</t>
  </si>
  <si>
    <t xml:space="preserve">S46c–e</t>
  </si>
  <si>
    <t xml:space="preserve">payment_settle 2× ref sama</t>
  </si>
  <si>
    <t xml:space="preserve">Kredit sekali; expire Δ0; tak dikenal ditolak</t>
  </si>
  <si>
    <t xml:space="preserve">Sesuai (kredit ke-2 = 0, 1 baris mutasi)</t>
  </si>
  <si>
    <t xml:space="preserve">bukti/simulasi_e2e.log S46</t>
  </si>
  <si>
    <t xml:space="preserve">PAY-04</t>
  </si>
  <si>
    <t xml:space="preserve">Webhook Midtrans dengan signature palsu / payload kosong</t>
  </si>
  <si>
    <t xml:space="preserve">Edge Function midtrans-webhook (verify_jwt=false)</t>
  </si>
  <si>
    <t xml:space="preserve">signature_key='deadbeef'</t>
  </si>
  <si>
    <t xml:space="preserve">POST langsung dari browser</t>
  </si>
  <si>
    <t xml:space="preserve">Ditolak, tidak menyentuh saldo</t>
  </si>
  <si>
    <t xml:space="preserve">400 'Server key belum diatur' (gagal-tertutup)</t>
  </si>
  <si>
    <t xml:space="preserve">uji langsung 12 Sep (Chrome)</t>
  </si>
  <si>
    <t xml:space="preserve">Ulangi dengan kunci sandbox terpasang</t>
  </si>
  <si>
    <t xml:space="preserve">PAY-05</t>
  </si>
  <si>
    <t xml:space="preserve">Snap sandbox: sukses, gagal, pending, kedaluwarsa, dibayar terlambat</t>
  </si>
  <si>
    <t xml:space="preserve">Kunci Midtrans sandbox di gateway_secrets + Notification URL</t>
  </si>
  <si>
    <t xml:space="preserve">Top up dari aplikasi → bayar di Snap sandbox</t>
  </si>
  <si>
    <t xml:space="preserve">Saldo bertambah otomatis via webhook; kasus gagal tidak menambah saldo</t>
  </si>
  <si>
    <t xml:space="preserve">gateway_secrets kosong — belum bisa diuji</t>
  </si>
  <si>
    <t xml:space="preserve">Erza: login dashboard Midtrans (sandbox + production)</t>
  </si>
  <si>
    <t xml:space="preserve">PAY-06</t>
  </si>
  <si>
    <t xml:space="preserve">Refund/penyesuaian saldo manual admin, top up manual ditolak</t>
  </si>
  <si>
    <t xml:space="preserve">Admin uji</t>
  </si>
  <si>
    <t xml:space="preserve">S45c, S46a–b</t>
  </si>
  <si>
    <t xml:space="preserve">Adjust +25.000; tolak top up; setujui ulang</t>
  </si>
  <si>
    <t xml:space="preserve">Mutasi adjustment 1 baris; ditolak Δ0; persetujuan ulang ditolak</t>
  </si>
  <si>
    <t xml:space="preserve">bukti/simulasi_e2e.log S45c, S46a–b</t>
  </si>
  <si>
    <t xml:space="preserve">PAY-07</t>
  </si>
  <si>
    <t xml:space="preserve">6.3 (rekonsiliasi)</t>
  </si>
  <si>
    <t xml:space="preserve">Invarian buku besar: saldo = Σ mutasi; 0 order selesai tanpa pembagian; 0 dompet minus non-driver; platform tidak membayar &gt; diskon</t>
  </si>
  <si>
    <t xml:space="preserve">Seluruh data simulasi</t>
  </si>
  <si>
    <t xml:space="preserve">S53a–e</t>
  </si>
  <si>
    <t xml:space="preserve">Hitung invarian di akhir simulasi</t>
  </si>
  <si>
    <t xml:space="preserve">0 pelanggaran</t>
  </si>
  <si>
    <t xml:space="preserve">0 pelanggaran (5/5)</t>
  </si>
  <si>
    <t xml:space="preserve">bukti/simulasi_e2e.log S53</t>
  </si>
  <si>
    <t xml:space="preserve">PAY-08</t>
  </si>
  <si>
    <t xml:space="preserve">Tidak ada kunci gateway/API di repo, log, aplikasi</t>
  </si>
  <si>
    <t xml:space="preserve">Repo</t>
  </si>
  <si>
    <t xml:space="preserve">git grep pola kunci</t>
  </si>
  <si>
    <t xml:space="preserve">Pindai repo (kecuali lockfile)</t>
  </si>
  <si>
    <t xml:space="preserve">0 temuan</t>
  </si>
  <si>
    <t xml:space="preserve">0 temuan (hanya placeholder dokumentasi)</t>
  </si>
  <si>
    <t xml:space="preserve">git grep 12 Sep</t>
  </si>
  <si>
    <t xml:space="preserve">PAY-09</t>
  </si>
  <si>
    <t xml:space="preserve">Penarikan: minimum, negatif, melebihi saldo, ganda, ditolak admin, otomatis vs manual saat flag fraud</t>
  </si>
  <si>
    <t xml:space="preserve">S12, S47</t>
  </si>
  <si>
    <t xml:space="preserve">7 skenario penarikan</t>
  </si>
  <si>
    <t xml:space="preserve">Semua ditolak/diterima sesuai aturan; saldo tak pernah minus</t>
  </si>
  <si>
    <t xml:space="preserve">bukti/simulasi_e2e.log S12, S47</t>
  </si>
  <si>
    <t xml:space="preserve">PAY-10</t>
  </si>
  <si>
    <t xml:space="preserve">6.3 / hukum</t>
  </si>
  <si>
    <t xml:space="preserve">Komisi roda dua ≤ 8% (Perpres 27/2026) dijaga server</t>
  </si>
  <si>
    <t xml:space="preserve">Pricing</t>
  </si>
  <si>
    <t xml:space="preserve">S37</t>
  </si>
  <si>
    <t xml:space="preserve">Set komisi 9%</t>
  </si>
  <si>
    <t xml:space="preserve">Ditolak pengawal</t>
  </si>
  <si>
    <t xml:space="preserve">Ditolak; 7% diterima; non-roda-dua tak terpengaruh</t>
  </si>
  <si>
    <t xml:space="preserve">bukti/simulasi_e2e.log S37</t>
  </si>
  <si>
    <t xml:space="preserve">Food/send: menunggu opini hukum</t>
  </si>
  <si>
    <t xml:space="preserve">PAY-11</t>
  </si>
  <si>
    <t xml:space="preserve">Order tunai: potongan platform dari dompet driver, deposit minus dibatasi −500.000</t>
  </si>
  <si>
    <t xml:space="preserve">S39–S42, S52</t>
  </si>
  <si>
    <t xml:space="preserve">Order tunai 5 layanan + driver saldo rendah</t>
  </si>
  <si>
    <t xml:space="preserve">Sisa di tangan driver = pendapatan; di bawah ambang ditolak menerima order</t>
  </si>
  <si>
    <t xml:space="preserve">bukti/simulasi_e2e.log S39–S42, S52</t>
  </si>
  <si>
    <t xml:space="preserve">LOC-01</t>
  </si>
  <si>
    <t xml:space="preserve">6.4</t>
  </si>
  <si>
    <t xml:space="preserve">Gerbang kota di SERVER (bukan hanya UI): kota belum dilayani / di luar radius ditolak dengan alasan</t>
  </si>
  <si>
    <t xml:space="preserve">Data kota</t>
  </si>
  <si>
    <t xml:space="preserve">uji_kota.sql + Playwright</t>
  </si>
  <si>
    <t xml:space="preserve">Pesan dari Medan; titik 961 km; lewati UI panggil RPC</t>
  </si>
  <si>
    <t xml:space="preserve">Ditolak dengan pesan Bahasa Indonesia; UI konsisten</t>
  </si>
  <si>
    <t xml:space="preserve">29 lulus (Playwright) + 12/12 blok SQL</t>
  </si>
  <si>
    <t xml:space="preserve">bukti/uji_kota.log; tests/kota/uji-kota.mjs</t>
  </si>
  <si>
    <t xml:space="preserve">LOC-02</t>
  </si>
  <si>
    <t xml:space="preserve">Batas jarak per layanan &amp; antar kota</t>
  </si>
  <si>
    <t xml:space="preserve">S18a–g</t>
  </si>
  <si>
    <t xml:space="preserve">Motor 262 km; food 20 km; send antar kota</t>
  </si>
  <si>
    <t xml:space="preserve">Ditolak dengan pesan yang mengarahkan ke layanan lain</t>
  </si>
  <si>
    <t xml:space="preserve">bukti/simulasi_e2e.log S18</t>
  </si>
  <si>
    <t xml:space="preserve">LOC-03</t>
  </si>
  <si>
    <t xml:space="preserve">6.4 / 6.7</t>
  </si>
  <si>
    <t xml:space="preserve">Kunci peta: rahasia tidak pernah keluar ke klien; kunci publik disisipkan server; Stadia aktif</t>
  </si>
  <si>
    <t xml:space="preserve">map_secrets</t>
  </si>
  <si>
    <t xml:space="preserve">uji_peta.sql; uji langsung Stadia</t>
  </si>
  <si>
    <t xml:space="preserve">map_public_config() sebagai anon; fetch ubin/geocode/rute</t>
  </si>
  <si>
    <t xml:space="preserve">Tanpa secret_key; 200 untuk 4 endpoint Stadia</t>
  </si>
  <si>
    <t xml:space="preserve">Sesuai; uses_free_osm=false</t>
  </si>
  <si>
    <t xml:space="preserve">bukti/uji_peta.log; uji langsung 12 Sep</t>
  </si>
  <si>
    <t xml:space="preserve">Kunci Stadia tidak bisa dibatasi per package Android — pantau kuota</t>
  </si>
  <si>
    <t xml:space="preserve">LOC-04</t>
  </si>
  <si>
    <t xml:space="preserve">Izin lokasi ditolak → aplikasi tetap memberi jalur aman (pilih titik manual)</t>
  </si>
  <si>
    <t xml:space="preserve">Perangkat Android</t>
  </si>
  <si>
    <t xml:space="preserve">Tolak izin lokasi lalu pesan</t>
  </si>
  <si>
    <t xml:space="preserve">Place-picker manual tetap bisa</t>
  </si>
  <si>
    <t xml:space="preserve">Belum diuji pada perangkat fisik pada RC ini</t>
  </si>
  <si>
    <t xml:space="preserve">QA manual di HP (Erza/tester) — sebelum closed beta</t>
  </si>
  <si>
    <t xml:space="preserve">LOC-05</t>
  </si>
  <si>
    <t xml:space="preserve">Tombol bantuan/SOS &amp; tiket eskalasi</t>
  </si>
  <si>
    <t xml:space="preserve">S13, S28</t>
  </si>
  <si>
    <t xml:space="preserve">Buat tiket, SOS, tutup dengan rating</t>
  </si>
  <si>
    <t xml:space="preserve">Tiket tercatat, SOS ditangani, dedupe tiket</t>
  </si>
  <si>
    <t xml:space="preserve">bukti/simulasi_e2e.log S13, S28</t>
  </si>
  <si>
    <t xml:space="preserve">SOP respons SOS manusia belum diuji lapangan</t>
  </si>
  <si>
    <t xml:space="preserve">MER-01</t>
  </si>
  <si>
    <t xml:space="preserve">6.5</t>
  </si>
  <si>
    <t xml:space="preserve">Merchant tutup/belum disetujui tidak menerima order; keranjang kosong ditolak</t>
  </si>
  <si>
    <t xml:space="preserve">Merchant uji</t>
  </si>
  <si>
    <t xml:space="preserve">create_order food</t>
  </si>
  <si>
    <t xml:space="preserve">Pesan ke merchant tutup</t>
  </si>
  <si>
    <t xml:space="preserve">Ditolak (aturan create_order; S3 jalur sukses)</t>
  </si>
  <si>
    <t xml:space="preserve">supabase/migrations/0014 + S3</t>
  </si>
  <si>
    <t xml:space="preserve">MER-02</t>
  </si>
  <si>
    <t xml:space="preserve">Merchant menolak order berbayar → refund &amp; kuota promo kembali</t>
  </si>
  <si>
    <t xml:space="preserve">S44g</t>
  </si>
  <si>
    <t xml:space="preserve">Merchant reject</t>
  </si>
  <si>
    <t xml:space="preserve">Refund utuh, used_count kembali</t>
  </si>
  <si>
    <t xml:space="preserve">bukti/simulasi_e2e.log S44g</t>
  </si>
  <si>
    <t xml:space="preserve">MER-03</t>
  </si>
  <si>
    <t xml:space="preserve">Pendapatan, insentif, potongan mitra normal &amp; pembatalan</t>
  </si>
  <si>
    <t xml:space="preserve">S38, S44, S50</t>
  </si>
  <si>
    <t xml:space="preserve">Bandingkan Δ dompet</t>
  </si>
  <si>
    <t xml:space="preserve">Sesuai rumus tiap layanan</t>
  </si>
  <si>
    <t xml:space="preserve">bukti/simulasi_e2e.log S38, S44, S50</t>
  </si>
  <si>
    <t xml:space="preserve">MER-04</t>
  </si>
  <si>
    <t xml:space="preserve">Dokumen mitra: akses minimum &amp; retensi</t>
  </si>
  <si>
    <t xml:space="preserve">Review RLS dokumen mitra + kebijakan retensi</t>
  </si>
  <si>
    <t xml:space="preserve">Hanya pemilik &amp; admin; retensi tertulis</t>
  </si>
  <si>
    <t xml:space="preserve">RLS ada; kebijakan retensi belum ditinjau legal</t>
  </si>
  <si>
    <t xml:space="preserve">Review privacy/legal (bukan QA)</t>
  </si>
  <si>
    <t xml:space="preserve">NOT-01</t>
  </si>
  <si>
    <t xml:space="preserve">6.6</t>
  </si>
  <si>
    <t xml:space="preserve">Notifikasi membawa kunci tujuan; tidak mengungkap data sensitif</t>
  </si>
  <si>
    <t xml:space="preserve">S33a–g</t>
  </si>
  <si>
    <t xml:space="preserve">Periksa payload notifikasi</t>
  </si>
  <si>
    <t xml:space="preserve">order_id/ticket_id/booking_id ada; isi netral</t>
  </si>
  <si>
    <t xml:space="preserve">Sesuai; 5 jenis informatif tanpa tujuan (dicatat)</t>
  </si>
  <si>
    <t xml:space="preserve">bukti/simulasi_e2e.log S33</t>
  </si>
  <si>
    <t xml:space="preserve">NOT-02</t>
  </si>
  <si>
    <t xml:space="preserve">Token push idempoten &amp; RLS; pengiriman ulang tidak mengubah status</t>
  </si>
  <si>
    <t xml:space="preserve">S36</t>
  </si>
  <si>
    <t xml:space="preserve">register_push_token 2×; pengguna lain mencabut</t>
  </si>
  <si>
    <t xml:space="preserve">1 baris; pengguna lain tidak bisa</t>
  </si>
  <si>
    <t xml:space="preserve">bukti/simulasi_e2e.log S36</t>
  </si>
  <si>
    <t xml:space="preserve">NOT-03</t>
  </si>
  <si>
    <t xml:space="preserve">Push benar-benar sampai ke perangkat (FCM v1) dari server</t>
  </si>
  <si>
    <t xml:space="preserve">Secret FCM_SERVICE_ACCOUNT + push_config</t>
  </si>
  <si>
    <t xml:space="preserve">Kirim notifikasi → HP</t>
  </si>
  <si>
    <t xml:space="preserve">Notifikasi tampil</t>
  </si>
  <si>
    <t xml:space="preserve">Secret belum diisi → push_dispatch skipped</t>
  </si>
  <si>
    <t xml:space="preserve">S36f</t>
  </si>
  <si>
    <t xml:space="preserve">Erza: unggah service account Firebase ke Supabase secrets + admin_set_push_config</t>
  </si>
  <si>
    <t xml:space="preserve">NOT-04</t>
  </si>
  <si>
    <t xml:space="preserve">Moderasi UGC: blokir pengguna, laporan konten, batas laju, jejak audit</t>
  </si>
  <si>
    <t xml:space="preserve">uji_moderasi.sql</t>
  </si>
  <si>
    <t xml:space="preserve">18 pemeriksaan</t>
  </si>
  <si>
    <t xml:space="preserve">Semua lulus</t>
  </si>
  <si>
    <t xml:space="preserve">18/18</t>
  </si>
  <si>
    <t xml:space="preserve">bukti/uji_moderasi.log</t>
  </si>
  <si>
    <t xml:space="preserve">SEC-01</t>
  </si>
  <si>
    <t xml:space="preserve">6.7</t>
  </si>
  <si>
    <t xml:space="preserve">TLS, CORS, error handling Edge Function</t>
  </si>
  <si>
    <t xml:space="preserve">Periksa header &amp; respons</t>
  </si>
  <si>
    <t xml:space="preserve">HTTPS saja; error tanpa detail internal</t>
  </si>
  <si>
    <t xml:space="preserve">Supabase TLS; CORS '*' + JWT; error pesan ringkas</t>
  </si>
  <si>
    <t xml:space="preserve">kode Edge Functions</t>
  </si>
  <si>
    <t xml:space="preserve">CORS '*' dapat diterima untuk API publik ber-JWT</t>
  </si>
  <si>
    <t xml:space="preserve">SEC-02</t>
  </si>
  <si>
    <t xml:space="preserve">Dependency scan (npm audit)</t>
  </si>
  <si>
    <t xml:space="preserve">npm audit 12 Sep</t>
  </si>
  <si>
    <t xml:space="preserve">0 high/critical</t>
  </si>
  <si>
    <t xml:space="preserve">0 high/critical; 15 moderate transitif dari 2 advisori (decode-uri-component via expo-router; uuid via xcode build-time)</t>
  </si>
  <si>
    <t xml:space="preserve">PASS (GO WITH RISK)</t>
  </si>
  <si>
    <t xml:space="preserve">Eng: naikkan saat Expo SDK berikutnya; tidak ada perbaikan non-breaking</t>
  </si>
  <si>
    <t xml:space="preserve">SEC-03</t>
  </si>
  <si>
    <t xml:space="preserve">Secret scan repo</t>
  </si>
  <si>
    <t xml:space="preserve">git grep</t>
  </si>
  <si>
    <t xml:space="preserve">0 rahasia</t>
  </si>
  <si>
    <t xml:space="preserve">SEC-04</t>
  </si>
  <si>
    <t xml:space="preserve">6.7 / E2E-10</t>
  </si>
  <si>
    <t xml:space="preserve">Backup/restore diuji (bukti restore DB &amp; pemulihan order/payment)</t>
  </si>
  <si>
    <t xml:space="preserve">Backup Supabase</t>
  </si>
  <si>
    <t xml:space="preserve">Latihan restore ke proyek latihan</t>
  </si>
  <si>
    <t xml:space="preserve">Rekonsiliasi kembali dapat dijelaskan</t>
  </si>
  <si>
    <t xml:space="preserve">Belum pernah dilakukan; paket Supabase saat ini belum diverifikasi punya PITR</t>
  </si>
  <si>
    <t xml:space="preserve">Eng+Erza: aktifkan backup harian/PITR, latihan restore sebelum rilis nasional</t>
  </si>
  <si>
    <t xml:space="preserve">SEC-05</t>
  </si>
  <si>
    <t xml:space="preserve">SAST/DAST/penetration test independen jalur kritis</t>
  </si>
  <si>
    <t xml:space="preserve">Tidak ada finding High/Critical tanpa mitigasi</t>
  </si>
  <si>
    <t xml:space="preserve">Belum dilakukan pihak independen (baru advisor Supabase + uji internal)</t>
  </si>
  <si>
    <t xml:space="preserve">get_advisors 12 Sep</t>
  </si>
  <si>
    <t xml:space="preserve">Erza: vendor pentest sebelum rilis nasional</t>
  </si>
  <si>
    <t xml:space="preserve">SEC-06</t>
  </si>
  <si>
    <t xml:space="preserve">Runbook insiden, rollback, on-call, status page</t>
  </si>
  <si>
    <t xml:space="preserve">docs/rilis/*</t>
  </si>
  <si>
    <t xml:space="preserve">Tersedia &amp; pernah dilatih</t>
  </si>
  <si>
    <t xml:space="preserve">Runbook rilis ada; latihan insiden &amp; status page belum</t>
  </si>
  <si>
    <t xml:space="preserve">docs/rilis/RUNBOOK-LISTING-BESOK.md</t>
  </si>
  <si>
    <t xml:space="preserve">Ops: latihan insiden 1× sebelum closed beta</t>
  </si>
  <si>
    <t xml:space="preserve">SEC-07</t>
  </si>
  <si>
    <t xml:space="preserve">Advisor keamanan Supabase (RLS, security definer, extension in public)</t>
  </si>
  <si>
    <t xml:space="preserve">get_advisors</t>
  </si>
  <si>
    <t xml:space="preserve">Tidak ada ERROR tak terjelaskan</t>
  </si>
  <si>
    <t xml:space="preserve">1 ERROR: spatial_ref_sys (tabel sistem PostGIS, tidak berisi data pengguna); 23 fungsi anon = jalur publik pra-login yang disengaja (estimasi, status kota, shared_order)</t>
  </si>
  <si>
    <t xml:space="preserve">Low</t>
  </si>
  <si>
    <t xml:space="preserve">PASS (dengan catatan)</t>
  </si>
  <si>
    <t xml:space="preserve">Eng: dokumentasikan daftar fungsi anon yang disengaja</t>
  </si>
  <si>
    <t xml:space="preserve">PERF-01</t>
  </si>
  <si>
    <t xml:space="preserve">6.8</t>
  </si>
  <si>
    <t xml:space="preserve">Uji perangkat/versi Android target, layar kecil, memori rendah, jaringan putus-sambung</t>
  </si>
  <si>
    <t xml:space="preserve">HP fisik</t>
  </si>
  <si>
    <t xml:space="preserve">Sesi eksplorasi terstruktur</t>
  </si>
  <si>
    <t xml:space="preserve">Tidak ada freeze/crash di checkout &amp; pelacakan</t>
  </si>
  <si>
    <t xml:space="preserve">Belum dilakukan pada RC ini</t>
  </si>
  <si>
    <t xml:space="preserve">QA manual (Erza + 2 tester) sebelum closed beta; Play pre-launch report</t>
  </si>
  <si>
    <t xml:space="preserve">PERF-02</t>
  </si>
  <si>
    <t xml:space="preserve">SLO &amp; uji beban (lonjakan order, notifikasi serentak, webhook ulang)</t>
  </si>
  <si>
    <t xml:space="preserve">Kapasitas &amp; bottleneck tercatat</t>
  </si>
  <si>
    <t xml:space="preserve">Belum dilakukan</t>
  </si>
  <si>
    <t xml:space="preserve">Eng: k6/ artillery terhadap RPC create_order &amp; webhook — sebelum rilis nasional</t>
  </si>
  <si>
    <t xml:space="preserve">PERF-03</t>
  </si>
  <si>
    <t xml:space="preserve">Aksesibilitas: TalkBack, teks besar, kontras, label kontrol</t>
  </si>
  <si>
    <t xml:space="preserve">Lolos pemeriksaan dasar</t>
  </si>
  <si>
    <t xml:space="preserve">QA manual + Play pre-launch accessibility</t>
  </si>
  <si>
    <t xml:space="preserve">CALL-01</t>
  </si>
  <si>
    <t xml:space="preserve">6.6 / 6.8</t>
  </si>
  <si>
    <t xml:space="preserve">Panggilan suara di jaringan seluler: kredensial TURN berumur pendek, api_token tidak bocor</t>
  </si>
  <si>
    <t xml:space="preserve">Cloudflare TURN</t>
  </si>
  <si>
    <t xml:space="preserve">uji_turn.sql + uji langsung</t>
  </si>
  <si>
    <t xml:space="preserve">anon → fungsi; admin → fungsi; RPC admin</t>
  </si>
  <si>
    <t xml:space="preserve">anon 401; admin dapat iceServers; 9/9 SQL</t>
  </si>
  <si>
    <t xml:space="preserve">bukti/uji_turn.log</t>
  </si>
  <si>
    <t xml:space="preserve">Uji panggilan nyata 2 HP di jaringan seluler: BLOCKED (manual)</t>
  </si>
  <si>
    <t xml:space="preserve">DATA-01</t>
  </si>
  <si>
    <t xml:space="preserve">6.4 (data tempat)</t>
  </si>
  <si>
    <t xml:space="preserve">Impor tempat OSM: gazetteer, dedupe, faskes ke poi, kota layanan tidak tergandakan</t>
  </si>
  <si>
    <t xml:space="preserve">uji_impor.sql</t>
  </si>
  <si>
    <t xml:space="preserve">12 skenario</t>
  </si>
  <si>
    <t xml:space="preserve">Semua sesuai</t>
  </si>
  <si>
    <t xml:space="preserve">Sesuai; S9 terhalang pekerjaan impor yang sedang berjalan (efek data)</t>
  </si>
  <si>
    <t xml:space="preserve">bukti/uji_impor.log</t>
  </si>
  <si>
    <t xml:space="preserve">Pekerjaan impor nasional: 7/39 tugas; Overpass publik lambat — 0084 + mirror ketiga dipasang</t>
  </si>
  <si>
    <t xml:space="preserve">Ringkasan status (dihitung dari sheet Matriks Uji)</t>
  </si>
  <si>
    <t xml:space="preserve">PASS (termasuk 'PASS (…)')</t>
  </si>
  <si>
    <t xml:space="preserve">Total kasus uji</t>
  </si>
  <si>
    <t xml:space="preserve">Severity High (diperbaiki)</t>
  </si>
  <si>
    <t xml:space="preserve">Severity Medium terbuka</t>
  </si>
  <si>
    <t xml:space="preserve">Keputusan</t>
  </si>
  <si>
    <t xml:space="preserve">INTERNAL TEST: GO WITH RISK · NATIONAL LISTING READY: NO-GO (lihat laporan)</t>
  </si>
  <si>
    <t xml:space="preserve">Catatan keterbatasan: uji server dijalankan pada basis data produksi dalam transaksi ROLLBACK; uji perangkat fisik, beban, aksesibilitas, pentest, dan restore backup belum dilakukan pada RC ini.</t>
  </si>
  <si>
    <t xml:space="preserve">Skenario (Standar §7)</t>
  </si>
  <si>
    <t xml:space="preserve">Hasil / rujukan</t>
  </si>
  <si>
    <t xml:space="preserve">E2E-01</t>
  </si>
  <si>
    <t xml:space="preserve">Antar barang bayar dompet → mitra → pickup → antar → selesai (QRIS diganti dompet karena Midtrans belum terpasang)</t>
  </si>
  <si>
    <t xml:space="preserve">PASS (server) — ORD-01, PAY-07; jalur QRIS BLOCKED (PAY-05)</t>
  </si>
  <si>
    <t xml:space="preserve">E2E-02</t>
  </si>
  <si>
    <t xml:space="preserve">Antar makan: merchant terima, mitra pickup, antar, selesai; harga sama di semua peran</t>
  </si>
  <si>
    <t xml:space="preserve">PASS — S3, S38c, S42, PAY-01</t>
  </si>
  <si>
    <t xml:space="preserve">E2E-03</t>
  </si>
  <si>
    <t xml:space="preserve">Webhook pembayaran sama dikirim 2× → satu pembayaran</t>
  </si>
  <si>
    <t xml:space="preserve">PASS — S46c (DB) + PAY-04 (HTTP gagal-tertutup); ulang dengan kunci sandbox</t>
  </si>
  <si>
    <t xml:space="preserve">E2E-04</t>
  </si>
  <si>
    <t xml:space="preserve">Pembayaran sukses tetapi mitra tak tersedia → refund/batal, saldo tidak menggantung</t>
  </si>
  <si>
    <t xml:space="preserve">PASS — S44a (batal saat SEARCHING refund utuh), S51e</t>
  </si>
  <si>
    <t xml:space="preserve">E2E-05</t>
  </si>
  <si>
    <t xml:space="preserve">Batal pada tiap titik status</t>
  </si>
  <si>
    <t xml:space="preserve">PASS — ORD-05</t>
  </si>
  <si>
    <t xml:space="preserve">E2E-06</t>
  </si>
  <si>
    <t xml:space="preserve">Mitra offline saat ditugaskan/mengantar → timeout/redispatch</t>
  </si>
  <si>
    <t xml:space="preserve">PASS sebagian — S17/S23/S24/S34 (fallback &amp; masa tahan); skenario 'offline saat mengantar' hanya lewat admin batal (S45a): perlu uji lapangan</t>
  </si>
  <si>
    <t xml:space="preserve">E2E-07</t>
  </si>
  <si>
    <t xml:space="preserve">Koneksi putus saat submit → tidak ada order/tagihan ganda</t>
  </si>
  <si>
    <t xml:space="preserve">PASS setelah perbaikan 0083 — ORD-03</t>
  </si>
  <si>
    <t xml:space="preserve">E2E-08</t>
  </si>
  <si>
    <t xml:space="preserve">Admin menyelesaikan dispute/refund dengan otorisasi &amp; jejak</t>
  </si>
  <si>
    <t xml:space="preserve">PASS — ORD-06, PAY-06</t>
  </si>
  <si>
    <t xml:space="preserve">E2E-09</t>
  </si>
  <si>
    <t xml:space="preserve">Pengguna A akses order pengguna B</t>
  </si>
  <si>
    <t xml:space="preserve">PASS — AUTH-01, S31c–f</t>
  </si>
  <si>
    <t xml:space="preserve">E2E-10</t>
  </si>
  <si>
    <t xml:space="preserve">Restore dari backup di lingkungan latihan</t>
  </si>
  <si>
    <t xml:space="preserve">BLOCKED — SEC-04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</si>
</sst>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DCFCE7"/>
        <bgColor rgb="FFCCFF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5" min="4" style="0" width="22"/>
    <col collapsed="false" customWidth="true" hidden="false" outlineLevel="0" max="6" min="6" style="0" width="30"/>
    <col collapsed="false" customWidth="true" hidden="false" outlineLevel="0" max="7" min="7" style="0" width="32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customFormat="false" ht="23.85" hidden="false" customHeight="false" outlineLevel="0" collapsed="false">
      <c r="A6" s="4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4" t="s">
        <v>21</v>
      </c>
      <c r="I6" s="4" t="s">
        <v>22</v>
      </c>
      <c r="J6" s="4" t="s">
        <v>23</v>
      </c>
      <c r="K6" s="5" t="s">
        <v>24</v>
      </c>
      <c r="L6" s="4"/>
    </row>
    <row r="7" customFormat="false" ht="23.85" hidden="false" customHeight="false" outlineLevel="0" collapsed="false">
      <c r="A7" s="4" t="s">
        <v>25</v>
      </c>
      <c r="B7" s="4" t="s">
        <v>26</v>
      </c>
      <c r="C7" s="4" t="s">
        <v>27</v>
      </c>
      <c r="D7" s="4" t="s">
        <v>18</v>
      </c>
      <c r="E7" s="4" t="s">
        <v>28</v>
      </c>
      <c r="F7" s="4" t="s">
        <v>29</v>
      </c>
      <c r="G7" s="4" t="s">
        <v>30</v>
      </c>
      <c r="H7" s="4" t="s">
        <v>31</v>
      </c>
      <c r="I7" s="4" t="s">
        <v>22</v>
      </c>
      <c r="J7" s="4" t="s">
        <v>23</v>
      </c>
      <c r="K7" s="5" t="s">
        <v>24</v>
      </c>
      <c r="L7" s="4"/>
    </row>
    <row r="8" customFormat="false" ht="46.25" hidden="false" customHeight="false" outlineLevel="0" collapsed="false">
      <c r="A8" s="4" t="s">
        <v>32</v>
      </c>
      <c r="B8" s="4" t="s">
        <v>26</v>
      </c>
      <c r="C8" s="4" t="s">
        <v>33</v>
      </c>
      <c r="D8" s="4" t="s">
        <v>22</v>
      </c>
      <c r="E8" s="4" t="s">
        <v>34</v>
      </c>
      <c r="F8" s="4" t="s">
        <v>35</v>
      </c>
      <c r="G8" s="4" t="s">
        <v>36</v>
      </c>
      <c r="H8" s="4" t="s">
        <v>37</v>
      </c>
      <c r="I8" s="4" t="s">
        <v>22</v>
      </c>
      <c r="J8" s="4" t="s">
        <v>38</v>
      </c>
      <c r="K8" s="5" t="s">
        <v>24</v>
      </c>
      <c r="L8" s="4"/>
    </row>
    <row r="9" customFormat="false" ht="23.85" hidden="false" customHeight="false" outlineLevel="0" collapsed="false">
      <c r="A9" s="4" t="s">
        <v>39</v>
      </c>
      <c r="B9" s="4" t="s">
        <v>26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4" t="s">
        <v>22</v>
      </c>
      <c r="J9" s="4" t="s">
        <v>46</v>
      </c>
      <c r="K9" s="5" t="s">
        <v>24</v>
      </c>
      <c r="L9" s="4"/>
    </row>
    <row r="10" customFormat="false" ht="23.85" hidden="false" customHeight="false" outlineLevel="0" collapsed="false">
      <c r="A10" s="4" t="s">
        <v>47</v>
      </c>
      <c r="B10" s="4" t="s">
        <v>26</v>
      </c>
      <c r="C10" s="4" t="s">
        <v>48</v>
      </c>
      <c r="D10" s="4" t="s">
        <v>49</v>
      </c>
      <c r="E10" s="4" t="s">
        <v>22</v>
      </c>
      <c r="F10" s="4" t="s">
        <v>50</v>
      </c>
      <c r="G10" s="4" t="s">
        <v>51</v>
      </c>
      <c r="H10" s="4" t="s">
        <v>52</v>
      </c>
      <c r="I10" s="4" t="s">
        <v>22</v>
      </c>
      <c r="J10" s="4" t="s">
        <v>53</v>
      </c>
      <c r="K10" s="6" t="s">
        <v>54</v>
      </c>
      <c r="L10" s="4" t="s">
        <v>55</v>
      </c>
    </row>
    <row r="11" customFormat="false" ht="35.05" hidden="false" customHeight="false" outlineLevel="0" collapsed="false">
      <c r="A11" s="4" t="s">
        <v>56</v>
      </c>
      <c r="B11" s="4" t="s">
        <v>57</v>
      </c>
      <c r="C11" s="4" t="s">
        <v>58</v>
      </c>
      <c r="D11" s="4" t="s">
        <v>59</v>
      </c>
      <c r="E11" s="4" t="s">
        <v>22</v>
      </c>
      <c r="F11" s="4" t="s">
        <v>60</v>
      </c>
      <c r="G11" s="4" t="s">
        <v>61</v>
      </c>
      <c r="H11" s="4" t="s">
        <v>62</v>
      </c>
      <c r="I11" s="4" t="s">
        <v>63</v>
      </c>
      <c r="J11" s="4" t="s">
        <v>64</v>
      </c>
      <c r="K11" s="7" t="s">
        <v>65</v>
      </c>
      <c r="L11" s="4" t="s">
        <v>66</v>
      </c>
    </row>
    <row r="12" customFormat="false" ht="35.05" hidden="false" customHeight="false" outlineLevel="0" collapsed="false">
      <c r="A12" s="4" t="s">
        <v>67</v>
      </c>
      <c r="B12" s="4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 t="s">
        <v>73</v>
      </c>
      <c r="H12" s="4" t="s">
        <v>74</v>
      </c>
      <c r="I12" s="4" t="s">
        <v>22</v>
      </c>
      <c r="J12" s="4" t="s">
        <v>75</v>
      </c>
      <c r="K12" s="5" t="s">
        <v>24</v>
      </c>
      <c r="L12" s="4"/>
    </row>
    <row r="13" customFormat="false" ht="23.85" hidden="false" customHeight="false" outlineLevel="0" collapsed="false">
      <c r="A13" s="4" t="s">
        <v>76</v>
      </c>
      <c r="B13" s="4" t="s">
        <v>77</v>
      </c>
      <c r="C13" s="4" t="s">
        <v>78</v>
      </c>
      <c r="D13" s="4" t="s">
        <v>79</v>
      </c>
      <c r="E13" s="4" t="s">
        <v>80</v>
      </c>
      <c r="F13" s="4" t="s">
        <v>81</v>
      </c>
      <c r="G13" s="4" t="s">
        <v>82</v>
      </c>
      <c r="H13" s="4" t="s">
        <v>74</v>
      </c>
      <c r="I13" s="4" t="s">
        <v>22</v>
      </c>
      <c r="J13" s="4" t="s">
        <v>83</v>
      </c>
      <c r="K13" s="5" t="s">
        <v>24</v>
      </c>
      <c r="L13" s="4"/>
    </row>
    <row r="14" customFormat="false" ht="35.05" hidden="false" customHeight="false" outlineLevel="0" collapsed="false">
      <c r="A14" s="4" t="s">
        <v>84</v>
      </c>
      <c r="B14" s="4" t="s">
        <v>85</v>
      </c>
      <c r="C14" s="4" t="s">
        <v>86</v>
      </c>
      <c r="D14" s="4" t="s">
        <v>18</v>
      </c>
      <c r="E14" s="4" t="s">
        <v>87</v>
      </c>
      <c r="F14" s="4" t="s">
        <v>88</v>
      </c>
      <c r="G14" s="4" t="s">
        <v>89</v>
      </c>
      <c r="H14" s="4" t="s">
        <v>90</v>
      </c>
      <c r="I14" s="4" t="s">
        <v>91</v>
      </c>
      <c r="J14" s="4" t="s">
        <v>92</v>
      </c>
      <c r="K14" s="5" t="s">
        <v>93</v>
      </c>
      <c r="L14" s="4" t="s">
        <v>94</v>
      </c>
    </row>
    <row r="15" customFormat="false" ht="35.05" hidden="false" customHeight="false" outlineLevel="0" collapsed="false">
      <c r="A15" s="4" t="s">
        <v>95</v>
      </c>
      <c r="B15" s="4" t="s">
        <v>96</v>
      </c>
      <c r="C15" s="4" t="s">
        <v>97</v>
      </c>
      <c r="D15" s="4" t="s">
        <v>98</v>
      </c>
      <c r="E15" s="4" t="s">
        <v>99</v>
      </c>
      <c r="F15" s="4" t="s">
        <v>100</v>
      </c>
      <c r="G15" s="4" t="s">
        <v>101</v>
      </c>
      <c r="H15" s="4" t="s">
        <v>74</v>
      </c>
      <c r="I15" s="4" t="s">
        <v>22</v>
      </c>
      <c r="J15" s="4" t="s">
        <v>102</v>
      </c>
      <c r="K15" s="5" t="s">
        <v>24</v>
      </c>
      <c r="L15" s="4"/>
    </row>
    <row r="16" customFormat="false" ht="46.25" hidden="false" customHeight="false" outlineLevel="0" collapsed="false">
      <c r="A16" s="4" t="s">
        <v>103</v>
      </c>
      <c r="B16" s="4" t="s">
        <v>104</v>
      </c>
      <c r="C16" s="4" t="s">
        <v>105</v>
      </c>
      <c r="D16" s="4" t="s">
        <v>41</v>
      </c>
      <c r="E16" s="4" t="s">
        <v>106</v>
      </c>
      <c r="F16" s="4" t="s">
        <v>107</v>
      </c>
      <c r="G16" s="4" t="s">
        <v>108</v>
      </c>
      <c r="H16" s="4" t="s">
        <v>74</v>
      </c>
      <c r="I16" s="4" t="s">
        <v>22</v>
      </c>
      <c r="J16" s="4" t="s">
        <v>109</v>
      </c>
      <c r="K16" s="5" t="s">
        <v>24</v>
      </c>
      <c r="L16" s="4"/>
    </row>
    <row r="17" customFormat="false" ht="35.05" hidden="false" customHeight="false" outlineLevel="0" collapsed="false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4" t="s">
        <v>116</v>
      </c>
      <c r="H17" s="4" t="s">
        <v>74</v>
      </c>
      <c r="I17" s="4" t="s">
        <v>22</v>
      </c>
      <c r="J17" s="4" t="s">
        <v>117</v>
      </c>
      <c r="K17" s="5" t="s">
        <v>24</v>
      </c>
      <c r="L17" s="4"/>
    </row>
    <row r="18" customFormat="false" ht="23.85" hidden="false" customHeight="false" outlineLevel="0" collapsed="false">
      <c r="A18" s="4" t="s">
        <v>118</v>
      </c>
      <c r="B18" s="4" t="s">
        <v>77</v>
      </c>
      <c r="C18" s="4" t="s">
        <v>119</v>
      </c>
      <c r="D18" s="4" t="s">
        <v>98</v>
      </c>
      <c r="E18" s="4" t="s">
        <v>120</v>
      </c>
      <c r="F18" s="4" t="s">
        <v>121</v>
      </c>
      <c r="G18" s="4" t="s">
        <v>37</v>
      </c>
      <c r="H18" s="4" t="s">
        <v>74</v>
      </c>
      <c r="I18" s="4" t="s">
        <v>22</v>
      </c>
      <c r="J18" s="4" t="s">
        <v>122</v>
      </c>
      <c r="K18" s="5" t="s">
        <v>24</v>
      </c>
      <c r="L18" s="4"/>
    </row>
    <row r="19" customFormat="false" ht="46.25" hidden="false" customHeight="false" outlineLevel="0" collapsed="false">
      <c r="A19" s="4" t="s">
        <v>123</v>
      </c>
      <c r="B19" s="4" t="s">
        <v>124</v>
      </c>
      <c r="C19" s="4" t="s">
        <v>125</v>
      </c>
      <c r="D19" s="4" t="s">
        <v>22</v>
      </c>
      <c r="E19" s="4" t="s">
        <v>126</v>
      </c>
      <c r="F19" s="4" t="s">
        <v>127</v>
      </c>
      <c r="G19" s="4" t="s">
        <v>128</v>
      </c>
      <c r="H19" s="4" t="s">
        <v>129</v>
      </c>
      <c r="I19" s="4" t="s">
        <v>22</v>
      </c>
      <c r="J19" s="4" t="s">
        <v>130</v>
      </c>
      <c r="K19" s="5" t="s">
        <v>24</v>
      </c>
      <c r="L19" s="4"/>
    </row>
    <row r="20" customFormat="false" ht="35.05" hidden="false" customHeight="false" outlineLevel="0" collapsed="false">
      <c r="A20" s="4" t="s">
        <v>131</v>
      </c>
      <c r="B20" s="4" t="s">
        <v>124</v>
      </c>
      <c r="C20" s="4" t="s">
        <v>132</v>
      </c>
      <c r="D20" s="4" t="s">
        <v>22</v>
      </c>
      <c r="E20" s="4" t="s">
        <v>133</v>
      </c>
      <c r="F20" s="4" t="s">
        <v>134</v>
      </c>
      <c r="G20" s="4" t="s">
        <v>135</v>
      </c>
      <c r="H20" s="4" t="s">
        <v>136</v>
      </c>
      <c r="I20" s="4" t="s">
        <v>22</v>
      </c>
      <c r="J20" s="4" t="s">
        <v>137</v>
      </c>
      <c r="K20" s="5" t="s">
        <v>24</v>
      </c>
      <c r="L20" s="4"/>
    </row>
    <row r="21" customFormat="false" ht="23.85" hidden="false" customHeight="false" outlineLevel="0" collapsed="false">
      <c r="A21" s="4" t="s">
        <v>138</v>
      </c>
      <c r="B21" s="4" t="s">
        <v>139</v>
      </c>
      <c r="C21" s="4" t="s">
        <v>140</v>
      </c>
      <c r="D21" s="4" t="s">
        <v>141</v>
      </c>
      <c r="E21" s="4" t="s">
        <v>142</v>
      </c>
      <c r="F21" s="4" t="s">
        <v>143</v>
      </c>
      <c r="G21" s="4" t="s">
        <v>144</v>
      </c>
      <c r="H21" s="4" t="s">
        <v>145</v>
      </c>
      <c r="I21" s="4" t="s">
        <v>22</v>
      </c>
      <c r="J21" s="4" t="s">
        <v>146</v>
      </c>
      <c r="K21" s="5" t="s">
        <v>24</v>
      </c>
      <c r="L21" s="4"/>
    </row>
    <row r="22" customFormat="false" ht="23.85" hidden="false" customHeight="false" outlineLevel="0" collapsed="false">
      <c r="A22" s="4" t="s">
        <v>147</v>
      </c>
      <c r="B22" s="4" t="s">
        <v>124</v>
      </c>
      <c r="C22" s="4" t="s">
        <v>148</v>
      </c>
      <c r="D22" s="4" t="s">
        <v>149</v>
      </c>
      <c r="E22" s="4" t="s">
        <v>150</v>
      </c>
      <c r="F22" s="4" t="s">
        <v>151</v>
      </c>
      <c r="G22" s="4" t="s">
        <v>152</v>
      </c>
      <c r="H22" s="4" t="s">
        <v>153</v>
      </c>
      <c r="I22" s="4" t="s">
        <v>22</v>
      </c>
      <c r="J22" s="4" t="s">
        <v>154</v>
      </c>
      <c r="K22" s="5" t="s">
        <v>24</v>
      </c>
      <c r="L22" s="4" t="s">
        <v>155</v>
      </c>
    </row>
    <row r="23" customFormat="false" ht="35.05" hidden="false" customHeight="false" outlineLevel="0" collapsed="false">
      <c r="A23" s="4" t="s">
        <v>156</v>
      </c>
      <c r="B23" s="4" t="s">
        <v>124</v>
      </c>
      <c r="C23" s="4" t="s">
        <v>157</v>
      </c>
      <c r="D23" s="4" t="s">
        <v>158</v>
      </c>
      <c r="E23" s="4" t="s">
        <v>22</v>
      </c>
      <c r="F23" s="4" t="s">
        <v>159</v>
      </c>
      <c r="G23" s="4" t="s">
        <v>160</v>
      </c>
      <c r="H23" s="4" t="s">
        <v>161</v>
      </c>
      <c r="I23" s="4" t="s">
        <v>22</v>
      </c>
      <c r="J23" s="4" t="s">
        <v>22</v>
      </c>
      <c r="K23" s="6" t="s">
        <v>54</v>
      </c>
      <c r="L23" s="4" t="s">
        <v>162</v>
      </c>
    </row>
    <row r="24" customFormat="false" ht="23.85" hidden="false" customHeight="false" outlineLevel="0" collapsed="false">
      <c r="A24" s="4" t="s">
        <v>163</v>
      </c>
      <c r="B24" s="4" t="s">
        <v>124</v>
      </c>
      <c r="C24" s="4" t="s">
        <v>164</v>
      </c>
      <c r="D24" s="4" t="s">
        <v>165</v>
      </c>
      <c r="E24" s="4" t="s">
        <v>166</v>
      </c>
      <c r="F24" s="4" t="s">
        <v>167</v>
      </c>
      <c r="G24" s="4" t="s">
        <v>168</v>
      </c>
      <c r="H24" s="4" t="s">
        <v>74</v>
      </c>
      <c r="I24" s="4" t="s">
        <v>22</v>
      </c>
      <c r="J24" s="4" t="s">
        <v>169</v>
      </c>
      <c r="K24" s="5" t="s">
        <v>24</v>
      </c>
      <c r="L24" s="4"/>
    </row>
    <row r="25" customFormat="false" ht="35.05" hidden="false" customHeight="false" outlineLevel="0" collapsed="false">
      <c r="A25" s="4" t="s">
        <v>170</v>
      </c>
      <c r="B25" s="4" t="s">
        <v>171</v>
      </c>
      <c r="C25" s="4" t="s">
        <v>172</v>
      </c>
      <c r="D25" s="4" t="s">
        <v>173</v>
      </c>
      <c r="E25" s="4" t="s">
        <v>174</v>
      </c>
      <c r="F25" s="4" t="s">
        <v>175</v>
      </c>
      <c r="G25" s="4" t="s">
        <v>176</v>
      </c>
      <c r="H25" s="4" t="s">
        <v>177</v>
      </c>
      <c r="I25" s="4" t="s">
        <v>22</v>
      </c>
      <c r="J25" s="4" t="s">
        <v>178</v>
      </c>
      <c r="K25" s="5" t="s">
        <v>24</v>
      </c>
      <c r="L25" s="4"/>
    </row>
    <row r="26" customFormat="false" ht="15" hidden="false" customHeight="false" outlineLevel="0" collapsed="false">
      <c r="A26" s="4" t="s">
        <v>179</v>
      </c>
      <c r="B26" s="4" t="s">
        <v>124</v>
      </c>
      <c r="C26" s="4" t="s">
        <v>180</v>
      </c>
      <c r="D26" s="4" t="s">
        <v>181</v>
      </c>
      <c r="E26" s="4" t="s">
        <v>182</v>
      </c>
      <c r="F26" s="4" t="s">
        <v>183</v>
      </c>
      <c r="G26" s="4" t="s">
        <v>184</v>
      </c>
      <c r="H26" s="4" t="s">
        <v>185</v>
      </c>
      <c r="I26" s="4" t="s">
        <v>22</v>
      </c>
      <c r="J26" s="4" t="s">
        <v>186</v>
      </c>
      <c r="K26" s="5" t="s">
        <v>24</v>
      </c>
      <c r="L26" s="4"/>
    </row>
    <row r="27" customFormat="false" ht="23.85" hidden="false" customHeight="false" outlineLevel="0" collapsed="false">
      <c r="A27" s="4" t="s">
        <v>187</v>
      </c>
      <c r="B27" s="4" t="s">
        <v>124</v>
      </c>
      <c r="C27" s="4" t="s">
        <v>188</v>
      </c>
      <c r="D27" s="4" t="s">
        <v>98</v>
      </c>
      <c r="E27" s="4" t="s">
        <v>189</v>
      </c>
      <c r="F27" s="4" t="s">
        <v>190</v>
      </c>
      <c r="G27" s="4" t="s">
        <v>191</v>
      </c>
      <c r="H27" s="4" t="s">
        <v>74</v>
      </c>
      <c r="I27" s="4" t="s">
        <v>22</v>
      </c>
      <c r="J27" s="4" t="s">
        <v>192</v>
      </c>
      <c r="K27" s="5" t="s">
        <v>24</v>
      </c>
      <c r="L27" s="4"/>
    </row>
    <row r="28" customFormat="false" ht="23.85" hidden="false" customHeight="false" outlineLevel="0" collapsed="false">
      <c r="A28" s="4" t="s">
        <v>193</v>
      </c>
      <c r="B28" s="4" t="s">
        <v>194</v>
      </c>
      <c r="C28" s="4" t="s">
        <v>195</v>
      </c>
      <c r="D28" s="4" t="s">
        <v>196</v>
      </c>
      <c r="E28" s="4" t="s">
        <v>197</v>
      </c>
      <c r="F28" s="4" t="s">
        <v>198</v>
      </c>
      <c r="G28" s="4" t="s">
        <v>199</v>
      </c>
      <c r="H28" s="4" t="s">
        <v>200</v>
      </c>
      <c r="I28" s="4" t="s">
        <v>22</v>
      </c>
      <c r="J28" s="4" t="s">
        <v>201</v>
      </c>
      <c r="K28" s="5" t="s">
        <v>24</v>
      </c>
      <c r="L28" s="4" t="s">
        <v>202</v>
      </c>
    </row>
    <row r="29" customFormat="false" ht="23.85" hidden="false" customHeight="false" outlineLevel="0" collapsed="false">
      <c r="A29" s="4" t="s">
        <v>203</v>
      </c>
      <c r="B29" s="4" t="s">
        <v>124</v>
      </c>
      <c r="C29" s="4" t="s">
        <v>204</v>
      </c>
      <c r="D29" s="4" t="s">
        <v>98</v>
      </c>
      <c r="E29" s="4" t="s">
        <v>205</v>
      </c>
      <c r="F29" s="4" t="s">
        <v>206</v>
      </c>
      <c r="G29" s="4" t="s">
        <v>207</v>
      </c>
      <c r="H29" s="4" t="s">
        <v>74</v>
      </c>
      <c r="I29" s="4" t="s">
        <v>22</v>
      </c>
      <c r="J29" s="4" t="s">
        <v>208</v>
      </c>
      <c r="K29" s="5" t="s">
        <v>24</v>
      </c>
      <c r="L29" s="4"/>
    </row>
    <row r="30" customFormat="false" ht="23.85" hidden="false" customHeight="false" outlineLevel="0" collapsed="false">
      <c r="A30" s="4" t="s">
        <v>209</v>
      </c>
      <c r="B30" s="4" t="s">
        <v>210</v>
      </c>
      <c r="C30" s="4" t="s">
        <v>211</v>
      </c>
      <c r="D30" s="4" t="s">
        <v>212</v>
      </c>
      <c r="E30" s="4" t="s">
        <v>213</v>
      </c>
      <c r="F30" s="4" t="s">
        <v>214</v>
      </c>
      <c r="G30" s="4" t="s">
        <v>215</v>
      </c>
      <c r="H30" s="4" t="s">
        <v>216</v>
      </c>
      <c r="I30" s="4" t="s">
        <v>22</v>
      </c>
      <c r="J30" s="4" t="s">
        <v>217</v>
      </c>
      <c r="K30" s="5" t="s">
        <v>24</v>
      </c>
      <c r="L30" s="4"/>
    </row>
    <row r="31" customFormat="false" ht="23.85" hidden="false" customHeight="false" outlineLevel="0" collapsed="false">
      <c r="A31" s="4" t="s">
        <v>218</v>
      </c>
      <c r="B31" s="4" t="s">
        <v>210</v>
      </c>
      <c r="C31" s="4" t="s">
        <v>219</v>
      </c>
      <c r="D31" s="4" t="s">
        <v>22</v>
      </c>
      <c r="E31" s="4" t="s">
        <v>220</v>
      </c>
      <c r="F31" s="4" t="s">
        <v>221</v>
      </c>
      <c r="G31" s="4" t="s">
        <v>222</v>
      </c>
      <c r="H31" s="4" t="s">
        <v>74</v>
      </c>
      <c r="I31" s="4" t="s">
        <v>22</v>
      </c>
      <c r="J31" s="4" t="s">
        <v>223</v>
      </c>
      <c r="K31" s="5" t="s">
        <v>24</v>
      </c>
      <c r="L31" s="4"/>
    </row>
    <row r="32" customFormat="false" ht="23.85" hidden="false" customHeight="false" outlineLevel="0" collapsed="false">
      <c r="A32" s="4" t="s">
        <v>224</v>
      </c>
      <c r="B32" s="4" t="s">
        <v>225</v>
      </c>
      <c r="C32" s="4" t="s">
        <v>226</v>
      </c>
      <c r="D32" s="4" t="s">
        <v>227</v>
      </c>
      <c r="E32" s="4" t="s">
        <v>228</v>
      </c>
      <c r="F32" s="4" t="s">
        <v>229</v>
      </c>
      <c r="G32" s="4" t="s">
        <v>230</v>
      </c>
      <c r="H32" s="4" t="s">
        <v>231</v>
      </c>
      <c r="I32" s="4" t="s">
        <v>22</v>
      </c>
      <c r="J32" s="4" t="s">
        <v>232</v>
      </c>
      <c r="K32" s="5" t="s">
        <v>24</v>
      </c>
      <c r="L32" s="4" t="s">
        <v>233</v>
      </c>
    </row>
    <row r="33" customFormat="false" ht="23.85" hidden="false" customHeight="false" outlineLevel="0" collapsed="false">
      <c r="A33" s="4" t="s">
        <v>234</v>
      </c>
      <c r="B33" s="4" t="s">
        <v>210</v>
      </c>
      <c r="C33" s="4" t="s">
        <v>235</v>
      </c>
      <c r="D33" s="4" t="s">
        <v>236</v>
      </c>
      <c r="E33" s="4" t="s">
        <v>22</v>
      </c>
      <c r="F33" s="4" t="s">
        <v>237</v>
      </c>
      <c r="G33" s="4" t="s">
        <v>238</v>
      </c>
      <c r="H33" s="4" t="s">
        <v>239</v>
      </c>
      <c r="I33" s="4" t="s">
        <v>22</v>
      </c>
      <c r="J33" s="4" t="s">
        <v>22</v>
      </c>
      <c r="K33" s="6" t="s">
        <v>54</v>
      </c>
      <c r="L33" s="4" t="s">
        <v>240</v>
      </c>
    </row>
    <row r="34" customFormat="false" ht="23.85" hidden="false" customHeight="false" outlineLevel="0" collapsed="false">
      <c r="A34" s="4" t="s">
        <v>241</v>
      </c>
      <c r="B34" s="4" t="s">
        <v>210</v>
      </c>
      <c r="C34" s="4" t="s">
        <v>242</v>
      </c>
      <c r="D34" s="4" t="s">
        <v>22</v>
      </c>
      <c r="E34" s="4" t="s">
        <v>243</v>
      </c>
      <c r="F34" s="4" t="s">
        <v>244</v>
      </c>
      <c r="G34" s="4" t="s">
        <v>245</v>
      </c>
      <c r="H34" s="4" t="s">
        <v>74</v>
      </c>
      <c r="I34" s="4" t="s">
        <v>22</v>
      </c>
      <c r="J34" s="4" t="s">
        <v>246</v>
      </c>
      <c r="K34" s="5" t="s">
        <v>24</v>
      </c>
      <c r="L34" s="4" t="s">
        <v>247</v>
      </c>
    </row>
    <row r="35" customFormat="false" ht="23.85" hidden="false" customHeight="false" outlineLevel="0" collapsed="false">
      <c r="A35" s="4" t="s">
        <v>248</v>
      </c>
      <c r="B35" s="4" t="s">
        <v>249</v>
      </c>
      <c r="C35" s="4" t="s">
        <v>250</v>
      </c>
      <c r="D35" s="4" t="s">
        <v>251</v>
      </c>
      <c r="E35" s="4" t="s">
        <v>252</v>
      </c>
      <c r="F35" s="4" t="s">
        <v>253</v>
      </c>
      <c r="G35" s="4" t="s">
        <v>37</v>
      </c>
      <c r="H35" s="4" t="s">
        <v>254</v>
      </c>
      <c r="I35" s="4" t="s">
        <v>22</v>
      </c>
      <c r="J35" s="4" t="s">
        <v>255</v>
      </c>
      <c r="K35" s="5" t="s">
        <v>24</v>
      </c>
      <c r="L35" s="4"/>
    </row>
    <row r="36" customFormat="false" ht="23.85" hidden="false" customHeight="false" outlineLevel="0" collapsed="false">
      <c r="A36" s="4" t="s">
        <v>256</v>
      </c>
      <c r="B36" s="4" t="s">
        <v>249</v>
      </c>
      <c r="C36" s="4" t="s">
        <v>257</v>
      </c>
      <c r="D36" s="4" t="s">
        <v>22</v>
      </c>
      <c r="E36" s="4" t="s">
        <v>258</v>
      </c>
      <c r="F36" s="4" t="s">
        <v>259</v>
      </c>
      <c r="G36" s="4" t="s">
        <v>260</v>
      </c>
      <c r="H36" s="4" t="s">
        <v>74</v>
      </c>
      <c r="I36" s="4" t="s">
        <v>22</v>
      </c>
      <c r="J36" s="4" t="s">
        <v>261</v>
      </c>
      <c r="K36" s="5" t="s">
        <v>24</v>
      </c>
      <c r="L36" s="4"/>
    </row>
    <row r="37" customFormat="false" ht="23.85" hidden="false" customHeight="false" outlineLevel="0" collapsed="false">
      <c r="A37" s="4" t="s">
        <v>262</v>
      </c>
      <c r="B37" s="4" t="s">
        <v>249</v>
      </c>
      <c r="C37" s="4" t="s">
        <v>263</v>
      </c>
      <c r="D37" s="4" t="s">
        <v>22</v>
      </c>
      <c r="E37" s="4" t="s">
        <v>264</v>
      </c>
      <c r="F37" s="4" t="s">
        <v>265</v>
      </c>
      <c r="G37" s="4" t="s">
        <v>266</v>
      </c>
      <c r="H37" s="4" t="s">
        <v>74</v>
      </c>
      <c r="I37" s="4" t="s">
        <v>22</v>
      </c>
      <c r="J37" s="4" t="s">
        <v>267</v>
      </c>
      <c r="K37" s="5" t="s">
        <v>24</v>
      </c>
      <c r="L37" s="4"/>
    </row>
    <row r="38" customFormat="false" ht="23.85" hidden="false" customHeight="false" outlineLevel="0" collapsed="false">
      <c r="A38" s="4" t="s">
        <v>268</v>
      </c>
      <c r="B38" s="4" t="s">
        <v>249</v>
      </c>
      <c r="C38" s="4" t="s">
        <v>269</v>
      </c>
      <c r="D38" s="4" t="s">
        <v>22</v>
      </c>
      <c r="E38" s="4" t="s">
        <v>22</v>
      </c>
      <c r="F38" s="4" t="s">
        <v>270</v>
      </c>
      <c r="G38" s="4" t="s">
        <v>271</v>
      </c>
      <c r="H38" s="4" t="s">
        <v>272</v>
      </c>
      <c r="I38" s="4" t="s">
        <v>22</v>
      </c>
      <c r="J38" s="4" t="s">
        <v>22</v>
      </c>
      <c r="K38" s="6" t="s">
        <v>54</v>
      </c>
      <c r="L38" s="4" t="s">
        <v>273</v>
      </c>
    </row>
    <row r="39" customFormat="false" ht="23.85" hidden="false" customHeight="false" outlineLevel="0" collapsed="false">
      <c r="A39" s="4" t="s">
        <v>274</v>
      </c>
      <c r="B39" s="4" t="s">
        <v>275</v>
      </c>
      <c r="C39" s="4" t="s">
        <v>276</v>
      </c>
      <c r="D39" s="4" t="s">
        <v>22</v>
      </c>
      <c r="E39" s="4" t="s">
        <v>277</v>
      </c>
      <c r="F39" s="4" t="s">
        <v>278</v>
      </c>
      <c r="G39" s="4" t="s">
        <v>279</v>
      </c>
      <c r="H39" s="4" t="s">
        <v>280</v>
      </c>
      <c r="I39" s="4" t="s">
        <v>22</v>
      </c>
      <c r="J39" s="4" t="s">
        <v>281</v>
      </c>
      <c r="K39" s="5" t="s">
        <v>24</v>
      </c>
      <c r="L39" s="4"/>
    </row>
    <row r="40" customFormat="false" ht="23.85" hidden="false" customHeight="false" outlineLevel="0" collapsed="false">
      <c r="A40" s="4" t="s">
        <v>282</v>
      </c>
      <c r="B40" s="4" t="s">
        <v>275</v>
      </c>
      <c r="C40" s="4" t="s">
        <v>283</v>
      </c>
      <c r="D40" s="4" t="s">
        <v>22</v>
      </c>
      <c r="E40" s="4" t="s">
        <v>284</v>
      </c>
      <c r="F40" s="4" t="s">
        <v>285</v>
      </c>
      <c r="G40" s="4" t="s">
        <v>286</v>
      </c>
      <c r="H40" s="4" t="s">
        <v>74</v>
      </c>
      <c r="I40" s="4" t="s">
        <v>22</v>
      </c>
      <c r="J40" s="4" t="s">
        <v>287</v>
      </c>
      <c r="K40" s="5" t="s">
        <v>24</v>
      </c>
      <c r="L40" s="4"/>
    </row>
    <row r="41" customFormat="false" ht="35.05" hidden="false" customHeight="false" outlineLevel="0" collapsed="false">
      <c r="A41" s="4" t="s">
        <v>288</v>
      </c>
      <c r="B41" s="4" t="s">
        <v>275</v>
      </c>
      <c r="C41" s="4" t="s">
        <v>289</v>
      </c>
      <c r="D41" s="4" t="s">
        <v>290</v>
      </c>
      <c r="E41" s="4" t="s">
        <v>22</v>
      </c>
      <c r="F41" s="4" t="s">
        <v>291</v>
      </c>
      <c r="G41" s="4" t="s">
        <v>292</v>
      </c>
      <c r="H41" s="4" t="s">
        <v>293</v>
      </c>
      <c r="I41" s="4" t="s">
        <v>22</v>
      </c>
      <c r="J41" s="4" t="s">
        <v>294</v>
      </c>
      <c r="K41" s="6" t="s">
        <v>54</v>
      </c>
      <c r="L41" s="4" t="s">
        <v>295</v>
      </c>
    </row>
    <row r="42" customFormat="false" ht="23.85" hidden="false" customHeight="false" outlineLevel="0" collapsed="false">
      <c r="A42" s="4" t="s">
        <v>296</v>
      </c>
      <c r="B42" s="4" t="s">
        <v>275</v>
      </c>
      <c r="C42" s="4" t="s">
        <v>297</v>
      </c>
      <c r="D42" s="4" t="s">
        <v>22</v>
      </c>
      <c r="E42" s="4" t="s">
        <v>298</v>
      </c>
      <c r="F42" s="4" t="s">
        <v>299</v>
      </c>
      <c r="G42" s="4" t="s">
        <v>300</v>
      </c>
      <c r="H42" s="4" t="s">
        <v>301</v>
      </c>
      <c r="I42" s="4" t="s">
        <v>22</v>
      </c>
      <c r="J42" s="4" t="s">
        <v>302</v>
      </c>
      <c r="K42" s="5" t="s">
        <v>24</v>
      </c>
      <c r="L42" s="4"/>
    </row>
    <row r="43" customFormat="false" ht="23.85" hidden="false" customHeight="false" outlineLevel="0" collapsed="false">
      <c r="A43" s="4" t="s">
        <v>303</v>
      </c>
      <c r="B43" s="4" t="s">
        <v>304</v>
      </c>
      <c r="C43" s="4" t="s">
        <v>305</v>
      </c>
      <c r="D43" s="4" t="s">
        <v>22</v>
      </c>
      <c r="E43" s="4" t="s">
        <v>22</v>
      </c>
      <c r="F43" s="4" t="s">
        <v>306</v>
      </c>
      <c r="G43" s="4" t="s">
        <v>307</v>
      </c>
      <c r="H43" s="4" t="s">
        <v>308</v>
      </c>
      <c r="I43" s="4" t="s">
        <v>22</v>
      </c>
      <c r="J43" s="4" t="s">
        <v>309</v>
      </c>
      <c r="K43" s="5" t="s">
        <v>24</v>
      </c>
      <c r="L43" s="4" t="s">
        <v>310</v>
      </c>
    </row>
    <row r="44" customFormat="false" ht="35.05" hidden="false" customHeight="false" outlineLevel="0" collapsed="false">
      <c r="A44" s="4" t="s">
        <v>311</v>
      </c>
      <c r="B44" s="4" t="s">
        <v>304</v>
      </c>
      <c r="C44" s="4" t="s">
        <v>312</v>
      </c>
      <c r="D44" s="4" t="s">
        <v>22</v>
      </c>
      <c r="E44" s="4" t="s">
        <v>313</v>
      </c>
      <c r="F44" s="4" t="s">
        <v>22</v>
      </c>
      <c r="G44" s="4" t="s">
        <v>314</v>
      </c>
      <c r="H44" s="4" t="s">
        <v>315</v>
      </c>
      <c r="I44" s="4" t="s">
        <v>63</v>
      </c>
      <c r="J44" s="4" t="s">
        <v>313</v>
      </c>
      <c r="K44" s="5" t="s">
        <v>316</v>
      </c>
      <c r="L44" s="4" t="s">
        <v>317</v>
      </c>
    </row>
    <row r="45" customFormat="false" ht="15" hidden="false" customHeight="false" outlineLevel="0" collapsed="false">
      <c r="A45" s="4" t="s">
        <v>318</v>
      </c>
      <c r="B45" s="4" t="s">
        <v>304</v>
      </c>
      <c r="C45" s="4" t="s">
        <v>319</v>
      </c>
      <c r="D45" s="4" t="s">
        <v>22</v>
      </c>
      <c r="E45" s="4" t="s">
        <v>320</v>
      </c>
      <c r="F45" s="4" t="s">
        <v>22</v>
      </c>
      <c r="G45" s="4" t="s">
        <v>321</v>
      </c>
      <c r="H45" s="4" t="s">
        <v>321</v>
      </c>
      <c r="I45" s="4" t="s">
        <v>22</v>
      </c>
      <c r="J45" s="4" t="s">
        <v>186</v>
      </c>
      <c r="K45" s="5" t="s">
        <v>24</v>
      </c>
      <c r="L45" s="4"/>
    </row>
    <row r="46" customFormat="false" ht="23.85" hidden="false" customHeight="false" outlineLevel="0" collapsed="false">
      <c r="A46" s="4" t="s">
        <v>322</v>
      </c>
      <c r="B46" s="4" t="s">
        <v>323</v>
      </c>
      <c r="C46" s="4" t="s">
        <v>324</v>
      </c>
      <c r="D46" s="4" t="s">
        <v>325</v>
      </c>
      <c r="E46" s="4" t="s">
        <v>22</v>
      </c>
      <c r="F46" s="4" t="s">
        <v>326</v>
      </c>
      <c r="G46" s="4" t="s">
        <v>327</v>
      </c>
      <c r="H46" s="4" t="s">
        <v>328</v>
      </c>
      <c r="I46" s="4" t="s">
        <v>22</v>
      </c>
      <c r="J46" s="4" t="s">
        <v>22</v>
      </c>
      <c r="K46" s="6" t="s">
        <v>54</v>
      </c>
      <c r="L46" s="4" t="s">
        <v>329</v>
      </c>
    </row>
    <row r="47" customFormat="false" ht="23.85" hidden="false" customHeight="false" outlineLevel="0" collapsed="false">
      <c r="A47" s="4" t="s">
        <v>330</v>
      </c>
      <c r="B47" s="4" t="s">
        <v>304</v>
      </c>
      <c r="C47" s="4" t="s">
        <v>331</v>
      </c>
      <c r="D47" s="4" t="s">
        <v>22</v>
      </c>
      <c r="E47" s="4" t="s">
        <v>22</v>
      </c>
      <c r="F47" s="4" t="s">
        <v>22</v>
      </c>
      <c r="G47" s="4" t="s">
        <v>332</v>
      </c>
      <c r="H47" s="4" t="s">
        <v>333</v>
      </c>
      <c r="I47" s="4" t="s">
        <v>22</v>
      </c>
      <c r="J47" s="4" t="s">
        <v>334</v>
      </c>
      <c r="K47" s="6" t="s">
        <v>54</v>
      </c>
      <c r="L47" s="4" t="s">
        <v>335</v>
      </c>
    </row>
    <row r="48" customFormat="false" ht="23.85" hidden="false" customHeight="false" outlineLevel="0" collapsed="false">
      <c r="A48" s="4" t="s">
        <v>336</v>
      </c>
      <c r="B48" s="4" t="s">
        <v>304</v>
      </c>
      <c r="C48" s="4" t="s">
        <v>337</v>
      </c>
      <c r="D48" s="4" t="s">
        <v>22</v>
      </c>
      <c r="E48" s="4" t="s">
        <v>338</v>
      </c>
      <c r="F48" s="4" t="s">
        <v>22</v>
      </c>
      <c r="G48" s="4" t="s">
        <v>339</v>
      </c>
      <c r="H48" s="4" t="s">
        <v>340</v>
      </c>
      <c r="I48" s="4" t="s">
        <v>22</v>
      </c>
      <c r="J48" s="4" t="s">
        <v>341</v>
      </c>
      <c r="K48" s="5" t="s">
        <v>316</v>
      </c>
      <c r="L48" s="4" t="s">
        <v>342</v>
      </c>
    </row>
    <row r="49" customFormat="false" ht="46.25" hidden="false" customHeight="false" outlineLevel="0" collapsed="false">
      <c r="A49" s="4" t="s">
        <v>343</v>
      </c>
      <c r="B49" s="4" t="s">
        <v>304</v>
      </c>
      <c r="C49" s="4" t="s">
        <v>344</v>
      </c>
      <c r="D49" s="4" t="s">
        <v>22</v>
      </c>
      <c r="E49" s="4" t="s">
        <v>345</v>
      </c>
      <c r="F49" s="4" t="s">
        <v>22</v>
      </c>
      <c r="G49" s="4" t="s">
        <v>346</v>
      </c>
      <c r="H49" s="4" t="s">
        <v>347</v>
      </c>
      <c r="I49" s="4" t="s">
        <v>348</v>
      </c>
      <c r="J49" s="4" t="s">
        <v>334</v>
      </c>
      <c r="K49" s="5" t="s">
        <v>349</v>
      </c>
      <c r="L49" s="4" t="s">
        <v>350</v>
      </c>
    </row>
    <row r="50" customFormat="false" ht="23.85" hidden="false" customHeight="false" outlineLevel="0" collapsed="false">
      <c r="A50" s="4" t="s">
        <v>351</v>
      </c>
      <c r="B50" s="4" t="s">
        <v>352</v>
      </c>
      <c r="C50" s="4" t="s">
        <v>353</v>
      </c>
      <c r="D50" s="4" t="s">
        <v>354</v>
      </c>
      <c r="E50" s="4" t="s">
        <v>22</v>
      </c>
      <c r="F50" s="4" t="s">
        <v>355</v>
      </c>
      <c r="G50" s="4" t="s">
        <v>356</v>
      </c>
      <c r="H50" s="4" t="s">
        <v>357</v>
      </c>
      <c r="I50" s="4" t="s">
        <v>22</v>
      </c>
      <c r="J50" s="4" t="s">
        <v>22</v>
      </c>
      <c r="K50" s="6" t="s">
        <v>54</v>
      </c>
      <c r="L50" s="4" t="s">
        <v>358</v>
      </c>
    </row>
    <row r="51" customFormat="false" ht="35.05" hidden="false" customHeight="false" outlineLevel="0" collapsed="false">
      <c r="A51" s="4" t="s">
        <v>359</v>
      </c>
      <c r="B51" s="4" t="s">
        <v>352</v>
      </c>
      <c r="C51" s="4" t="s">
        <v>360</v>
      </c>
      <c r="D51" s="4" t="s">
        <v>22</v>
      </c>
      <c r="E51" s="4" t="s">
        <v>22</v>
      </c>
      <c r="F51" s="4" t="s">
        <v>22</v>
      </c>
      <c r="G51" s="4" t="s">
        <v>361</v>
      </c>
      <c r="H51" s="4" t="s">
        <v>362</v>
      </c>
      <c r="I51" s="4" t="s">
        <v>22</v>
      </c>
      <c r="J51" s="4" t="s">
        <v>22</v>
      </c>
      <c r="K51" s="6" t="s">
        <v>54</v>
      </c>
      <c r="L51" s="4" t="s">
        <v>363</v>
      </c>
    </row>
    <row r="52" customFormat="false" ht="23.85" hidden="false" customHeight="false" outlineLevel="0" collapsed="false">
      <c r="A52" s="4" t="s">
        <v>364</v>
      </c>
      <c r="B52" s="4" t="s">
        <v>352</v>
      </c>
      <c r="C52" s="4" t="s">
        <v>365</v>
      </c>
      <c r="D52" s="4" t="s">
        <v>22</v>
      </c>
      <c r="E52" s="4" t="s">
        <v>22</v>
      </c>
      <c r="F52" s="4" t="s">
        <v>22</v>
      </c>
      <c r="G52" s="4" t="s">
        <v>366</v>
      </c>
      <c r="H52" s="4" t="s">
        <v>362</v>
      </c>
      <c r="I52" s="4" t="s">
        <v>22</v>
      </c>
      <c r="J52" s="4" t="s">
        <v>22</v>
      </c>
      <c r="K52" s="6" t="s">
        <v>54</v>
      </c>
      <c r="L52" s="4" t="s">
        <v>367</v>
      </c>
    </row>
    <row r="53" customFormat="false" ht="23.85" hidden="false" customHeight="false" outlineLevel="0" collapsed="false">
      <c r="A53" s="4" t="s">
        <v>368</v>
      </c>
      <c r="B53" s="4" t="s">
        <v>369</v>
      </c>
      <c r="C53" s="4" t="s">
        <v>370</v>
      </c>
      <c r="D53" s="4" t="s">
        <v>371</v>
      </c>
      <c r="E53" s="4" t="s">
        <v>372</v>
      </c>
      <c r="F53" s="4" t="s">
        <v>373</v>
      </c>
      <c r="G53" s="4" t="s">
        <v>374</v>
      </c>
      <c r="H53" s="4" t="s">
        <v>74</v>
      </c>
      <c r="I53" s="4" t="s">
        <v>22</v>
      </c>
      <c r="J53" s="4" t="s">
        <v>375</v>
      </c>
      <c r="K53" s="5" t="s">
        <v>24</v>
      </c>
      <c r="L53" s="4" t="s">
        <v>376</v>
      </c>
    </row>
    <row r="54" customFormat="false" ht="35.05" hidden="false" customHeight="false" outlineLevel="0" collapsed="false">
      <c r="A54" s="4" t="s">
        <v>377</v>
      </c>
      <c r="B54" s="4" t="s">
        <v>378</v>
      </c>
      <c r="C54" s="4" t="s">
        <v>379</v>
      </c>
      <c r="D54" s="4" t="s">
        <v>22</v>
      </c>
      <c r="E54" s="4" t="s">
        <v>380</v>
      </c>
      <c r="F54" s="4" t="s">
        <v>381</v>
      </c>
      <c r="G54" s="4" t="s">
        <v>382</v>
      </c>
      <c r="H54" s="4" t="s">
        <v>383</v>
      </c>
      <c r="I54" s="4" t="s">
        <v>348</v>
      </c>
      <c r="J54" s="4" t="s">
        <v>384</v>
      </c>
      <c r="K54" s="5" t="s">
        <v>349</v>
      </c>
      <c r="L54" s="4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386</v>
      </c>
    </row>
    <row r="3" customFormat="false" ht="15" hidden="false" customHeight="false" outlineLevel="0" collapsed="false">
      <c r="A3" s="2" t="s">
        <v>387</v>
      </c>
      <c r="B3" s="2" t="n">
        <f aca="false">COUNTIF('Matriks Uji'!K6:K54,"PASS*")</f>
        <v>38</v>
      </c>
    </row>
    <row r="4" customFormat="false" ht="15" hidden="false" customHeight="false" outlineLevel="0" collapsed="false">
      <c r="A4" s="2" t="s">
        <v>65</v>
      </c>
      <c r="B4" s="2" t="n">
        <f aca="false">COUNTIF('Matriks Uji'!K6:K54,"FAIL*")</f>
        <v>1</v>
      </c>
    </row>
    <row r="5" customFormat="false" ht="15" hidden="false" customHeight="false" outlineLevel="0" collapsed="false">
      <c r="A5" s="2" t="s">
        <v>54</v>
      </c>
      <c r="B5" s="2" t="n">
        <f aca="false">COUNTIF('Matriks Uji'!K6:K54,"BLOCKED*")</f>
        <v>10</v>
      </c>
    </row>
    <row r="6" customFormat="false" ht="15" hidden="false" customHeight="false" outlineLevel="0" collapsed="false">
      <c r="A6" s="2" t="s">
        <v>388</v>
      </c>
      <c r="B6" s="2" t="n">
        <f aca="false">COUNTA('Matriks Uji'!A6:A54)</f>
        <v>49</v>
      </c>
    </row>
    <row r="7" customFormat="false" ht="15" hidden="false" customHeight="false" outlineLevel="0" collapsed="false">
      <c r="A7" s="2" t="s">
        <v>389</v>
      </c>
      <c r="B7" s="2" t="n">
        <f aca="false">COUNTIF('Matriks Uji'!I6:I54,"High*")</f>
        <v>1</v>
      </c>
    </row>
    <row r="8" customFormat="false" ht="15" hidden="false" customHeight="false" outlineLevel="0" collapsed="false">
      <c r="A8" s="2" t="s">
        <v>390</v>
      </c>
      <c r="B8" s="2" t="n">
        <f aca="false">COUNTIF('Matriks Uji'!I6:I54,"Medium")</f>
        <v>2</v>
      </c>
    </row>
    <row r="10" customFormat="false" ht="15" hidden="false" customHeight="false" outlineLevel="0" collapsed="false">
      <c r="A10" s="8" t="s">
        <v>391</v>
      </c>
      <c r="B10" s="2" t="s">
        <v>392</v>
      </c>
    </row>
    <row r="12" customFormat="false" ht="15" hidden="false" customHeight="false" outlineLevel="0" collapsed="false">
      <c r="A12" s="2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9" t="s">
        <v>3</v>
      </c>
      <c r="B1" s="9" t="s">
        <v>394</v>
      </c>
      <c r="C1" s="9" t="s">
        <v>395</v>
      </c>
    </row>
    <row r="2" customFormat="false" ht="23.85" hidden="false" customHeight="false" outlineLevel="0" collapsed="false">
      <c r="A2" s="10" t="s">
        <v>396</v>
      </c>
      <c r="B2" s="10" t="s">
        <v>397</v>
      </c>
      <c r="C2" s="10" t="s">
        <v>398</v>
      </c>
    </row>
    <row r="3" customFormat="false" ht="23.85" hidden="false" customHeight="false" outlineLevel="0" collapsed="false">
      <c r="A3" s="10" t="s">
        <v>399</v>
      </c>
      <c r="B3" s="10" t="s">
        <v>400</v>
      </c>
      <c r="C3" s="10" t="s">
        <v>401</v>
      </c>
    </row>
    <row r="4" customFormat="false" ht="15" hidden="false" customHeight="false" outlineLevel="0" collapsed="false">
      <c r="A4" s="10" t="s">
        <v>402</v>
      </c>
      <c r="B4" s="10" t="s">
        <v>403</v>
      </c>
      <c r="C4" s="10" t="s">
        <v>404</v>
      </c>
    </row>
    <row r="5" customFormat="false" ht="15" hidden="false" customHeight="false" outlineLevel="0" collapsed="false">
      <c r="A5" s="10" t="s">
        <v>405</v>
      </c>
      <c r="B5" s="10" t="s">
        <v>406</v>
      </c>
      <c r="C5" s="10" t="s">
        <v>407</v>
      </c>
    </row>
    <row r="6" customFormat="false" ht="15" hidden="false" customHeight="false" outlineLevel="0" collapsed="false">
      <c r="A6" s="10" t="s">
        <v>408</v>
      </c>
      <c r="B6" s="10" t="s">
        <v>409</v>
      </c>
      <c r="C6" s="10" t="s">
        <v>410</v>
      </c>
    </row>
    <row r="7" customFormat="false" ht="23.85" hidden="false" customHeight="false" outlineLevel="0" collapsed="false">
      <c r="A7" s="10" t="s">
        <v>411</v>
      </c>
      <c r="B7" s="10" t="s">
        <v>412</v>
      </c>
      <c r="C7" s="10" t="s">
        <v>413</v>
      </c>
    </row>
    <row r="8" customFormat="false" ht="15" hidden="false" customHeight="false" outlineLevel="0" collapsed="false">
      <c r="A8" s="10" t="s">
        <v>414</v>
      </c>
      <c r="B8" s="10" t="s">
        <v>415</v>
      </c>
      <c r="C8" s="10" t="s">
        <v>416</v>
      </c>
    </row>
    <row r="9" customFormat="false" ht="15" hidden="false" customHeight="false" outlineLevel="0" collapsed="false">
      <c r="A9" s="10" t="s">
        <v>417</v>
      </c>
      <c r="B9" s="10" t="s">
        <v>418</v>
      </c>
      <c r="C9" s="10" t="s">
        <v>419</v>
      </c>
    </row>
    <row r="10" customFormat="false" ht="15" hidden="false" customHeight="false" outlineLevel="0" collapsed="false">
      <c r="A10" s="10" t="s">
        <v>420</v>
      </c>
      <c r="B10" s="10" t="s">
        <v>421</v>
      </c>
      <c r="C10" s="10" t="s">
        <v>422</v>
      </c>
    </row>
    <row r="11" customFormat="false" ht="15" hidden="false" customHeight="false" outlineLevel="0" collapsed="false">
      <c r="A11" s="10" t="s">
        <v>423</v>
      </c>
      <c r="B11" s="10" t="s">
        <v>424</v>
      </c>
      <c r="C11" s="10" t="s">
        <v>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2026-09-12T09:58:06Z</dcterms:created>
  <dc:creator>openpyxl</dc:creator>
  <dc:description/>
  <dc:language>en-US</dc:language>
  <cp:lastModifiedBy/>
  <dcterms:modified xsi:type="dcterms:W3CDTF">2026-09-12T09:58:06Z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