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ingkasan" sheetId="1" state="visible" r:id="rId3"/>
    <sheet name="Headcount" sheetId="2" state="visible" r:id="rId4"/>
    <sheet name="Pita Gaji" sheetId="3" state="visible" r:id="rId5"/>
    <sheet name="Biaya Bulanan" sheetId="4" state="visible" r:id="rId6"/>
    <sheet name="Proyeksi 24 Bulan" sheetId="5" state="visible" r:id="rId7"/>
    <sheet name="Biaya Non-Gaji" sheetId="6" state="visible" r:id="rId8"/>
    <sheet name="Sensitivitas" sheetId="7" state="visible" r:id="rId9"/>
    <sheet name="Sumber &amp; Catatan" sheetId="8" state="visible" r:id="rId10"/>
  </sheets>
  <definedNames>
    <definedName function="false" hidden="false" name="Pita_Aktif" vbProcedure="false">'Biaya Bulanan'!$D$18</definedName>
    <definedName function="false" hidden="false" name="Pita_CLevel" vbProcedure="false">'Biaya Bulanan'!$D$19</definedName>
    <definedName function="false" hidden="false" name="Plafon_JKN" vbProcedure="false">'Biaya Bulanan'!$D$16</definedName>
    <definedName function="false" hidden="false" name="Plafon_JP" vbProcedure="false">'Biaya Bulanan'!$D$14</definedName>
    <definedName function="false" hidden="false" name="Tarif_JHT" vbProcedure="false">'Biaya Bulanan'!$D$12</definedName>
    <definedName function="false" hidden="false" name="Tarif_JKK_Kantor" vbProcedure="false">'Biaya Bulanan'!$D$9</definedName>
    <definedName function="false" hidden="false" name="Tarif_JKK_Lapangan" vbProcedure="false">'Biaya Bulanan'!$D$10</definedName>
    <definedName function="false" hidden="false" name="Tarif_JKM" vbProcedure="false">'Biaya Bulanan'!$D$11</definedName>
    <definedName function="false" hidden="false" name="Tarif_JKN" vbProcedure="false">'Biaya Bulanan'!$D$15</definedName>
    <definedName function="false" hidden="false" name="Tarif_JP" vbProcedure="false">'Biaya Bulanan'!$D$13</definedName>
    <definedName function="false" hidden="false" name="Tarif_THR" vbProcedure="false">'Biaya Bulanan'!$D$17</definedName>
    <definedName function="false" hidden="false" name="Tunjangan_Pct" vbProcedure="false">'Biaya Bulanan'!$D$8</definedName>
    <definedName function="false" hidden="false" name="UMK_Pekanbaru" vbProcedure="false">'Biaya Bulanan'!$D$6</definedName>
    <definedName function="false" hidden="false" name="UMP_Padang" vbProcedure="false">'Biaya Bulanan'!$D$7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<sst xmlns="http://schemas.openxmlformats.org/spreadsheetml/2006/main" count="1149" uniqueCount="596">
  <si>
    <t xml:space="preserve">AntarKita - Model Biaya SDM: Ringkasan Eksekutif</t>
  </si>
  <si>
    <t xml:space="preserve">Tanggal penyusunan: 7 September 2026  |  Versi model 1.0  |  Penyusun: Analis Keuangan SDM AntarKita</t>
  </si>
  <si>
    <t xml:space="preserve">PERINGATAN WAJIB DIBACA: seluruh PITA GAJI dalam model ini berlabel [ASUMSI]. Angka tersebut adalah konstruksi penyusun (tabel A.4.3 riset), BUKAN kutipan benchmark pasar, dan tidak boleh disajikan sebagai klaim faktual. Tarif iuran BPJS, plafon upah, UMK dan dasar THR BERSUMBER dan dikutip - lihat lembar 'Sumber &amp; Catatan'.</t>
  </si>
  <si>
    <t xml:space="preserve">A. ANGKA KUNCI PER FASE</t>
  </si>
  <si>
    <t xml:space="preserve">Metrik</t>
  </si>
  <si>
    <t xml:space="preserve">Fase 0 (bulan 1-3)</t>
  </si>
  <si>
    <t xml:space="preserve">Fase 1 (bulan 4-12)</t>
  </si>
  <si>
    <t xml:space="preserve">Fase 2 (bulan 13-24)</t>
  </si>
  <si>
    <t xml:space="preserve">Sumber angka</t>
  </si>
  <si>
    <t xml:space="preserve">Jumlah karyawan (kumulatif)</t>
  </si>
  <si>
    <t xml:space="preserve">Lembar 'Headcount' - target mengikat DESAIN-ORGANISASI §3</t>
  </si>
  <si>
    <t xml:space="preserve">Biaya SDM per bulan (Rp)</t>
  </si>
  <si>
    <t xml:space="preserve">Lembar 'Biaya Bulanan' baris TOTAL (run-rate pada staf penuh fase tsb.)</t>
  </si>
  <si>
    <t xml:space="preserve">Biaya SDM per tahun / run-rate 12 bulan (Rp)</t>
  </si>
  <si>
    <t xml:space="preserve">Run-rate, bukan biaya aktual fase (fase 0 &amp; 1 lebih pendek dari 12 bulan)</t>
  </si>
  <si>
    <t xml:space="preserve">Rata-rata biaya SDM per orang per bulan (Rp)</t>
  </si>
  <si>
    <t xml:space="preserve">Turunan: biaya per bulan / jumlah karyawan</t>
  </si>
  <si>
    <t xml:space="preserve">Rasio total cost to company : gaji pokok (rata-rata tertimbang)</t>
  </si>
  <si>
    <t xml:space="preserve">Kebijakan DESAIN §4.3 memakai angka indikatif 1,19x - lihat catatan koreksi</t>
  </si>
  <si>
    <t xml:space="preserve">Biaya non-gaji SDM berulang per bulan (Rp)</t>
  </si>
  <si>
    <t xml:space="preserve">Lembar 'Biaya Non-Gaji' Subtotal A - SELURUHNYA [ASUMSI]</t>
  </si>
  <si>
    <t xml:space="preserve">B. BIAYA KUMULATIF 24 BULAN &amp; PORSI TERHADAP KEBUTUHAN PENDANAAN</t>
  </si>
  <si>
    <t xml:space="preserve">Pos</t>
  </si>
  <si>
    <t xml:space="preserve">Nilai (Rp)</t>
  </si>
  <si>
    <t xml:space="preserve">Sumber / status</t>
  </si>
  <si>
    <t xml:space="preserve">Biaya SDM (gaji + iuran + THR) kumulatif bulan 1-24</t>
  </si>
  <si>
    <t xml:space="preserve">Lembar 'Proyeksi 24 Bulan' - mengikuti jadwal rekrutmen per posisi</t>
  </si>
  <si>
    <t xml:space="preserve">Biaya SDM kumulatif bulan 1-12 (tahun pertama)</t>
  </si>
  <si>
    <t xml:space="preserve">Lembar 'Proyeksi 24 Bulan'</t>
  </si>
  <si>
    <t xml:space="preserve">Biaya non-gaji SDM kumulatif bulan 1-24</t>
  </si>
  <si>
    <t xml:space="preserve">Lembar 'Biaya Non-Gaji' - SELURUHNYA [ASUMSI]</t>
  </si>
  <si>
    <t xml:space="preserve">TOTAL BIAYA TERKAIT SDM 24 BULAN</t>
  </si>
  <si>
    <t xml:space="preserve">Jumlah dua baris di atas</t>
  </si>
  <si>
    <t xml:space="preserve">Modal minimum sektoral KBLI 53200 Aktivitas Kurir</t>
  </si>
  <si>
    <t xml:space="preserve">[S-41] Klinik Hukumonline 20 Apr 2026 - kegiatan berisiko tinggi</t>
  </si>
  <si>
    <t xml:space="preserve">Pos non-SDM lainnya 24 bulan (insentif mitra, pemasaran, infrastruktur, perizinan)</t>
  </si>
  <si>
    <t xml:space="preserve">[ASUMSI] INPUT PENGGUNA - WAJIB diganti dengan angka rencana bisnis. Tidak ada sumber (CAC/CAD tidak ditemukan benchmark-nya)</t>
  </si>
  <si>
    <t xml:space="preserve">KEBUTUHAN PENDANAAN 24 BULAN</t>
  </si>
  <si>
    <t xml:space="preserve">Total biaya terkait SDM + modal sektoral + pos non-SDM lainnya</t>
  </si>
  <si>
    <t xml:space="preserve">Porsi BIAYA SDM (gaji) terhadap kebutuhan pendanaan 24 bulan</t>
  </si>
  <si>
    <t xml:space="preserve">Sensitif terhadap 'Pos non-SDM lainnya' yang berlabel [ASUMSI]</t>
  </si>
  <si>
    <t xml:space="preserve">Porsi TOTAL BIAYA TERKAIT SDM (gaji + non-gaji) terhadap kebutuhan pendanaan 24 bulan</t>
  </si>
  <si>
    <t xml:space="preserve">C. SKENARIO - HEMAT / DASAR / AGRESIF</t>
  </si>
  <si>
    <t xml:space="preserve">Skenario</t>
  </si>
  <si>
    <t xml:space="preserve">Posisi pita gaji</t>
  </si>
  <si>
    <t xml:space="preserve">Faktor jumlah posisi</t>
  </si>
  <si>
    <t xml:space="preserve">Headcount Fase 2 (orang)</t>
  </si>
  <si>
    <t xml:space="preserve">Biaya SDM/bulan Fase 2 (Rp)</t>
  </si>
  <si>
    <t xml:space="preserve">Biaya SDM/tahun Fase 2 (Rp)</t>
  </si>
  <si>
    <t xml:space="preserve">Biaya SDM kumulatif 24 bulan (Rp)</t>
  </si>
  <si>
    <t xml:space="preserve">Keterangan</t>
  </si>
  <si>
    <t xml:space="preserve">Hemat</t>
  </si>
  <si>
    <t xml:space="preserve">P25</t>
  </si>
  <si>
    <t xml:space="preserve">Menawar di batas bawah pita; 6 posisi ditunda ke Fase 3. Risiko: gagal merekrut Senior Engineer &amp; Head, waktu rekrutmen memanjang.</t>
  </si>
  <si>
    <t xml:space="preserve">Dasar</t>
  </si>
  <si>
    <t xml:space="preserve">P50</t>
  </si>
  <si>
    <t xml:space="preserve">Kebijakan resmi DESAIN-ORGANISASI §4.2 (penawaran default P50; C-Level tetap P25 + ESOP). Ini angka yang dipakai seluruh lembar lain.</t>
  </si>
  <si>
    <t xml:space="preserve">Agresif</t>
  </si>
  <si>
    <t xml:space="preserve">P75</t>
  </si>
  <si>
    <t xml:space="preserve">Merebut talenta senior &amp; mempercepat kota kedua; 6 posisi tambahan. Naikkan hanya bila pendanaan sudah pasti.</t>
  </si>
  <si>
    <t xml:space="preserve">Uji: skenario Dasar harus sama dengan lembar 'Biaya Bulanan' (selisih = 0)</t>
  </si>
  <si>
    <t xml:space="preserve">D. CATATAN PENTING</t>
  </si>
  <si>
    <t xml:space="preserve">1. Tanggal penyusunan model: 7 September 2026. Seluruh sumber diakses pada tanggal yang sama (lihat lembar 'Sumber &amp; Catatan').</t>
  </si>
  <si>
    <t xml:space="preserve">2. SELURUH PITA GAJI BERLABEL [ASUMSI]. Diturunkan dari tabel A.4.3 riset yang sendiri merupakan konstruksi penyusun, bukan kutipan salary guide. Wajib divalidasi dengan minimal 5 penawaran gaji riil sebelum dipakai sebagai klaim.</t>
  </si>
  <si>
    <t xml:space="preserve">3. Tarif JKK 0,54% (kantor) dan 0,89% (lapangan) juga [ASUMSI]: kelompok risiko ditetapkan BPJS Ketenagakerjaan berdasarkan jenis usaha, bukan deklarasi perusahaan.</t>
  </si>
  <si>
    <t xml:space="preserve">4. PPh 21 (PP 58/2023, skema TER) TIDAK dimodelkan sebagai biaya perusahaan - dipotong dari upah pekerja. Tidak ada kebijakan gross-up dalam model ini.</t>
  </si>
  <si>
    <t xml:space="preserve">5. Biaya mitra pengemudi (BPJS BPU, BHR 25%) BERADA DI LUAR model ini karena berstatus kemitraan, bukan hubungan kerja. Ini adalah risiko regulasi tingkat pertama - bila status berubah menjadi hubungan kerja, struktur biaya berubah fundamental.</t>
  </si>
  <si>
    <t xml:space="preserve">6. Model tidak memuat kenaikan gaji tahunan, insentif variabel (maks. 20% - DESAIN §4.5), lembur, maupun beban ESOP.</t>
  </si>
  <si>
    <t xml:space="preserve">7. Sel bertulisan BIRU adalah input yang boleh diubah investor; sel berlatar KUNING adalah asumsi kunci. Semua angka lain adalah rumus hidup.</t>
  </si>
  <si>
    <t xml:space="preserve">Sumber baris: seluruh angka pada lembar ini adalah tautan hidup ke lembar 'Headcount', 'Biaya Bulanan', 'Proyeksi 24 Bulan' dan 'Biaya Non-Gaji'. Dasar statutori: [S-07] s.d. [S-16]; UMK [S-01][S-03][S-04][S-05][S-06]; pita gaji [S-18][S-19] + [ASUMSI] A.4.3.</t>
  </si>
  <si>
    <t xml:space="preserve">AntarKita - Daftar Posisi &amp; Rencana Tenaga Kerja Bertahap</t>
  </si>
  <si>
    <t xml:space="preserve">Disusun 7 September 2026. Struktur mengikuti docs/organisasi/DESAIN-ORGANISASI.md §2 dan §3 (keputusan mengikat). Angka orang bersifat KUMULATIF per fase.</t>
  </si>
  <si>
    <t xml:space="preserve">No</t>
  </si>
  <si>
    <t xml:space="preserve">Direktorat</t>
  </si>
  <si>
    <t xml:space="preserve">Posisi</t>
  </si>
  <si>
    <t xml:space="preserve">Kota Kerja</t>
  </si>
  <si>
    <t xml:space="preserve">Kota Payroll</t>
  </si>
  <si>
    <t xml:space="preserve">Level</t>
  </si>
  <si>
    <t xml:space="preserve">Bulan Mulai</t>
  </si>
  <si>
    <t xml:space="preserve">Orang Fase 0 (bln 1-3)</t>
  </si>
  <si>
    <t xml:space="preserve">Orang Fase 1 (bln 4-12)</t>
  </si>
  <si>
    <t xml:space="preserve">Orang Fase 2 (bln 13-24)</t>
  </si>
  <si>
    <t xml:space="preserve">Catatan peran</t>
  </si>
  <si>
    <t xml:space="preserve">Direksi &amp; Tata Kelola</t>
  </si>
  <si>
    <t xml:space="preserve">Direktur Utama (CEO)</t>
  </si>
  <si>
    <t xml:space="preserve">Pekanbaru</t>
  </si>
  <si>
    <t xml:space="preserve">C-Level</t>
  </si>
  <si>
    <t xml:space="preserve">Pemegang KPI kas &amp; runway. Gaji tunai ditahan di P25; selisih dikompensasi ESOP (DESAIN-ORGANISASI §4.4).</t>
  </si>
  <si>
    <t xml:space="preserve">HR &amp; GA Generalist</t>
  </si>
  <si>
    <t xml:space="preserve">Staf Senior</t>
  </si>
  <si>
    <t xml:space="preserve">Garis putus ke seluruh direktorat: rekrutmen, payroll, BPJS, kantor 2 kota.</t>
  </si>
  <si>
    <t xml:space="preserve">Teknologi</t>
  </si>
  <si>
    <t xml:space="preserve">Direktur Teknologi (CTO)</t>
  </si>
  <si>
    <t xml:space="preserve">KPI operasional sendiri: crash-free session &amp; waktu balas API p95 (DESAIN §5).</t>
  </si>
  <si>
    <t xml:space="preserve">Engineering Manager</t>
  </si>
  <si>
    <t xml:space="preserve">Remote</t>
  </si>
  <si>
    <t xml:space="preserve">Manajer</t>
  </si>
  <si>
    <t xml:space="preserve">Rentang kendali 3-6 engineer (DESAIN §1.4). Payroll mengikuti struktur Pekanbaru.</t>
  </si>
  <si>
    <t xml:space="preserve">Mobile Engineer (Senior)</t>
  </si>
  <si>
    <t xml:space="preserve">Senior</t>
  </si>
  <si>
    <t xml:space="preserve">Aplikasi pengguna &amp; mitra; wajib ada sejak Fase 0 untuk uji tertutup.</t>
  </si>
  <si>
    <t xml:space="preserve">Mobile Engineer (Mid)</t>
  </si>
  <si>
    <t xml:space="preserve">Mid</t>
  </si>
  <si>
    <t xml:space="preserve">Mobile Engineer (Mid) - gelombang 2</t>
  </si>
  <si>
    <t xml:space="preserve">Beban fitur dua kota + AntarFood/AntarSend.</t>
  </si>
  <si>
    <t xml:space="preserve">Backend Engineer (Senior)</t>
  </si>
  <si>
    <t xml:space="preserve">Pemilik skema dompet &amp; rekonsiliasi; kritikal untuk pemisahan tugas keuangan.</t>
  </si>
  <si>
    <t xml:space="preserve">Backend Engineer (Senior) - gelombang 2</t>
  </si>
  <si>
    <t xml:space="preserve">Backend Engineer (Mid)</t>
  </si>
  <si>
    <t xml:space="preserve">Backend Engineer (Mid) - gelombang 2</t>
  </si>
  <si>
    <t xml:space="preserve">QA Engineer</t>
  </si>
  <si>
    <t xml:space="preserve">Gerbang rilis; menahan regresi pada alur pembayaran.</t>
  </si>
  <si>
    <t xml:space="preserve">QA Engineer - gelombang 2</t>
  </si>
  <si>
    <t xml:space="preserve">Junior Software Engineer</t>
  </si>
  <si>
    <t xml:space="preserve">Junior</t>
  </si>
  <si>
    <t xml:space="preserve">Jalur kaderisasi lokal; menekan biaya rata-rata per engineer.</t>
  </si>
  <si>
    <t xml:space="preserve">Junior Software Engineer - Padang</t>
  </si>
  <si>
    <t xml:space="preserve">Padang</t>
  </si>
  <si>
    <t xml:space="preserve">Direkrut di Padang; struktur payroll Padang.</t>
  </si>
  <si>
    <t xml:space="preserve">Product Designer (UI/UX)</t>
  </si>
  <si>
    <t xml:space="preserve">Product Designer (UI/UX) - gelombang 2</t>
  </si>
  <si>
    <t xml:space="preserve">Data Analyst</t>
  </si>
  <si>
    <t xml:space="preserve">Menyusun laporan Portal Eksekutif &amp; audit KPI dari tabel orders/tickets.</t>
  </si>
  <si>
    <t xml:space="preserve">Operasi</t>
  </si>
  <si>
    <t xml:space="preserve">Direktur Operasi (COO)</t>
  </si>
  <si>
    <t xml:space="preserve">Gaji tunai ditahan di P25 (DESAIN §4.4).</t>
  </si>
  <si>
    <t xml:space="preserve">City Manager Pekanbaru</t>
  </si>
  <si>
    <t xml:space="preserve">P&amp;L tingkat kota; target likuiditas pasar Fase 1.</t>
  </si>
  <si>
    <t xml:space="preserve">Ops Supervisor Pekanbaru</t>
  </si>
  <si>
    <t xml:space="preserve">Supervisor</t>
  </si>
  <si>
    <t xml:space="preserve">Partner Acquisition Pekanbaru</t>
  </si>
  <si>
    <t xml:space="preserve">Staf</t>
  </si>
  <si>
    <t xml:space="preserve">2 orang. Target dihitung dari mitra AKTIF (hanya +-20% mitra terdaftar aktif, [S-58]). Insentif variabel maks. 20% (DESAIN §4.5) TIDAK dimodelkan di sini.</t>
  </si>
  <si>
    <t xml:space="preserve">Head of Customer Experience</t>
  </si>
  <si>
    <t xml:space="preserve">Head</t>
  </si>
  <si>
    <t xml:space="preserve">Merangkap CS Lead pada Fase 1 (tidak ada peran yang hanya mengawasi, DESAIN §1.5).</t>
  </si>
  <si>
    <t xml:space="preserve">CS Agent Pekanbaru (shift)</t>
  </si>
  <si>
    <t xml:space="preserve">3 orang untuk 3 shift. Gaji pokok P25 = lantai UMK Pekanbaru.</t>
  </si>
  <si>
    <t xml:space="preserve">Trust &amp; Safety Officer</t>
  </si>
  <si>
    <t xml:space="preserve">Anti-fraud, penanganan insiden, tombol SOS. Wajib ada sebelum volume order naik.</t>
  </si>
  <si>
    <t xml:space="preserve">City Manager Padang</t>
  </si>
  <si>
    <t xml:space="preserve">Pembuka kota kedua; pola +1 City Manager + 2 Ops per kota baru (DESAIN §1.1).</t>
  </si>
  <si>
    <t xml:space="preserve">Partner Acquisition Padang</t>
  </si>
  <si>
    <t xml:space="preserve">Ops Supervisor Padang</t>
  </si>
  <si>
    <t xml:space="preserve">CS Agent Padang (shift)</t>
  </si>
  <si>
    <t xml:space="preserve">2 orang. CS Pekanbaru menutup shift ketiga lintas kota.</t>
  </si>
  <si>
    <t xml:space="preserve">Partner Acquisition Padang - gelombang 2</t>
  </si>
  <si>
    <t xml:space="preserve">Growth &amp; Partnership</t>
  </si>
  <si>
    <t xml:space="preserve">Head of Growth &amp; Partnership</t>
  </si>
  <si>
    <t xml:space="preserve">Memikul target pendapatan non-komisi - penting karena batas potongan ojek roda dua maks. 8% (Perpres 27/2026, [S-25]).</t>
  </si>
  <si>
    <t xml:space="preserve">Digital Marketing Staff</t>
  </si>
  <si>
    <t xml:space="preserve">Merchant Acquisition Officer</t>
  </si>
  <si>
    <t xml:space="preserve">Akuisisi merchant AntarFood/AntarShop; pita disamakan dengan Field/Driver Acquisition officer.</t>
  </si>
  <si>
    <t xml:space="preserve">Keuangan</t>
  </si>
  <si>
    <t xml:space="preserve">Head of Finance</t>
  </si>
  <si>
    <t xml:space="preserve">Merangkap Direktur Keuangan pada Fase 1-2 (DESAIN §2). Gaji tunai ditahan di P25.</t>
  </si>
  <si>
    <t xml:space="preserve">Finance &amp; Accounting Staff</t>
  </si>
  <si>
    <t xml:space="preserve">Pelaksana pencairan - terpisah dari penyetuju dan perekonsiliasi (DESAIN §6).</t>
  </si>
  <si>
    <t xml:space="preserve">Treasury/Settlement Officer</t>
  </si>
  <si>
    <t xml:space="preserve">Rekonsiliasi dompet &amp; payout mitra; pemisah tugas ketiga. Relevan dengan ambang dana float Rp1 miliar ([S-31]).</t>
  </si>
  <si>
    <t xml:space="preserve">Finance &amp; Accounting Staff - Padang</t>
  </si>
  <si>
    <t xml:space="preserve">Legal &amp; Kepatuhan</t>
  </si>
  <si>
    <t xml:space="preserve">Head of Legal &amp; Compliance (merangkap DPO)</t>
  </si>
  <si>
    <t xml:space="preserve">Wajib sejak Fase 1: UU 27/2022 Ps.53 + Putusan MK 151/PUU-XXII/2024 ([S-37],[S-39]); juga menangani PSE/TDPSE dan KBLI.</t>
  </si>
  <si>
    <t xml:space="preserve">TOTAL HEADCOUNT (kumulatif)</t>
  </si>
  <si>
    <t xml:space="preserve">Target DESAIN-ORGANISASI §3 (mengikat)</t>
  </si>
  <si>
    <t xml:space="preserve">UJI KECOCOKAN (harus 0)</t>
  </si>
  <si>
    <t xml:space="preserve">REKAP HEADCOUNT PER DIREKTORAT</t>
  </si>
  <si>
    <t xml:space="preserve">Fase 0</t>
  </si>
  <si>
    <t xml:space="preserve">Fase 1</t>
  </si>
  <si>
    <t xml:space="preserve">Fase 2</t>
  </si>
  <si>
    <t xml:space="preserve">TOTAL</t>
  </si>
  <si>
    <t xml:space="preserve">UJI RASIO PRODUK : OPERASI &amp; KOMERSIAL : DUKUNGAN (target DESAIN §1.2 = 40 : 45 : 15)</t>
  </si>
  <si>
    <t xml:space="preserve">Kelompok</t>
  </si>
  <si>
    <t xml:space="preserve">Produk &amp; Teknologi (Direktorat Teknologi)</t>
  </si>
  <si>
    <t xml:space="preserve">Operasi &amp; Komersial (Operasi + Growth &amp; Partnership)</t>
  </si>
  <si>
    <t xml:space="preserve">Dukungan &amp; Tata Kelola (Direksi + Keuangan + Legal)</t>
  </si>
  <si>
    <t xml:space="preserve">Sumber baris: struktur &amp; total per fase dari docs/organisasi/DESAIN-ORGANISASI.md §2-§3 (9 / 24 / 42 orang, mengikat). Kolom Orang Fase 0/1/2 adalah TAUTAN HIDUP ke lembar 'Biaya Bulanan' agar tidak ada dua sumber angka.</t>
  </si>
  <si>
    <t xml:space="preserve">Dewan Komisaris TIDAK dihitung sebagai karyawan (honorarium diperlakukan sebagai biaya tata kelola, di luar cakupan model ini). Mitra pengemudi berstatus KEMITRAAN, bukan hubungan kerja - lihat lembar 'Sumber &amp; Catatan'.</t>
  </si>
  <si>
    <t xml:space="preserve">Deviasi rasio terhadap target 40:45:15 dijelaskan di lembar 'Sumber &amp; Catatan' (Catatan koreksi penyusun).</t>
  </si>
  <si>
    <t xml:space="preserve">AntarKita - Pita Gaji per Posisi, Pekanbaru &amp; Padang</t>
  </si>
  <si>
    <t xml:space="preserve">Disusun 7 September 2026. SELURUH ANGKA PADA LEMBAR INI ADALAH [ASUMSI] - diturunkan dari tabel A.4.3 docs/riset/RISET-KOMPENSASI-REGULASI.md. Bukan kutipan benchmark pasar. Wajib divalidasi dengan minimal 5 penawaran gaji riil.</t>
  </si>
  <si>
    <t xml:space="preserve">PEKANBARU - [ASUMSI]</t>
  </si>
  <si>
    <t xml:space="preserve">PADANG - [ASUMSI]</t>
  </si>
  <si>
    <t xml:space="preserve">Kunci Pita (posisi rujukan)</t>
  </si>
  <si>
    <t xml:space="preserve">Status data</t>
  </si>
  <si>
    <t xml:space="preserve">P25 [ASUMSI] (Rp)</t>
  </si>
  <si>
    <t xml:space="preserve">P50 [ASUMSI] (Rp)</t>
  </si>
  <si>
    <t xml:space="preserve">P75 [ASUMSI] (Rp)</t>
  </si>
  <si>
    <t xml:space="preserve">Rasio P50 : UMK Pekanbaru</t>
  </si>
  <si>
    <t xml:space="preserve">Rasio P50 : UMP Padang</t>
  </si>
  <si>
    <t xml:space="preserve">Uji kewajaran: P25 &gt;= UMK kota?</t>
  </si>
  <si>
    <t xml:space="preserve">Basis penurunan / sumber</t>
  </si>
  <si>
    <t xml:space="preserve">CEO / Direktur Utama</t>
  </si>
  <si>
    <t xml:space="preserve">A.4.3 riset</t>
  </si>
  <si>
    <t xml:space="preserve">A.4.3: tidak ditemukan sumber kredibel; asumsi murni, C-level dikompensasi ekuitas pra-pendanaan</t>
  </si>
  <si>
    <t xml:space="preserve">CTO</t>
  </si>
  <si>
    <t xml:space="preserve">A.4.3: ~0,55 x Head of Engineering Jakarta 2025 (Rp81 jt) [S-19]</t>
  </si>
  <si>
    <t xml:space="preserve">A.4.3: ~0,40 x Engineering Manager Jakarta 2025 (Rp67 jt) [S-19]</t>
  </si>
  <si>
    <t xml:space="preserve">Senior Software Engineer</t>
  </si>
  <si>
    <t xml:space="preserve">A.4.3: ~0,55 x Senior SWE Jakarta 2023 (Rp35 jt) [S-18] + inflasi upah</t>
  </si>
  <si>
    <t xml:space="preserve">Mid Software Engineer</t>
  </si>
  <si>
    <t xml:space="preserve">A.4.3: ~0,55 x Back-end Developer Jakarta 2025 (Rp25 jt) [S-19]</t>
  </si>
  <si>
    <t xml:space="preserve">A.4.3: 1,5-2,3 x UMK kota [S-05]/[S-03]</t>
  </si>
  <si>
    <t xml:space="preserve">Product Designer / UI-UX</t>
  </si>
  <si>
    <t xml:space="preserve">A.4.3: ~0,25-0,45 x UX/UI Designer Jakarta 2025 (Rp43 jt) [S-19]</t>
  </si>
  <si>
    <t xml:space="preserve">A.4.3: ~0,30-0,50 x QA Engineer Jakarta 2023 (Rp25 jt) [S-18]</t>
  </si>
  <si>
    <t xml:space="preserve">A.4.3: di bawah Lead Data Scientist [S-19]; level analyst tidak tersedia di sumber</t>
  </si>
  <si>
    <t xml:space="preserve">Head of Operations</t>
  </si>
  <si>
    <t xml:space="preserve">A.4.3: tidak ditemukan sumber kredibel; anchor setara Engineering Manager lokal</t>
  </si>
  <si>
    <t xml:space="preserve">City / Area Manager</t>
  </si>
  <si>
    <t xml:space="preserve">A.4.3: 2,5-4,5 x UMK kota [S-05]/[S-03]</t>
  </si>
  <si>
    <t xml:space="preserve">Ops Supervisor</t>
  </si>
  <si>
    <t xml:space="preserve">Customer Service agent</t>
  </si>
  <si>
    <t xml:space="preserve">A.4.3: lantai = UMK legal ([S-05] Pekanbaru; [S-03] Padang). Tidak ada benchmark CS 2 kota ini</t>
  </si>
  <si>
    <t xml:space="preserve">Field / Driver Acquisition officer</t>
  </si>
  <si>
    <t xml:space="preserve">A.4.3: lantai = UMK; komponen insentif per akuisisi TIDAK disumberkan dan tidak dimodelkan</t>
  </si>
  <si>
    <t xml:space="preserve">Finance &amp; Accounting staff</t>
  </si>
  <si>
    <t xml:space="preserve">A.4.3: 1,3-2,0 x UMK kota [S-05]/[S-03]</t>
  </si>
  <si>
    <t xml:space="preserve">A.4.3: tidak ditemukan sumber kredibel</t>
  </si>
  <si>
    <t xml:space="preserve">Legal &amp; Compliance officer</t>
  </si>
  <si>
    <t xml:space="preserve">Marketing / Growth lead</t>
  </si>
  <si>
    <t xml:space="preserve">Digital marketing staff</t>
  </si>
  <si>
    <t xml:space="preserve">A.4.3: 1,3-2,3 x UMK kota [S-05]/[S-03]</t>
  </si>
  <si>
    <t xml:space="preserve">HR generalist</t>
  </si>
  <si>
    <t xml:space="preserve">A.4.3: 1,5-2,8 x UMK kota [S-05]/[S-03]</t>
  </si>
  <si>
    <t xml:space="preserve">TURUNAN penyusun model</t>
  </si>
  <si>
    <t xml:space="preserve">TIDAK ADA baris di A.4.3. [ASUMSI] disetarakan dengan pita City / Area Manager (peer level Head kota)</t>
  </si>
  <si>
    <t xml:space="preserve">TIDAK ADA baris di A.4.3. [ASUMSI] 1,75-3,0 x UMK Pekanbaru; 1,9-3,1 x UMP Padang</t>
  </si>
  <si>
    <t xml:space="preserve">Treasury / Settlement Officer</t>
  </si>
  <si>
    <t xml:space="preserve">TIDAK ADA baris di A.4.3. [ASUMSI] 1,25 x pita Finance &amp; Accounting staff A.4.3</t>
  </si>
  <si>
    <t xml:space="preserve">Metode P50: titik tengah aritmetik antara P25 dan P75 (bukan median pasar - tidak ada data pasar yang dapat dikutip).</t>
  </si>
  <si>
    <t xml:space="preserve">Jumlah baris dengan status 'PERIKSA' (harus 0):</t>
  </si>
  <si>
    <t xml:space="preserve">Sumber baris: tabel A.4.3 docs/riset/RISET-KOMPENSASI-REGULASI.md - seluruhnya konstruksi penyusun riset, diturunkan dari [S-18] (Michael Page 2023), [S-19] (Michael Page 2025) dan UMK kota [S-01][S-03][S-04][S-05][S-06]. Faktor geografis Jakarta -&gt; Pekanbaru/Padang (0,45-0,70) adalah [ASUMSI] tanpa dasar empiris.</t>
  </si>
  <si>
    <t xml:space="preserve">Tiga baris berstatus 'TURUNAN penyusun model' (Head of Customer Experience, Trust &amp; Safety Officer, Treasury / Settlement Officer) TIDAK ADA di A.4.3 dan merupakan asumsi tambahan penyusun model biaya - dasar penurunannya ditulis di kolom terakhir.</t>
  </si>
  <si>
    <t xml:space="preserve">Posisi berstatus Remote memakai struktur payroll Pekanbaru (kota induk). UMK Pekanbaru 2026 Rp3.998.179; UMK/UMP Padang 2026 Rp3.182.955 - selisih 25,6%.</t>
  </si>
  <si>
    <t xml:space="preserve">AntarKita - Biaya SDM Bulanan per Posisi (total cost to company)</t>
  </si>
  <si>
    <t xml:space="preserve">Disusun 7 September 2026. Seluruh pita gaji berlabel [ASUMSI] (lihat lembar 'Pita Gaji'). Tulisan BIRU = input yang boleh diubah investor; tulisan hitam = rumus hidup.</t>
  </si>
  <si>
    <t xml:space="preserve">BLOK ASUMSI (bernama) - seluruh rumus di berkas ini merujuk ke sel-sel di bawah</t>
  </si>
  <si>
    <t xml:space="preserve">Parameter</t>
  </si>
  <si>
    <t xml:space="preserve">Nilai</t>
  </si>
  <si>
    <t xml:space="preserve">Dasar hukum / sumber / status data</t>
  </si>
  <si>
    <t xml:space="preserve">UMK Kota Pekanbaru 2026 (Rp/bulan)</t>
  </si>
  <si>
    <t xml:space="preserve">[S-01] [S-05] [S-06] - berlaku 1 Januari 2026</t>
  </si>
  <si>
    <t xml:space="preserve">UMK/UMP Kota Padang 2026 (Rp/bulan)</t>
  </si>
  <si>
    <t xml:space="preserve">[S-03] [S-04] - Sumbar tidak menetapkan UMK tersendiri</t>
  </si>
  <si>
    <t xml:space="preserve">Tunjangan tetap (% gaji pokok)</t>
  </si>
  <si>
    <t xml:space="preserve">[ASUMSI] penyusun model - transport &amp; komunikasi. Tidak ada sumber. Gaji pokok tetap 90,9% dari upah, memenuhi batas min. 75% PP 36/2021 [S-14]</t>
  </si>
  <si>
    <t xml:space="preserve">JKK pemberi kerja - karyawan kantor</t>
  </si>
  <si>
    <t xml:space="preserve">[ASUMSI] kelompok risiko RENDAH, PP 44/2015 [S-08]. Penetapan final oleh BPJS Ketenagakerjaan</t>
  </si>
  <si>
    <t xml:space="preserve">JKK pemberi kerja - staf lapangan</t>
  </si>
  <si>
    <t xml:space="preserve">[ASUMSI] kelompok risiko SEDANG, PP 44/2015 [S-08]. Penetapan final oleh BPJS Ketenagakerjaan</t>
  </si>
  <si>
    <t xml:space="preserve">JKM pemberi kerja</t>
  </si>
  <si>
    <t xml:space="preserve">PP 44/2015 [S-07] [S-08] - tanpa batas upah</t>
  </si>
  <si>
    <t xml:space="preserve">JHT pemberi kerja</t>
  </si>
  <si>
    <t xml:space="preserve">PP 46/2015 [S-07] - tanpa batas upah</t>
  </si>
  <si>
    <t xml:space="preserve">JP pemberi kerja</t>
  </si>
  <si>
    <t xml:space="preserve">PP 45/2015 [S-07]</t>
  </si>
  <si>
    <t xml:space="preserve">Plafon upah dasar JP (Rp/bulan)</t>
  </si>
  <si>
    <t xml:space="preserve">[S-09] [S-10] - berlaku sejak Maret 2026</t>
  </si>
  <si>
    <t xml:space="preserve">BPJS Kesehatan pemberi kerja</t>
  </si>
  <si>
    <t xml:space="preserve">Perpres 64/2020 Pasal 30 [S-12] (total 5%: 4% pemberi kerja + 1% pekerja)</t>
  </si>
  <si>
    <t xml:space="preserve">Plafon upah dasar BPJS Kesehatan (Rp/bulan)</t>
  </si>
  <si>
    <t xml:space="preserve">Perpres 64/2020 Pasal 30 &amp; 32 [S-12] [S-13]. Batas bawah = UMK/UMP kota</t>
  </si>
  <si>
    <t xml:space="preserve">Akrual THR per bulan (% upah)</t>
  </si>
  <si>
    <t xml:space="preserve">Setara 1/12 upah sebulan. PP 36/2021 [S-14], Permenaker 6/2016 [S-15], SE Menaker M/3/HK.04.00/III/2026 [S-16]</t>
  </si>
  <si>
    <t xml:space="preserve">Pita gaji aktif untuk seluruh posisi non-C-Level</t>
  </si>
  <si>
    <t xml:space="preserve">Kebijakan penawaran default (DESAIN-ORGANISASI §4.2). Ubah ke P25 / P75 untuk skenario Hemat / Agresif</t>
  </si>
  <si>
    <t xml:space="preserve">Pita gaji untuk posisi C-Level</t>
  </si>
  <si>
    <t xml:space="preserve">DESAIN-ORGANISASI §4.4 - gaji tunai C-level ditahan di P25, selisih dikompensasi ESOP</t>
  </si>
  <si>
    <t xml:space="preserve">PPh 21 (skema TER, PP 58/2023 [S-17]) TIDAK dimodelkan sebagai biaya perusahaan - dipotong dari upah pekerja. Tidak ada kebijakan gross-up dalam model ini; bila kelak diterapkan, biaya perusahaan naik di atas angka lembar ini.</t>
  </si>
  <si>
    <t xml:space="preserve">Iuran pekerja (JHT 2% + JP 1% + JKN 1%) juga TIDAK termasuk - itu potongan upah, bukan beban pemberi kerja. Mitra pengemudi (BPU/BHR) berada DI LUAR cakupan model ini karena berstatus kemitraan, bukan hubungan kerja.</t>
  </si>
  <si>
    <t xml:space="preserve">BLOK BANTU SKENARIO &amp; SENSITIVITAS (dipakai lembar Ringkasan dan Sensitivitas)</t>
  </si>
  <si>
    <t xml:space="preserve">Kunci Pita Gaji</t>
  </si>
  <si>
    <t xml:space="preserve">Kelompok Risiko JKK</t>
  </si>
  <si>
    <t xml:space="preserve">Pita Dipakai</t>
  </si>
  <si>
    <t xml:space="preserve">Gaji Pokok /orang (Rp)</t>
  </si>
  <si>
    <t xml:space="preserve">Tunjangan Tetap /orang (Rp)</t>
  </si>
  <si>
    <t xml:space="preserve">Upah Dasar Perhitungan (Rp)</t>
  </si>
  <si>
    <t xml:space="preserve">JKK Pemberi Kerja (Rp)</t>
  </si>
  <si>
    <t xml:space="preserve">JKM Pemberi Kerja (Rp)</t>
  </si>
  <si>
    <t xml:space="preserve">JHT Pemberi Kerja (Rp)</t>
  </si>
  <si>
    <t xml:space="preserve">JP Pemberi Kerja (Rp)</t>
  </si>
  <si>
    <t xml:space="preserve">BPJS Kesehatan Pemberi Kerja (Rp)</t>
  </si>
  <si>
    <t xml:space="preserve">Akrual THR (Rp)</t>
  </si>
  <si>
    <t xml:space="preserve">TOTAL COST TO COMPANY /orang (Rp)</t>
  </si>
  <si>
    <t xml:space="preserve">Rasio CTC : Gaji Pokok</t>
  </si>
  <si>
    <t xml:space="preserve">Orang Fase 0</t>
  </si>
  <si>
    <t xml:space="preserve">Orang Fase 1</t>
  </si>
  <si>
    <t xml:space="preserve">Orang Fase 2</t>
  </si>
  <si>
    <t xml:space="preserve">Biaya/bulan Fase 0 (Rp)</t>
  </si>
  <si>
    <t xml:space="preserve">Biaya/bulan Fase 1 (Rp)</t>
  </si>
  <si>
    <t xml:space="preserve">Biaya/bulan Fase 2 (Rp)</t>
  </si>
  <si>
    <t xml:space="preserve">Gaji P25 (Rp)</t>
  </si>
  <si>
    <t xml:space="preserve">Gaji P50 (Rp)</t>
  </si>
  <si>
    <t xml:space="preserve">Gaji P75 (Rp)</t>
  </si>
  <si>
    <t xml:space="preserve">Gaji pita C-Level (Rp)</t>
  </si>
  <si>
    <t xml:space="preserve">CTC skenario P25 (Rp)</t>
  </si>
  <si>
    <t xml:space="preserve">CTC skenario P50 (Rp)</t>
  </si>
  <si>
    <t xml:space="preserve">CTC skenario P75 (Rp)</t>
  </si>
  <si>
    <t xml:space="preserve">Bulan-orang bln 1-12</t>
  </si>
  <si>
    <t xml:space="preserve">Bulan-orang bln 1-24</t>
  </si>
  <si>
    <t xml:space="preserve">Uji upah vs UMK</t>
  </si>
  <si>
    <t xml:space="preserve">Kantor</t>
  </si>
  <si>
    <t xml:space="preserve">Lapangan</t>
  </si>
  <si>
    <t xml:space="preserve">TOTAL SELURUH POSISI</t>
  </si>
  <si>
    <t xml:space="preserve">REKAP BIAYA SDM PER DIREKTORAT (Rp/bulan)</t>
  </si>
  <si>
    <t xml:space="preserve">Fase 0 (bln 1-3)</t>
  </si>
  <si>
    <t xml:space="preserve">Fase 1 (bln 4-12)</t>
  </si>
  <si>
    <t xml:space="preserve">Fase 2 (bln 13-24)</t>
  </si>
  <si>
    <t xml:space="preserve">Sumber baris: iuran BPJS Ketenagakerjaan [S-07][S-08][S-09][S-10]; BPJS Kesehatan Perpres 64/2020 [S-12][S-13]; THR PP 36/2021 &amp; SE Menaker M/3/HK.04.00/III/2026 [S-14][S-15][S-16]; UMK [S-01][S-03][S-04][S-05][S-06]. Pita gaji: lembar 'Pita Gaji' - SELURUHNYA [ASUMSI].</t>
  </si>
  <si>
    <t xml:space="preserve">Upah Dasar Perhitungan = gaji pokok + tunjangan tetap (definisi 'upah sebulan' untuk iuran jaminan sosial dan THR). Total cost to company TIDAK memuat insentif variabel, lembur, PPh 21, maupun biaya non-gaji (lihat lembar 'Biaya Non-Gaji').</t>
  </si>
  <si>
    <t xml:space="preserve">AntarKita - Proyeksi Biaya SDM Bulan 1-24</t>
  </si>
  <si>
    <t xml:space="preserve">Disusun 7 September 2026. Setiap sel = jumlah orang aktif pada bulan tersebut x total cost to company/orang dari lembar 'Biaya Bulanan'. Fase 0 = bulan 1-3, Fase 1 = bulan 4-12, Fase 2 = bulan 13-24.</t>
  </si>
  <si>
    <t xml:space="preserve">BULAN KE-</t>
  </si>
  <si>
    <t xml:space="preserve">TOTAL BIAYA SDM / BULAN</t>
  </si>
  <si>
    <t xml:space="preserve">SUBTOTAL PER DIREKTORAT (Rp/bulan)</t>
  </si>
  <si>
    <t xml:space="preserve">TOTAL (uji: harus sama dengan baris TOTAL di atas)</t>
  </si>
  <si>
    <t xml:space="preserve">Biaya SDM kumulatif bulan 1-24 (Rp)</t>
  </si>
  <si>
    <t xml:space="preserve">Biaya SDM kumulatif bulan 1-12 (Rp)</t>
  </si>
  <si>
    <t xml:space="preserve">Biaya SDM kumulatif bulan 13-24 (Rp)</t>
  </si>
  <si>
    <t xml:space="preserve">BIAYA SDM PER DIREKTORAT PER KUARTAL (Rp) - dasar grafik batang bertumpuk</t>
  </si>
  <si>
    <t xml:space="preserve">K1</t>
  </si>
  <si>
    <t xml:space="preserve">K2</t>
  </si>
  <si>
    <t xml:space="preserve">K3</t>
  </si>
  <si>
    <t xml:space="preserve">K4</t>
  </si>
  <si>
    <t xml:space="preserve">K5</t>
  </si>
  <si>
    <t xml:space="preserve">K6</t>
  </si>
  <si>
    <t xml:space="preserve">K7</t>
  </si>
  <si>
    <t xml:space="preserve">K8</t>
  </si>
  <si>
    <t xml:space="preserve">Sumber baris: jadwal rekrutmen (kolom Bulan Mulai) dan jumlah orang per fase dari lembar 'Headcount'/'Biaya Bulanan'; tarif iuran &amp; THR dari blok Asumsi lembar 'Biaya Bulanan' [S-07]-[S-16]. Pita gaji [ASUMSI].</t>
  </si>
  <si>
    <t xml:space="preserve">Model tidak memuat kenaikan gaji tahunan. Proyeksi kenaikan gaji nasional +6,3% (2025) [S-20] TIDAK diterapkan - lihat 'Keterbatasan data' pada lembar 'Sumber &amp; Catatan'.</t>
  </si>
  <si>
    <t xml:space="preserve">AntarKita - Biaya Non-Gaji yang Melekat pada SDM</t>
  </si>
  <si>
    <t xml:space="preserve">Disusun 7 September 2026. SELURUH BIAYA SATUAN PADA LEMBAR INI BERLABEL [ASUMSI] - tidak ditemukan sumber kredibel untuk harga sewa coworking, perangkat kerja, lisensi, maupun asuransi tambahan di Pekanbaru/Padang.</t>
  </si>
  <si>
    <t xml:space="preserve">A. BIAYA BERULANG BULANAN (melekat per orang)</t>
  </si>
  <si>
    <t xml:space="preserve">Pos Biaya</t>
  </si>
  <si>
    <t xml:space="preserve">Basis perhitungan</t>
  </si>
  <si>
    <t xml:space="preserve">Biaya Satuan (Rp)</t>
  </si>
  <si>
    <t xml:space="preserve">Total 24 bulan (Rp)</t>
  </si>
  <si>
    <t xml:space="preserve">Catatan</t>
  </si>
  <si>
    <t xml:space="preserve">Kantor &amp; coworking Pekanbaru</t>
  </si>
  <si>
    <t xml:space="preserve">Per kursi kerja per bulan</t>
  </si>
  <si>
    <t xml:space="preserve">[ASUMSI]</t>
  </si>
  <si>
    <t xml:space="preserve">Tidak ditemukan sumber tarif coworking Pekanbaru. Karyawan Remote tidak dihitung memakai kursi.</t>
  </si>
  <si>
    <t xml:space="preserve">Kantor &amp; coworking Padang</t>
  </si>
  <si>
    <t xml:space="preserve">Tidak ditemukan sumber tarif coworking Padang. Diturunkan proporsional terhadap selisih UMK 25,6%.</t>
  </si>
  <si>
    <t xml:space="preserve">Tools &amp; lisensi kerja</t>
  </si>
  <si>
    <t xml:space="preserve">Per orang per bulan (seat perangkat lunak)</t>
  </si>
  <si>
    <t xml:space="preserve">Repositori kode, desain, komunikasi, basis data, pemantauan. Tidak ditemukan sumber harga agregat.</t>
  </si>
  <si>
    <t xml:space="preserve">Asuransi kesehatan tambahan</t>
  </si>
  <si>
    <t xml:space="preserve">Per orang per bulan (di atas BPJS Kesehatan)</t>
  </si>
  <si>
    <t xml:space="preserve">Bukan kewajiban hukum; keputusan bisnis untuk retensi. Tidak ditemukan sumber premi.</t>
  </si>
  <si>
    <t xml:space="preserve">Pelatihan &amp; pengembangan</t>
  </si>
  <si>
    <t xml:space="preserve">Per orang per bulan (setara Rp1,8 juta/orang/tahun)</t>
  </si>
  <si>
    <t xml:space="preserve">Termasuk pelatihan kepatuhan UU PDP untuk seluruh pemroses data [S-37].</t>
  </si>
  <si>
    <t xml:space="preserve">SUBTOTAL A - biaya berulang</t>
  </si>
  <si>
    <t xml:space="preserve">B. BIAYA SATU KALI PER REKRUTMEN</t>
  </si>
  <si>
    <t xml:space="preserve">Rekrutmen Fase 0</t>
  </si>
  <si>
    <t xml:space="preserve">Rekrutmen Fase 1</t>
  </si>
  <si>
    <t xml:space="preserve">Rekrutmen Fase 2</t>
  </si>
  <si>
    <t xml:space="preserve">Biaya Fase 0 (Rp)</t>
  </si>
  <si>
    <t xml:space="preserve">Biaya Fase 1 (Rp)</t>
  </si>
  <si>
    <t xml:space="preserve">Biaya Fase 2 (Rp)</t>
  </si>
  <si>
    <t xml:space="preserve">Total orang direkrut</t>
  </si>
  <si>
    <t xml:space="preserve">Biaya rekrutmen</t>
  </si>
  <si>
    <t xml:space="preserve">Per orang direkrut (iklan lowongan, asesmen, medical check-up)</t>
  </si>
  <si>
    <t xml:space="preserve">Tidak ditemukan sumber biaya rekrutmen pasar Pekanbaru/Padang.</t>
  </si>
  <si>
    <t xml:space="preserve">Perangkat kerja</t>
  </si>
  <si>
    <t xml:space="preserve">Per orang direkrut (laptop, ponsel uji, headset)</t>
  </si>
  <si>
    <t xml:space="preserve">Belanja modal, bukan biaya berulang. Tidak diamortisasi dalam model ini.</t>
  </si>
  <si>
    <t xml:space="preserve">SUBTOTAL B - biaya satu kali</t>
  </si>
  <si>
    <t xml:space="preserve">TOTAL BIAYA NON-GAJI 24 BULAN (A + B)</t>
  </si>
  <si>
    <t xml:space="preserve">Biaya non-gaji berulang per bulan pada Fase 2 (Rp)</t>
  </si>
  <si>
    <t xml:space="preserve">Sumber baris: TIDAK ADA sumber pihak ketiga untuk seluruh biaya satuan di lembar ini - semuanya [ASUMSI] penyusun model. Volume orang dan bulan-orang adalah tautan hidup ke lembar 'Biaya Bulanan'.</t>
  </si>
  <si>
    <t xml:space="preserve">Tidak termasuk: honorarium Dewan Komisaris, biaya izin &amp; badan hukum (NIB/TDPSE/izin pos KBLI 53200 [S-41]), insentif variabel karyawan (maks. 20% - DESAIN §4.5), insentif &amp; BHR mitra pengemudi [S-52], dan belanja pemasaran.</t>
  </si>
  <si>
    <t xml:space="preserve">AntarKita - Sensitivitas Biaya SDM</t>
  </si>
  <si>
    <t xml:space="preserve">Disusun 7 September 2026. Dua arah: (a) pita gaji naik/turun 10-20%; (b) jadwal rekrutmen dimajukan/dimundurkan sampai 3 bulan. Seluruh sel adalah rumus hidup atas lembar 'Biaya Bulanan'.</t>
  </si>
  <si>
    <t xml:space="preserve">BLOK BANTU (per posisi) - CTC pada 5 tingkat pita gaji, dan bulan-orang pada 7 pergeseran jadwal</t>
  </si>
  <si>
    <t xml:space="preserve">Gaji Pokok aktif (Rp)</t>
  </si>
  <si>
    <t xml:space="preserve">Risiko JKK</t>
  </si>
  <si>
    <t xml:space="preserve">Orang F0</t>
  </si>
  <si>
    <t xml:space="preserve">Orang F1</t>
  </si>
  <si>
    <t xml:space="preserve">Orang F2</t>
  </si>
  <si>
    <t xml:space="preserve">CTC -20% (Rp)</t>
  </si>
  <si>
    <t xml:space="preserve">CTC -10% (Rp)</t>
  </si>
  <si>
    <t xml:space="preserve">CTC +0% (Rp)</t>
  </si>
  <si>
    <t xml:space="preserve">CTC +10% (Rp)</t>
  </si>
  <si>
    <t xml:space="preserve">CTC +20% (Rp)</t>
  </si>
  <si>
    <t xml:space="preserve">Bln-org 1-12, geser -3 bln</t>
  </si>
  <si>
    <t xml:space="preserve">Bln-org 1-12, geser -2 bln</t>
  </si>
  <si>
    <t xml:space="preserve">Bln-org 1-12, geser -1 bln</t>
  </si>
  <si>
    <t xml:space="preserve">Bln-org 1-12, geser +0 bln</t>
  </si>
  <si>
    <t xml:space="preserve">Bln-org 1-12, geser +1 bln</t>
  </si>
  <si>
    <t xml:space="preserve">Bln-org 1-12, geser +2 bln</t>
  </si>
  <si>
    <t xml:space="preserve">Bln-org 1-12, geser +3 bln</t>
  </si>
  <si>
    <t xml:space="preserve">Bln-org 1-24, geser -3 bln</t>
  </si>
  <si>
    <t xml:space="preserve">Bln-org 1-24, geser -2 bln</t>
  </si>
  <si>
    <t xml:space="preserve">Bln-org 1-24, geser -1 bln</t>
  </si>
  <si>
    <t xml:space="preserve">Bln-org 1-24, geser +0 bln</t>
  </si>
  <si>
    <t xml:space="preserve">Bln-org 1-24, geser +1 bln</t>
  </si>
  <si>
    <t xml:space="preserve">Bln-org 1-24, geser +2 bln</t>
  </si>
  <si>
    <t xml:space="preserve">Bln-org 1-24, geser +3 bln</t>
  </si>
  <si>
    <t xml:space="preserve">TABEL 1 - TOTAL BIAYA SDM TAHUN PERTAMA (BULAN 1-12), Rp</t>
  </si>
  <si>
    <t xml:space="preserve">Perubahan pita gaji \ Pergeseran jadwal</t>
  </si>
  <si>
    <t xml:space="preserve">-3 bulan</t>
  </si>
  <si>
    <t xml:space="preserve">-2 bulan</t>
  </si>
  <si>
    <t xml:space="preserve">-1 bulan</t>
  </si>
  <si>
    <t xml:space="preserve">Sesuai rencana</t>
  </si>
  <si>
    <t xml:space="preserve">+1 bulan</t>
  </si>
  <si>
    <t xml:space="preserve">+2 bulan</t>
  </si>
  <si>
    <t xml:space="preserve">+3 bulan</t>
  </si>
  <si>
    <t xml:space="preserve">-20%</t>
  </si>
  <si>
    <t xml:space="preserve">-10%</t>
  </si>
  <si>
    <t xml:space="preserve">Sesuai pita P50 (dasar)</t>
  </si>
  <si>
    <t xml:space="preserve">+10%</t>
  </si>
  <si>
    <t xml:space="preserve">+20%</t>
  </si>
  <si>
    <t xml:space="preserve">Sel kuning = skenario dasar (pita aktif, jadwal sesuai rencana). Persentase pada baris berlaku serentak untuk seluruh pita gaji di kedua kota.</t>
  </si>
  <si>
    <t xml:space="preserve">TABEL 2 - TOTAL BIAYA SDM KUMULATIF 24 BULAN, Rp</t>
  </si>
  <si>
    <t xml:space="preserve">Pergeseran jadwal TIDAK menggeser batas fase (Fase 0 = bln 1-3, Fase 1 = bln 4-12, Fase 2 = bln 13-24); yang bergeser adalah bulan masuk tiap posisi.</t>
  </si>
  <si>
    <t xml:space="preserve">Selisih terhadap skenario dasar (24 bulan)</t>
  </si>
  <si>
    <t xml:space="preserve">Sumber baris: seluruh angka diturunkan dari lembar 'Biaya Bulanan' (pita gaji [ASUMSI] tabel A.4.3 riset) dan tarif statutori [S-07]-[S-16]. Perhitungan CTC pada tiap tingkat pita memperhitungkan ulang plafon JP (Rp11.086.300) dan plafon/lantai BPJS Kesehatan, sehingga hubungan gaji-biaya TIDAK linier.</t>
  </si>
  <si>
    <t xml:space="preserve">Pergeseran jadwal negatif = rekrutmen dimajukan; positif = dimundurkan. Bulan mulai tidak dapat lebih awal dari bulan 1.</t>
  </si>
  <si>
    <t xml:space="preserve">AntarKita - Sumber, Keterbatasan Data &amp; Catatan Koreksi Penyusun</t>
  </si>
  <si>
    <t xml:space="preserve">Disusun 7 September 2026. Seluruh URL diakses 7 September 2026. ID sumber mengikuti penomoran docs/riset/RISET-KOMPENSASI-REGULASI.md.</t>
  </si>
  <si>
    <t xml:space="preserve">A. DAFTAR SUMBER YANG DIPAKAI DALAM MODEL INI</t>
  </si>
  <si>
    <t xml:space="preserve">ID</t>
  </si>
  <si>
    <t xml:space="preserve">Judul</t>
  </si>
  <si>
    <t xml:space="preserve">Penerbit / lembaga</t>
  </si>
  <si>
    <t xml:space="preserve">Tanggal terbit</t>
  </si>
  <si>
    <t xml:space="preserve">URL</t>
  </si>
  <si>
    <t xml:space="preserve">Dipakai untuk</t>
  </si>
  <si>
    <t xml:space="preserve">[S-01]</t>
  </si>
  <si>
    <t xml:space="preserve">Provinsi Riau Tetapkan UMP 2026 Naik Jadi Rp3,78 Juta, UMK Dumai Tertinggi</t>
  </si>
  <si>
    <t xml:space="preserve">Bisnis.com Sumatra</t>
  </si>
  <si>
    <t xml:space="preserve">23 Des 2025</t>
  </si>
  <si>
    <t xml:space="preserve">https://sumatra.bisnis.com/read/20251223/533/1939243/provinsi-riau-tetapkan-ump-2026-naik-jadi-rp378-juta-umk-dumai-tertinggi</t>
  </si>
  <si>
    <t xml:space="preserve">UMK Pekanbaru 2026</t>
  </si>
  <si>
    <t xml:space="preserve">[S-03]</t>
  </si>
  <si>
    <t xml:space="preserve">Daftar UMK Sumatra Barat 2026, Semua Daerah Gunakan UMP</t>
  </si>
  <si>
    <t xml:space="preserve">GoodStats Data</t>
  </si>
  <si>
    <t xml:space="preserve">7 Sep 2026</t>
  </si>
  <si>
    <t xml:space="preserve">https://data.goodstats.id/statistic/daftar-umk-sumatra-barat-2026-semua-daerah-gunakan-ump-98PB7</t>
  </si>
  <si>
    <t xml:space="preserve">UMK Padang = UMP Sumbar 2026</t>
  </si>
  <si>
    <t xml:space="preserve">[S-04]</t>
  </si>
  <si>
    <t xml:space="preserve">UMP Sumbar 2026 naik 6,3 persen</t>
  </si>
  <si>
    <t xml:space="preserve">ANTARA Sumbar</t>
  </si>
  <si>
    <t xml:space="preserve">Des 2025</t>
  </si>
  <si>
    <t xml:space="preserve">https://sumbar.antaranews.com/berita/735049/ump-sumbar-2026-naik-63-persen</t>
  </si>
  <si>
    <t xml:space="preserve">UMP Sumbar 2026 Rp3.182.955</t>
  </si>
  <si>
    <t xml:space="preserve">[S-05]</t>
  </si>
  <si>
    <t xml:space="preserve">UMK Pekanbaru Jadi Rp3.998.179,46, Kadisnaker: Berlaku 1 Januari 2026</t>
  </si>
  <si>
    <t xml:space="preserve">Cakaplah.com</t>
  </si>
  <si>
    <t xml:space="preserve">24 Des 2025</t>
  </si>
  <si>
    <t xml:space="preserve">https://www.cakaplah.com/berita/baca/131278/2025/12/24/umk-pekanbaru-jadi-rp399817946-kadisnaker-berlaku-1-januari-2026</t>
  </si>
  <si>
    <t xml:space="preserve">[S-06]</t>
  </si>
  <si>
    <t xml:space="preserve">Disnaker Pekanbaru Ingatkan Perusahaan Patuhi UMK 2026 Rp3,99 Juta</t>
  </si>
  <si>
    <t xml:space="preserve">Pemerintah Kota Pekanbaru</t>
  </si>
  <si>
    <t xml:space="preserve">Jan 2026</t>
  </si>
  <si>
    <t xml:space="preserve">https://www.pekanbaru.go.id/p/news/disnaker-pekanbaru-ingatkan-perusahaan-patuhi-umk-2026-rp399-juta</t>
  </si>
  <si>
    <t xml:space="preserve">Kewajiban kepatuhan UMK</t>
  </si>
  <si>
    <t xml:space="preserve">[S-07]</t>
  </si>
  <si>
    <t xml:space="preserve">Berapa Besaran Iuran JHT, JKK, JKM, JP dan JKP?</t>
  </si>
  <si>
    <t xml:space="preserve">BPJS Ketenagakerjaan</t>
  </si>
  <si>
    <t xml:space="preserve">https://www.bpjsketenagakerjaan.go.id/artikel/18913/artikel-berapa-besaran-iuran-jht,-jkk,-jkm,-jp-dan-jkp</t>
  </si>
  <si>
    <t xml:space="preserve">Persentase JKK/JKM/JHT/JP pemberi kerja</t>
  </si>
  <si>
    <t xml:space="preserve">[S-08]</t>
  </si>
  <si>
    <t xml:space="preserve">PP No. 44 Tahun 2015 (Penyelenggaraan JKK &amp; JKM) - PDF resmi</t>
  </si>
  <si>
    <t xml:space="preserve">https://www.bpjsketenagakerjaan.go.id/assets/uploads/peraturan/15122015_104557_PP%2044%20Tahun%202015.pdf</t>
  </si>
  <si>
    <t xml:space="preserve">5 kelompok tingkat risiko JKK 0,24%-1,74%</t>
  </si>
  <si>
    <t xml:space="preserve">[S-09]</t>
  </si>
  <si>
    <t xml:space="preserve">Batas Upah BPJS Ketenagakerjaan 2026 Naik - Simulasi Iuran JP</t>
  </si>
  <si>
    <t xml:space="preserve">Smart Salary Pro</t>
  </si>
  <si>
    <t xml:space="preserve">9 Mar 2026</t>
  </si>
  <si>
    <t xml:space="preserve">https://blog.smartsalarypro.com/batas-upah-bpjs-ketenagakerjaan-2026-naik-simulasi-iuran-jp-dan-panduan-praktis-untuk-hr/</t>
  </si>
  <si>
    <t xml:space="preserve">Plafon upah JP Rp11.086.300 sejak Maret 2026</t>
  </si>
  <si>
    <t xml:space="preserve">[S-10]</t>
  </si>
  <si>
    <t xml:space="preserve">Akun resmi BPJS Ketenagakerjaan (@BPJSTKinfo) di X</t>
  </si>
  <si>
    <t xml:space="preserve">https://x.com/BPJSTKinfo/status/2028647882178388161</t>
  </si>
  <si>
    <t xml:space="preserve">Konfirmasi kedua plafon upah JP 2026</t>
  </si>
  <si>
    <t xml:space="preserve">[S-11]</t>
  </si>
  <si>
    <t xml:space="preserve">PP No. 49 Tahun 2023 (Perubahan Kedua atas PP 44/2015)</t>
  </si>
  <si>
    <t xml:space="preserve">JDIH BPK RI</t>
  </si>
  <si>
    <t xml:space="preserve">https://peraturan.bpk.go.id/Details/266186/pp-no-49-tahun-2023</t>
  </si>
  <si>
    <t xml:space="preserve">Rekomposisi iuran - PERLU VERIFIKASI teks lengkap</t>
  </si>
  <si>
    <t xml:space="preserve">[S-12]</t>
  </si>
  <si>
    <t xml:space="preserve">Perpres No. 64 Tahun 2020 tentang Jaminan Kesehatan</t>
  </si>
  <si>
    <t xml:space="preserve">https://peraturan.bpk.go.id/Details/136650/perpres-no-64-tahun-2020</t>
  </si>
  <si>
    <t xml:space="preserve">Iuran JKN 5% (pemberi kerja 4%), Pasal 30 &amp; 32</t>
  </si>
  <si>
    <t xml:space="preserve">[S-13]</t>
  </si>
  <si>
    <t xml:space="preserve">Berapa Gaji Pekerja yang Dipotong untuk Iuran BPJS Kesehatan?</t>
  </si>
  <si>
    <t xml:space="preserve">CNN Indonesia</t>
  </si>
  <si>
    <t xml:space="preserve">24 Mei 2025</t>
  </si>
  <si>
    <t xml:space="preserve">https://www.cnnindonesia.com/ekonomi/20250522190520-78-1232170/berapa-gaji-pekerja-yang-dipotong-untuk-iuran-bpjs-kesehatan</t>
  </si>
  <si>
    <t xml:space="preserve">Plafon atas Rp12 juta; batas bawah = UMK/UMP</t>
  </si>
  <si>
    <t xml:space="preserve">[S-14]</t>
  </si>
  <si>
    <t xml:space="preserve">PP No. 36 Tahun 2021 tentang Pengupahan</t>
  </si>
  <si>
    <t xml:space="preserve">https://peraturan.bpk.go.id/Details/161909/pp-no-36-tahun-2021</t>
  </si>
  <si>
    <t xml:space="preserve">Dasar THR &amp; komposisi upah (gaji pokok min. 75%)</t>
  </si>
  <si>
    <t xml:space="preserve">[S-15]</t>
  </si>
  <si>
    <t xml:space="preserve">Permenaker No. 6 Tahun 2016 tentang THR Keagamaan</t>
  </si>
  <si>
    <t xml:space="preserve">Kemnaker (PDF)</t>
  </si>
  <si>
    <t xml:space="preserve">https://llg-bwi.org/file_publish/Permenaker%20Nomor%206%20Tahun%202016.pdf</t>
  </si>
  <si>
    <t xml:space="preserve">Aturan pokok THR</t>
  </si>
  <si>
    <t xml:space="preserve">[S-16]</t>
  </si>
  <si>
    <t xml:space="preserve">Terbitkan Edaran THR Keagamaan 2026 (SE Menaker M/3/HK.04.00/III/2026)</t>
  </si>
  <si>
    <t xml:space="preserve">Sekretariat Negara RI</t>
  </si>
  <si>
    <t xml:space="preserve">2-3 Mar 2026</t>
  </si>
  <si>
    <t xml:space="preserve">https://www.setneg.go.id/baca/index/terbitkan_edaran_thr_keagamaan_2026_menaker_harus_dibayar_penuh_tak_boleh_dicicil</t>
  </si>
  <si>
    <t xml:space="preserve">THR 1 bulan upah, dibayar penuh - dasar akrual 1/12</t>
  </si>
  <si>
    <t xml:space="preserve">[S-17]</t>
  </si>
  <si>
    <t xml:space="preserve">PP No. 58 Tahun 2023 tentang Tarif Pemotongan PPh Pasal 21 (TER)</t>
  </si>
  <si>
    <t xml:space="preserve">JDIH / JS Tax (PDF)</t>
  </si>
  <si>
    <t xml:space="preserve">https://www.jstax.co.id/assets/uploads/1703840400-PP%20Nomor%2058%20Tahun%202023%20PPh%20TER.pdf</t>
  </si>
  <si>
    <t xml:space="preserve">PPh 21 TER - dipotong dari pekerja, bukan biaya perusahaan</t>
  </si>
  <si>
    <t xml:space="preserve">[S-18]</t>
  </si>
  <si>
    <t xml:space="preserve">Highly Sought After by Startups, IT Professionals' Salaries in Indonesia</t>
  </si>
  <si>
    <t xml:space="preserve">Databoks/Katadata (Michael Page 2023)</t>
  </si>
  <si>
    <t xml:space="preserve">28 Apr 2023</t>
  </si>
  <si>
    <t xml:space="preserve">https://databoks.katadata.co.id/en/employment/statistics/cd9265fd82fc956/highly-sought-after-by-startups-it-professionals-salaries-in-indonesia</t>
  </si>
  <si>
    <t xml:space="preserve">Benchmark gaji teknologi Jakarta 2023</t>
  </si>
  <si>
    <t xml:space="preserve">[S-19]</t>
  </si>
  <si>
    <t xml:space="preserve">Tren Gaji Sektor Teknologi di Indonesia Tahun 2025</t>
  </si>
  <si>
    <t xml:space="preserve">Gajihub (Michael Page 2025)</t>
  </si>
  <si>
    <t xml:space="preserve">https://gajihub.com/blog/tren-gaji-sektor-teknologi/</t>
  </si>
  <si>
    <t xml:space="preserve">Benchmark gaji teknologi Jakarta 2025</t>
  </si>
  <si>
    <t xml:space="preserve">[S-20]</t>
  </si>
  <si>
    <t xml:space="preserve">Kalibrr Indonesia Salary Survey Half 2 2025</t>
  </si>
  <si>
    <t xml:space="preserve">Kalibrr Indonesia</t>
  </si>
  <si>
    <t xml:space="preserve">https://www.kalibrr.id/blog/id/kalibrr-indonesia-salary-survey-terbaru-half-2-2025</t>
  </si>
  <si>
    <t xml:space="preserve">Proyeksi kenaikan gaji nasional +6,3%</t>
  </si>
  <si>
    <t xml:space="preserve">[S-25]</t>
  </si>
  <si>
    <t xml:space="preserve">Aturan Potongan Komisi 8 Persen untuk Ojol (Perpres No. 27 Tahun 2026)</t>
  </si>
  <si>
    <t xml:space="preserve">Hukumonline</t>
  </si>
  <si>
    <t xml:space="preserve">https://www.hukumonline.com/berita/a/aturan-potongan-komisi-8-persen-untuk-ojol--gojek-dan-grab-bakal-berlakukan-1-juli-2026-lt6a3b7b353ff0e/</t>
  </si>
  <si>
    <t xml:space="preserve">Batas komisi 8% - menekan kapasitas menanggung biaya SDM</t>
  </si>
  <si>
    <t xml:space="preserve">[S-31]</t>
  </si>
  <si>
    <t xml:space="preserve">PBI No. 20/6/PBI/2018 tentang Uang Elektronik</t>
  </si>
  <si>
    <t xml:space="preserve">Bank Indonesia</t>
  </si>
  <si>
    <t xml:space="preserve">https://www.bi.go.id/id/publikasi/peraturan/Pages/PBI-200618.aspx</t>
  </si>
  <si>
    <t xml:space="preserve">Ambang dana float Rp1 miliar - pemicu peran Treasury/Settlement</t>
  </si>
  <si>
    <t xml:space="preserve">[S-37]</t>
  </si>
  <si>
    <t xml:space="preserve">UU No. 27 Tahun 2022 tentang Pelindungan Data Pribadi</t>
  </si>
  <si>
    <t xml:space="preserve">JDIH Kemkomdigi</t>
  </si>
  <si>
    <t xml:space="preserve">https://jdih.komdigi.go.id/produk_hukum/view/id/832/t/undangundang+nomor+27+tahun+2022</t>
  </si>
  <si>
    <t xml:space="preserve">Pasal 53 - kewajiban DPO</t>
  </si>
  <si>
    <t xml:space="preserve">[S-39]</t>
  </si>
  <si>
    <t xml:space="preserve">MK Ubah Tafsir Pasal 53 UU PDP (Putusan MK 151/PUU-XXII/2024)</t>
  </si>
  <si>
    <t xml:space="preserve">Hukumku.id</t>
  </si>
  <si>
    <t xml:space="preserve">9 Okt 2025</t>
  </si>
  <si>
    <t xml:space="preserve">https://www.hukumku.id/post/mk-ubah-tafsir-pasal-53-uu-pdp-apa-dampaknya-bagi-pengendali-dan-prosesor-data</t>
  </si>
  <si>
    <t xml:space="preserve">Satu kriteria cukup - DPO wajib sejak Fase 1</t>
  </si>
  <si>
    <t xml:space="preserve">[S-41]</t>
  </si>
  <si>
    <t xml:space="preserve">Cara Mendapatkan Perizinan Berusaha Aktivitas Kurir (KBLI 53200)</t>
  </si>
  <si>
    <t xml:space="preserve">Klinik Hukumonline / Easybiz</t>
  </si>
  <si>
    <t xml:space="preserve">20 Apr 2026</t>
  </si>
  <si>
    <t xml:space="preserve">https://www.hukumonline.com/klinik/a/cara-mendapatkan-perizinan-berusaha-aktivitas-kurir-lt662fca9c62d7d/</t>
  </si>
  <si>
    <t xml:space="preserve">Modal minimum Rp500 juta - komponen kebutuhan pendanaan</t>
  </si>
  <si>
    <t xml:space="preserve">[S-52]</t>
  </si>
  <si>
    <t xml:space="preserve">Menaker terbitkan SE Pemberian BHR 2026 bagi ojol dan kurir online</t>
  </si>
  <si>
    <t xml:space="preserve">3 Mar 2026</t>
  </si>
  <si>
    <t xml:space="preserve">https://sumbar.antaranews.com/berita/749345/menaker-terbitkan-se-pemberian-bhr-2026-bagi-ojol-dan-kurir-online</t>
  </si>
  <si>
    <t xml:space="preserve">BHR mitra 25% - DI LUAR cakupan model ini</t>
  </si>
  <si>
    <t xml:space="preserve">[S-58]</t>
  </si>
  <si>
    <t xml:space="preserve">Grab Catat 3,7 Juta Mitra Pengemudi Terdaftar hingga Akhir 2025</t>
  </si>
  <si>
    <t xml:space="preserve">Akurat.co</t>
  </si>
  <si>
    <t xml:space="preserve">28 Feb 2026</t>
  </si>
  <si>
    <t xml:space="preserve">https://akurat.co/infotech/836816/grab-catat-3-7-juta-mitra-pengemudi-terdaftar-hingga-akhir-2025</t>
  </si>
  <si>
    <t xml:space="preserve">Hanya +-20% mitra terdaftar aktif - dasar beban Partner Acquisition</t>
  </si>
  <si>
    <t xml:space="preserve">Tanggal akses seluruh sumber: 7 September 2026.</t>
  </si>
  <si>
    <t xml:space="preserve">B. KETERBATASAN DATA - WAJIB DIBACA INVESTOR &amp; REGULATOR</t>
  </si>
  <si>
    <t xml:space="preserve">B.1 Seluruh pita gaji adalah ASUMSI PENYUSUN</t>
  </si>
  <si>
    <t xml:space="preserve">Tidak ada satu pun benchmark gaji per posisi untuk Pekanbaru atau Padang yang dapat dikutip. Salary guide 2026 (Michael Page, Robert Walters, Persol, Kalibrr) berada di balik login wall. Yang tersedia hanya angka Jakarta tahun 2023 [S-18] dan 2025 [S-19] melalui kutipan pihak ketiga, dikalikan faktor geografis 0,45-0,70 yang ITU SENDIRI tanpa dasar empiris. Untuk 11 posisi non-teknologi (CEO, Head of Ops, City Manager, CS agent, Field officer, Finance staff, Head of Finance, Legal &amp; Compliance, Marketing lead, Digital marketing staff, HR generalist) tidak ditemukan sumber apa pun - seluruhnya di-anchor ke kelipatan UMK. Tiga pita tambahan (Head of Customer Experience, Trust &amp; Safety Officer, Treasury/Settlement Officer) bahkan tidak ada di tabel A.4.3 dan merupakan turunan penyusun model ini. KONSEKUENSI: angka biaya SDM dalam berkas ini adalah RENTANG PERENCANAAN, bukan proyeksi terverifikasi.</t>
  </si>
  <si>
    <t xml:space="preserve">B.2 Tarif JKK final ditetapkan BPJS Ketenagakerjaan, bukan perusahaan</t>
  </si>
  <si>
    <t xml:space="preserve">PP 44/2015 [S-08] menetapkan 5 kelompok risiko (0,24% - 1,74%). Model ini memakai 0,54% (Rendah) untuk karyawan kantor dan 0,89% (Sedang) untuk staf lapangan - KEDUANYA ASUMSI. Penetapan kelompok risiko dilakukan BPJS Ketenagakerjaan berdasarkan jenis usaha saat pendaftaran perusahaan. Tidak ditemukan sumber yang memetakan KBLI aplikasi transportasi ke kelompok risiko tertentu. Bila AntarKita ditetapkan pada kelompok Tinggi (1,27%) atau Sangat Tinggi (1,74%), biaya naik. Selisih maksimum terhadap model: (1,74% - 0,54%) = 1,20% dari upah.</t>
  </si>
  <si>
    <t xml:space="preserve">B.3 PPh 21 tidak dimodelkan sebagai biaya perusahaan</t>
  </si>
  <si>
    <t xml:space="preserve">PPh 21 skema TER (PP 58/2023 [S-17]) adalah pajak penghasilan PEKERJA yang DIPOTONG dari upah dan disetor perusahaan - bukan beban perusahaan. Model ini TIDAK memuat kebijakan gross-up (perusahaan menanggung PPh 21 karyawan). Bila kelak AntarKita menerapkan gross-up - lazim untuk menarik talenta senior - biaya perusahaan akan NAIK di atas angka model ini, terutama untuk posisi C-Level dan Senior Engineer yang berada di lapisan tarif material. Karyawan bergaji setara UMK kedua kota berada di lapisan TER 0%, sehingga dampak gross-up untuk staf entry-level nihil.</t>
  </si>
  <si>
    <t xml:space="preserve">B.4 Iuran pekerja dan beban mitra pengemudi di luar cakupan</t>
  </si>
  <si>
    <t xml:space="preserve">Potongan pekerja (JHT 2% + JP 1% + BPJS Kesehatan 1%) bukan beban pemberi kerja dan tidak dimodelkan. Beban mitra pengemudi - BPJS Ketenagakerjaan BPU (JKK 1% + JKM Rp6.800, [S-50] pada riset) dan Bonus Hari Raya mitra minimal 25% rata-rata pendapatan bersih 12 bulan (SE Menaker M/4/HK.04.00/III/2026, [S-52]) - berada DI LUAR model ini karena mitra berstatus kemitraan, bukan hubungan kerja. Status kemitraan itu sendiri sedang di bawah tekanan regulasi aktif dan merupakan RISIKO TINGKAT PERTAMA bagi struktur biaya perusahaan.</t>
  </si>
  <si>
    <t xml:space="preserve">B.5 Biaya non-gaji tidak bersumber sama sekali</t>
  </si>
  <si>
    <t xml:space="preserve">Seluruh biaya satuan di lembar 'Biaya Non-Gaji' (coworking 2 kota, perangkat kerja, lisensi, asuransi tambahan, pelatihan, rekrutmen) adalah [ASUMSI] penyusun. Tidak ditemukan sumber harga pasar Pekanbaru/Padang. Benchmark CAC/CAD Indonesia juga tidak ditemukan sama sekali, sehingga pos 'non-SDM lainnya' pada lembar Ringkasan adalah INPUT PENGGUNA yang wajib diganti dengan angka rencana bisnis.</t>
  </si>
  <si>
    <t xml:space="preserve">B.6 Model tidak memuat kenaikan gaji tahunan</t>
  </si>
  <si>
    <t xml:space="preserve">Proyeksi kenaikan gaji nasional +6,3% (2025) [S-20] TIDAK diterapkan pada proyeksi 24 bulan. Konsekuensinya biaya bulan 13-24 kemungkinan TERLALU RENDAH sekitar 6% untuk karyawan yang direkrut pada Fase 0-1. Investor yang menghendaki angka konservatif dapat memakai lembar 'Sensitivitas' baris +10%.</t>
  </si>
  <si>
    <t xml:space="preserve">B.7 Konflik data yang belum terselesaikan</t>
  </si>
  <si>
    <t xml:space="preserve">Plafon upah JP: situs BPJS Ketenagakerjaan [S-07] masih menampilkan Rp10.547.400 (2025) sementara [S-09]/[S-10] menyebut Rp11.086.300 sejak Maret 2026. Model memakai angka yang lebih baru. Persentase JKK/JKM pasca PP 49/2023 [S-11] tidak berhasil diverifikasi dari teks primer. Cakupan 'maks. 4 anggota keluarga' pada iuran BPJS Kesehatan 5% tidak dikonfirmasi kata-per-kata; anggota keluarga kelima dst. dikenakan iuran tambahan 1% per orang yang TIDAK dimodelkan.</t>
  </si>
  <si>
    <t xml:space="preserve">C. CATATAN KOREKSI PENYUSUN ATAS ANGKA MENGIKAT 9 / 24 / 42</t>
  </si>
  <si>
    <t xml:space="preserve">C.1 Total per fase dipenuhi persis, tetapi komposisinya ketat</t>
  </si>
  <si>
    <t xml:space="preserve">Total 9 / 24 / 42 orang dari DESAIN-ORGANISASI §3 dipenuhi PERSIS (lihat baris uji pada lembar 'Headcount', harus 0). Untuk memenuhi angka itu, sejumlah peran pada bagan §2 terpaksa DIRANGKAP atau DITUNDA: (a) CS Lead dirangkap Head of Customer Experience sepanjang Fase 1; (b) Data Analyst baru masuk bulan 13; (c) Merchant Acquisition Officer baru masuk bulan 13 padahal AntarFood/AntarShop membutuhkan pasokan merchant sejak peluncuran; (d) Padang hanya mendapat 2 CS Agent sehingga shift ketiga ditutup lintas kota dari Pekanbaru.</t>
  </si>
  <si>
    <t xml:space="preserve">C.2 Fase 1 dengan 24 orang berisiko kekurangan kapasitas akuisisi mitra</t>
  </si>
  <si>
    <t xml:space="preserve">Pada Fase 1 hanya ada 2 Partner Acquisition officer untuk seluruh Pekanbaru. Karena hanya sekitar 20% mitra terdaftar yang benar-benar aktif [S-58], target pasokan pengemudi harus dihitung dari basis mitra AKTIF - kalau tidak, target meleset sekitar 5 kali lipat. REKOMENDASI PENYUSUN: bila likuiditas pasar Pekanbaru belum tercapai pada bulan 8, tambah 2 Partner Acquisition officer dan tunda 1 posisi Teknologi gelombang 2 agar total Fase 1 tetap 24.</t>
  </si>
  <si>
    <t xml:space="preserve">C.3 Rasio produk : operasi : dukungan menyimpang dari target 40 : 45 : 15</t>
  </si>
  <si>
    <t xml:space="preserve">Rasio terealisasi (lihat lembar 'Headcount'): Fase 0 sekitar 44 : 22 : 33; Fase 1 sekitar 33 : 46 : 21; Fase 2 sekitar 38 : 45 : 17. Porsi DUKUNGAN melebihi target pada Fase 0-1 karena Head of Finance, Head of Legal &amp; Compliance (DPO) dan HR &amp; GA harus direkrut lebih awal: kewajiban DPO timbul sejak operasi komersial dimulai (UU 27/2022 Pasal 53 jo. Putusan MK 151/PUU-XXII/2024, [S-37][S-39]) dan pemisahan tugas keuangan (DESAIN §6) mensyaratkan minimal tiga orang berbeda. Rasio menyempit ke target pada Fase 2. Ini deviasi yang disengaja dan diungkap.</t>
  </si>
  <si>
    <t xml:space="preserve">C.4 Biaya rata-rata per orang Fase 0 sangat tinggi dan mudah disalahbaca</t>
  </si>
  <si>
    <t xml:space="preserve">Pada Fase 0, empat dari sembilan orang adalah C-Level, sehingga biaya rata-rata per orang jauh di atas Fase 1 dan Fase 2. Angka ini BUKAN indikasi struktur biaya jangka panjang. Gaji tunai C-Level sudah ditahan di P25 dan selisihnya dikompensasi ESOP (DESAIN §4.4); beban ESOP TIDAK dimodelkan sebagai biaya tunai di berkas ini.</t>
  </si>
  <si>
    <t xml:space="preserve">C.5 Rasio cost to company terhadap gaji pokok berbeda dari angka indikatif 1,19x</t>
  </si>
  <si>
    <t xml:space="preserve">DESAIN-ORGANISASI §4.3 memakai angka indikatif 'gaji pokok x 1,19'. Model ini menghitungnya per orang dan hasilnya BERBEDA per posisi karena (a) model menambahkan tunjangan tetap 10% [ASUMSI] ke dasar perhitungan iuran, dan (b) plafon JP Rp11.086.300 serta plafon BPJS Kesehatan Rp12.000.000 membuat persentase iuran MENURUN untuk gaji tinggi. Rasio terealisasi model ini adalah 1,28x terhadap GAJI POKOK - namun hanya 1,16x-1,17x terhadap UPAH (gaji pokok + tunjangan tetap), yang konsisten dengan angka indikatif 1,19x pada DESAIN §4.3. Investor yang ingin menguji hal ini cukup mengubah sel Tunjangan_Pct pada blok Asumsi lembar 'Biaya Bulanan' menjadi 0% - seluruh model akan menghitung ulang. Rasio aktual per posisi ada di kolom 'Rasio CTC : Gaji Pokok' lembar 'Biaya Bulanan'. Angka 1,19x adalah pembulatan kasar, bukan konstanta.</t>
  </si>
  <si>
    <t xml:space="preserve">Sumber baris: seluruh isi lembar ini merangkum docs/riset/RISET-KOMPENSASI-REGULASI.md (bagian 'Keterbatasan Data') dan docs/organisasi/DESAIN-ORGANISASI.md. Berkas ini adalah model perencanaan, bukan nasihat hukum, pajak, atau keuangan.</t>
  </si>
</sst>
</file>

<file path=xl/styles.xml><?xml version="1.0" encoding="utf-8"?>
<styleSheet xmlns="http://schemas.openxmlformats.org/spreadsheetml/2006/main">
  <numFmts count="8">
    <numFmt numFmtId="164" formatCode="General"/>
    <numFmt numFmtId="165" formatCode="0"/>
    <numFmt numFmtId="166" formatCode="[$-421]#,##0"/>
    <numFmt numFmtId="167" formatCode="[$-421]0.00"/>
    <numFmt numFmtId="168" formatCode="[$-421]0.0%"/>
    <numFmt numFmtId="169" formatCode="General"/>
    <numFmt numFmtId="170" formatCode="[$-421]#,##0;\([$-421]#,##0\);\-"/>
    <numFmt numFmtId="171" formatCode="[$-421]0.00%"/>
  </numFmts>
  <fonts count="20">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404040"/>
      <name val="Arial"/>
      <family val="0"/>
      <charset val="1"/>
    </font>
    <font>
      <b val="true"/>
      <sz val="10"/>
      <color rgb="FFC00000"/>
      <name val="Arial"/>
      <family val="0"/>
      <charset val="1"/>
    </font>
    <font>
      <b val="true"/>
      <sz val="11"/>
      <color rgb="FF1F3864"/>
      <name val="Arial"/>
      <family val="0"/>
      <charset val="1"/>
    </font>
    <font>
      <b val="true"/>
      <sz val="10"/>
      <color rgb="FFFFFFFF"/>
      <name val="Arial"/>
      <family val="0"/>
      <charset val="1"/>
    </font>
    <font>
      <b val="true"/>
      <sz val="10"/>
      <name val="Arial"/>
      <family val="0"/>
      <charset val="1"/>
    </font>
    <font>
      <sz val="10"/>
      <name val="Arial"/>
      <family val="0"/>
      <charset val="1"/>
    </font>
    <font>
      <i val="true"/>
      <sz val="8"/>
      <color rgb="FF595959"/>
      <name val="Arial"/>
      <family val="0"/>
      <charset val="1"/>
    </font>
    <font>
      <sz val="10"/>
      <color rgb="FF0000FF"/>
      <name val="Arial"/>
      <family val="0"/>
      <charset val="1"/>
    </font>
    <font>
      <sz val="10"/>
      <color rgb="FF008000"/>
      <name val="Arial"/>
      <family val="0"/>
      <charset val="1"/>
    </font>
    <font>
      <i val="true"/>
      <sz val="9"/>
      <color rgb="FF404040"/>
      <name val="Arial"/>
      <family val="0"/>
      <charset val="1"/>
    </font>
    <font>
      <i val="true"/>
      <sz val="9"/>
      <color rgb="FFC00000"/>
      <name val="Arial"/>
      <family val="0"/>
      <charset val="1"/>
    </font>
    <font>
      <b val="true"/>
      <sz val="18"/>
      <color rgb="FF000000"/>
      <name val="Calibri"/>
      <family val="2"/>
    </font>
    <font>
      <sz val="10"/>
      <color rgb="FF000000"/>
      <name val="Calibri"/>
      <family val="2"/>
    </font>
    <font>
      <b val="true"/>
      <sz val="10"/>
      <color rgb="FF000000"/>
      <name val="Calibri"/>
      <family val="2"/>
    </font>
    <font>
      <sz val="8"/>
      <color rgb="FF0563C1"/>
      <name val="Arial"/>
      <family val="0"/>
      <charset val="1"/>
    </font>
  </fonts>
  <fills count="8">
    <fill>
      <patternFill patternType="none"/>
    </fill>
    <fill>
      <patternFill patternType="gray125"/>
    </fill>
    <fill>
      <patternFill patternType="solid">
        <fgColor rgb="FF1F3864"/>
        <bgColor rgb="FF404040"/>
      </patternFill>
    </fill>
    <fill>
      <patternFill patternType="solid">
        <fgColor rgb="FFD9E2F3"/>
        <bgColor rgb="FFD6DCE5"/>
      </patternFill>
    </fill>
    <fill>
      <patternFill patternType="solid">
        <fgColor rgb="FF2F5597"/>
        <bgColor rgb="FF0563C1"/>
      </patternFill>
    </fill>
    <fill>
      <patternFill patternType="solid">
        <fgColor rgb="FFD6DCE5"/>
        <bgColor rgb="FFD9D9D9"/>
      </patternFill>
    </fill>
    <fill>
      <patternFill patternType="solid">
        <fgColor rgb="FFFFFF00"/>
        <bgColor rgb="FFFFFF00"/>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bottom" textRotation="0" wrapText="false" indent="1"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7" fillId="3"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6" fontId="10" fillId="0" borderId="1" xfId="0" applyFont="true" applyBorder="true" applyAlignment="true" applyProtection="false">
      <alignment horizontal="right" vertical="bottom" textRotation="0" wrapText="false" indent="0" shrinkToFit="false"/>
      <protection locked="true" hidden="false"/>
    </xf>
    <xf numFmtId="167" fontId="10" fillId="0" borderId="1" xfId="0" applyFont="true" applyBorder="true" applyAlignment="true" applyProtection="false">
      <alignment horizontal="right"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true" applyProtection="false">
      <alignment horizontal="right" vertical="bottom" textRotation="0" wrapText="false" indent="0" shrinkToFit="false"/>
      <protection locked="true" hidden="false"/>
    </xf>
    <xf numFmtId="166" fontId="12" fillId="6" borderId="1" xfId="0" applyFont="true" applyBorder="true" applyAlignment="true" applyProtection="false">
      <alignment horizontal="right" vertical="bottom" textRotation="0" wrapText="false" indent="0" shrinkToFit="false"/>
      <protection locked="true" hidden="false"/>
    </xf>
    <xf numFmtId="168" fontId="9" fillId="0" borderId="1" xfId="0" applyFont="true" applyBorder="true" applyAlignment="true" applyProtection="false">
      <alignment horizontal="right"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bottom" textRotation="0" wrapText="false" indent="0" shrinkToFit="false"/>
      <protection locked="true" hidden="false"/>
    </xf>
    <xf numFmtId="167" fontId="12" fillId="6" borderId="1" xfId="0" applyFont="true" applyBorder="true" applyAlignment="true" applyProtection="false">
      <alignment horizontal="center" vertical="bottom" textRotation="0" wrapText="false" indent="0" shrinkToFit="false"/>
      <protection locked="true" hidden="false"/>
    </xf>
    <xf numFmtId="169" fontId="10"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70" fontId="9" fillId="0" borderId="1" xfId="0" applyFont="true" applyBorder="true" applyAlignment="true" applyProtection="false">
      <alignment horizontal="right" vertical="bottom" textRotation="0" wrapText="fals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9" fontId="13"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5" borderId="1" xfId="0" applyFont="true" applyBorder="true" applyAlignment="false" applyProtection="false">
      <alignment horizontal="general" vertical="bottom" textRotation="0" wrapText="false" indent="0" shrinkToFit="false"/>
      <protection locked="true" hidden="false"/>
    </xf>
    <xf numFmtId="169" fontId="9" fillId="5"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9" fontId="9" fillId="0" borderId="1" xfId="0" applyFont="true" applyBorder="true" applyAlignment="true" applyProtection="false">
      <alignment horizontal="center" vertical="bottom" textRotation="0" wrapText="false" indent="0" shrinkToFit="false"/>
      <protection locked="true" hidden="false"/>
    </xf>
    <xf numFmtId="168" fontId="10" fillId="0" borderId="1" xfId="0" applyFont="true" applyBorder="true" applyAlignment="true" applyProtection="false">
      <alignment horizontal="center" vertical="bottom" textRotation="0" wrapText="false" indent="0" shrinkToFit="false"/>
      <protection locked="true" hidden="false"/>
    </xf>
    <xf numFmtId="164" fontId="9" fillId="3" borderId="0" xfId="0" applyFont="true" applyBorder="true" applyAlignment="true" applyProtection="false">
      <alignment horizontal="center" vertical="bottom" textRotation="0" wrapText="false" indent="0" shrinkToFit="false"/>
      <protection locked="true" hidden="false"/>
    </xf>
    <xf numFmtId="164" fontId="14" fillId="0" borderId="1" xfId="0" applyFont="true" applyBorder="true" applyAlignment="true" applyProtection="false">
      <alignment horizontal="center" vertical="bottom" textRotation="0" wrapText="false" indent="0" shrinkToFit="false"/>
      <protection locked="true" hidden="false"/>
    </xf>
    <xf numFmtId="166" fontId="12"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true" applyProtection="false">
      <alignment horizontal="center" vertical="bottom" textRotation="0" wrapText="false" indent="0" shrinkToFit="false"/>
      <protection locked="true" hidden="false"/>
    </xf>
    <xf numFmtId="164" fontId="1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12" fillId="0" borderId="1" xfId="0" applyFont="true" applyBorder="true" applyAlignment="true" applyProtection="false">
      <alignment horizontal="right" vertical="bottom" textRotation="0" wrapText="false" indent="0" shrinkToFit="false"/>
      <protection locked="true" hidden="false"/>
    </xf>
    <xf numFmtId="171" fontId="12" fillId="6" borderId="1" xfId="0" applyFont="true" applyBorder="true" applyAlignment="true" applyProtection="false">
      <alignment horizontal="right" vertical="bottom" textRotation="0" wrapText="false" indent="0" shrinkToFit="false"/>
      <protection locked="true" hidden="false"/>
    </xf>
    <xf numFmtId="171" fontId="12" fillId="0" borderId="1" xfId="0" applyFont="true" applyBorder="true" applyAlignment="true" applyProtection="false">
      <alignment horizontal="right" vertical="bottom" textRotation="0" wrapText="false" indent="0" shrinkToFit="false"/>
      <protection locked="true" hidden="false"/>
    </xf>
    <xf numFmtId="164" fontId="12" fillId="6" borderId="1" xfId="0" applyFont="true" applyBorder="true" applyAlignment="true" applyProtection="false">
      <alignment horizontal="right" vertical="bottom" textRotation="0" wrapText="fals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xf numFmtId="170" fontId="10" fillId="0" borderId="1" xfId="0" applyFont="true" applyBorder="true" applyAlignment="false" applyProtection="false">
      <alignment horizontal="general" vertical="bottom" textRotation="0" wrapText="false" indent="0" shrinkToFit="false"/>
      <protection locked="true" hidden="false"/>
    </xf>
    <xf numFmtId="166" fontId="10" fillId="7" borderId="1" xfId="0" applyFont="true" applyBorder="true" applyAlignment="false" applyProtection="false">
      <alignment horizontal="general" vertical="bottom"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4" fontId="10" fillId="7" borderId="1" xfId="0" applyFont="true" applyBorder="true" applyAlignment="true" applyProtection="false">
      <alignment horizontal="center" vertical="bottom" textRotation="0" wrapText="false" indent="0" shrinkToFit="false"/>
      <protection locked="true" hidden="false"/>
    </xf>
    <xf numFmtId="167" fontId="9" fillId="5" borderId="1" xfId="0" applyFont="true" applyBorder="true" applyAlignment="false" applyProtection="false">
      <alignment horizontal="general" vertical="bottom" textRotation="0" wrapText="false" indent="0" shrinkToFit="false"/>
      <protection locked="true" hidden="false"/>
    </xf>
    <xf numFmtId="166" fontId="9" fillId="5" borderId="1" xfId="0" applyFont="true" applyBorder="true" applyAlignment="false" applyProtection="false">
      <alignment horizontal="general" vertical="bottom" textRotation="0" wrapText="false" indent="0" shrinkToFit="false"/>
      <protection locked="true" hidden="false"/>
    </xf>
    <xf numFmtId="165" fontId="8" fillId="4" borderId="1" xfId="0" applyFont="true" applyBorder="true" applyAlignment="true" applyProtection="false">
      <alignment horizontal="center" vertical="center" textRotation="0" wrapText="true" indent="0" shrinkToFit="false"/>
      <protection locked="true" hidden="false"/>
    </xf>
    <xf numFmtId="166" fontId="12" fillId="6"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6" fontId="9" fillId="6" borderId="1" xfId="0" applyFont="true" applyBorder="true" applyAlignment="false" applyProtection="false">
      <alignment horizontal="general" vertical="bottom" textRotation="0" wrapText="false" indent="0" shrinkToFit="false"/>
      <protection locked="true" hidden="false"/>
    </xf>
    <xf numFmtId="168" fontId="10"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78787"/>
      <rgbColor rgb="FF9999FF"/>
      <rgbColor rgb="FFBE4B48"/>
      <rgbColor rgb="FFF2F2F2"/>
      <rgbColor rgb="FFD9E2F3"/>
      <rgbColor rgb="FF660066"/>
      <rgbColor rgb="FFFF8080"/>
      <rgbColor rgb="FF0563C1"/>
      <rgbColor rgb="FFD6DCE5"/>
      <rgbColor rgb="FF000080"/>
      <rgbColor rgb="FFFF00FF"/>
      <rgbColor rgb="FFFFFF00"/>
      <rgbColor rgb="FF00FFFF"/>
      <rgbColor rgb="FF800080"/>
      <rgbColor rgb="FF800000"/>
      <rgbColor rgb="FF008080"/>
      <rgbColor rgb="FF0000FF"/>
      <rgbColor rgb="FF00CCFF"/>
      <rgbColor rgb="FFCCFFFF"/>
      <rgbColor rgb="FFD9D9D9"/>
      <rgbColor rgb="FFFFFF99"/>
      <rgbColor rgb="FF99CCFF"/>
      <rgbColor rgb="FFFF99CC"/>
      <rgbColor rgb="FFCC99FF"/>
      <rgbColor rgb="FFFFCC99"/>
      <rgbColor rgb="FF4F81BD"/>
      <rgbColor rgb="FF4BACC6"/>
      <rgbColor rgb="FF9BBB59"/>
      <rgbColor rgb="FFFFCC00"/>
      <rgbColor rgb="FFF79646"/>
      <rgbColor rgb="FFFF6600"/>
      <rgbColor rgb="FF8064A2"/>
      <rgbColor rgb="FF969696"/>
      <rgbColor rgb="FF1F3864"/>
      <rgbColor rgb="FF339966"/>
      <rgbColor rgb="FF003300"/>
      <rgbColor rgb="FF595959"/>
      <rgbColor rgb="FF993300"/>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Biaya SDM per Bulan (Rp) - Bulan 1 s.d. 24</a:t>
            </a:r>
          </a:p>
        </c:rich>
      </c:tx>
      <c:overlay val="0"/>
      <c:spPr>
        <a:noFill/>
        <a:ln w="0">
          <a:noFill/>
        </a:ln>
      </c:spPr>
    </c:title>
    <c:autoTitleDeleted val="0"/>
    <c:plotArea>
      <c:lineChart>
        <c:grouping val="standard"/>
        <c:varyColors val="0"/>
        <c:ser>
          <c:idx val="0"/>
          <c:order val="0"/>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Bulan'!$D$4:$AA$4</c:f>
              <c:strCach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strCache>
            </c:strRef>
          </c:cat>
          <c:val>
            <c:numRef>
              <c:f>'Proyeksi 24 Bulan'!$D$43:$AA$43</c:f>
              <c:numCache>
                <c:formatCode>[$-421]#,##0</c:formatCode>
                <c:ptCount val="24"/>
                <c:pt idx="0">
                  <c:v>158704880</c:v>
                </c:pt>
                <c:pt idx="1">
                  <c:v>219217748</c:v>
                </c:pt>
                <c:pt idx="2">
                  <c:v>230332093</c:v>
                </c:pt>
                <c:pt idx="3">
                  <c:v>375824433</c:v>
                </c:pt>
                <c:pt idx="4">
                  <c:v>410057871.5</c:v>
                </c:pt>
                <c:pt idx="5">
                  <c:v>435555486.5</c:v>
                </c:pt>
                <c:pt idx="6">
                  <c:v>435555486.5</c:v>
                </c:pt>
                <c:pt idx="7">
                  <c:v>435555486.5</c:v>
                </c:pt>
                <c:pt idx="8">
                  <c:v>435555486.5</c:v>
                </c:pt>
                <c:pt idx="9">
                  <c:v>435555486.5</c:v>
                </c:pt>
                <c:pt idx="10">
                  <c:v>435555486.5</c:v>
                </c:pt>
                <c:pt idx="11">
                  <c:v>435555486.5</c:v>
                </c:pt>
                <c:pt idx="12">
                  <c:v>514771937.75</c:v>
                </c:pt>
                <c:pt idx="13">
                  <c:v>548965022.75</c:v>
                </c:pt>
                <c:pt idx="14">
                  <c:v>567745399.75</c:v>
                </c:pt>
                <c:pt idx="15">
                  <c:v>584743809.75</c:v>
                </c:pt>
                <c:pt idx="16">
                  <c:v>601585945.75</c:v>
                </c:pt>
                <c:pt idx="17">
                  <c:v>610738935.75</c:v>
                </c:pt>
                <c:pt idx="18">
                  <c:v>636272061.75</c:v>
                </c:pt>
                <c:pt idx="19">
                  <c:v>636272061.75</c:v>
                </c:pt>
                <c:pt idx="20">
                  <c:v>636272061.75</c:v>
                </c:pt>
                <c:pt idx="21">
                  <c:v>636272061.75</c:v>
                </c:pt>
                <c:pt idx="22">
                  <c:v>636272061.75</c:v>
                </c:pt>
                <c:pt idx="23">
                  <c:v>636272061.75</c:v>
                </c:pt>
              </c:numCache>
            </c:numRef>
          </c:val>
          <c:smooth val="1"/>
        </c:ser>
        <c:hiLowLines>
          <c:spPr>
            <a:ln w="0">
              <a:noFill/>
            </a:ln>
          </c:spPr>
        </c:hiLowLines>
        <c:marker val="0"/>
        <c:axId val="94769214"/>
        <c:axId val="26578646"/>
      </c:lineChart>
      <c:catAx>
        <c:axId val="94769214"/>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Bulan ke-</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6578646"/>
        <c:crosses val="autoZero"/>
        <c:auto val="1"/>
        <c:lblAlgn val="ctr"/>
        <c:lblOffset val="100"/>
        <c:noMultiLvlLbl val="0"/>
      </c:catAx>
      <c:valAx>
        <c:axId val="26578646"/>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Rupiah per bulan</a:t>
                </a:r>
              </a:p>
            </c:rich>
          </c:tx>
          <c:overlay val="0"/>
          <c:spPr>
            <a:noFill/>
            <a:ln w="0">
              <a:noFill/>
            </a:ln>
          </c:spPr>
        </c:title>
        <c:numFmt formatCode="[$-421]#,##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769214"/>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Biaya SDM per Direktorat per Kuartal (Rp)</a:t>
            </a:r>
          </a:p>
        </c:rich>
      </c:tx>
      <c:overlay val="0"/>
      <c:spPr>
        <a:noFill/>
        <a:ln w="0">
          <a:noFill/>
        </a:ln>
      </c:spPr>
    </c:title>
    <c:autoTitleDeleted val="0"/>
    <c:plotArea>
      <c:barChart>
        <c:barDir val="col"/>
        <c:grouping val="stacked"/>
        <c:varyColors val="0"/>
        <c:ser>
          <c:idx val="0"/>
          <c:order val="0"/>
          <c:tx>
            <c:strRef>
              <c:f>'Proyeksi 24 Bulan'!A61</c:f>
              <c:strCache>
                <c:ptCount val="1"/>
                <c:pt idx="0">
                  <c:v>Direksi &amp; Tata Kelola</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Bulan'!$B$61:$I$61</c:f>
              <c:numCache>
                <c:formatCode>[$-421]#,##0</c:formatCode>
                <c:ptCount val="8"/>
                <c:pt idx="0">
                  <c:v>143584373</c:v>
                </c:pt>
                <c:pt idx="1">
                  <c:v>165813063</c:v>
                </c:pt>
                <c:pt idx="2">
                  <c:v>165813063</c:v>
                </c:pt>
                <c:pt idx="3">
                  <c:v>165813063</c:v>
                </c:pt>
                <c:pt idx="4">
                  <c:v>165813063</c:v>
                </c:pt>
                <c:pt idx="5">
                  <c:v>165813063</c:v>
                </c:pt>
                <c:pt idx="6">
                  <c:v>165813063</c:v>
                </c:pt>
                <c:pt idx="7">
                  <c:v>165813063</c:v>
                </c:pt>
              </c:numCache>
            </c:numRef>
          </c:val>
        </c:ser>
        <c:ser>
          <c:idx val="1"/>
          <c:order val="1"/>
          <c:tx>
            <c:strRef>
              <c:f>'Proyeksi 24 Bulan'!A62</c:f>
              <c:strCache>
                <c:ptCount val="1"/>
                <c:pt idx="0">
                  <c:v>Teknologi</c:v>
                </c:pt>
              </c:strCache>
            </c:strRef>
          </c:tx>
          <c:spPr>
            <a:solidFill>
              <a:srgbClr val="c0504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Bulan'!$B$62:$I$62</c:f>
              <c:numCache>
                <c:formatCode>[$-421]#,##0</c:formatCode>
                <c:ptCount val="8"/>
                <c:pt idx="0">
                  <c:v>300729506</c:v>
                </c:pt>
                <c:pt idx="1">
                  <c:v>513184875</c:v>
                </c:pt>
                <c:pt idx="2">
                  <c:v>554936841</c:v>
                </c:pt>
                <c:pt idx="3">
                  <c:v>554936841</c:v>
                </c:pt>
                <c:pt idx="4">
                  <c:v>690954714</c:v>
                </c:pt>
                <c:pt idx="5">
                  <c:v>804964267</c:v>
                </c:pt>
                <c:pt idx="6">
                  <c:v>916711761</c:v>
                </c:pt>
                <c:pt idx="7">
                  <c:v>916711761</c:v>
                </c:pt>
              </c:numCache>
            </c:numRef>
          </c:val>
        </c:ser>
        <c:ser>
          <c:idx val="2"/>
          <c:order val="2"/>
          <c:tx>
            <c:strRef>
              <c:f>'Proyeksi 24 Bulan'!A63</c:f>
              <c:strCache>
                <c:ptCount val="1"/>
                <c:pt idx="0">
                  <c:v>Operasi</c:v>
                </c:pt>
              </c:strCache>
            </c:strRef>
          </c:tx>
          <c:spPr>
            <a:solidFill>
              <a:srgbClr val="9bbb59"/>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Bulan'!$B$63:$I$63</c:f>
              <c:numCache>
                <c:formatCode>[$-421]#,##0</c:formatCode>
                <c:ptCount val="8"/>
                <c:pt idx="0">
                  <c:v>112874590</c:v>
                </c:pt>
                <c:pt idx="1">
                  <c:v>305767654</c:v>
                </c:pt>
                <c:pt idx="2">
                  <c:v>349244356.5</c:v>
                </c:pt>
                <c:pt idx="3">
                  <c:v>349244356.5</c:v>
                </c:pt>
                <c:pt idx="4">
                  <c:v>458056530.5</c:v>
                </c:pt>
                <c:pt idx="5">
                  <c:v>488058403.5</c:v>
                </c:pt>
                <c:pt idx="6">
                  <c:v>488058403.5</c:v>
                </c:pt>
                <c:pt idx="7">
                  <c:v>488058403.5</c:v>
                </c:pt>
              </c:numCache>
            </c:numRef>
          </c:val>
        </c:ser>
        <c:ser>
          <c:idx val="3"/>
          <c:order val="3"/>
          <c:tx>
            <c:strRef>
              <c:f>'Proyeksi 24 Bulan'!A64</c:f>
              <c:strCache>
                <c:ptCount val="1"/>
                <c:pt idx="0">
                  <c:v>Growth &amp; Partnership</c:v>
                </c:pt>
              </c:strCache>
            </c:strRef>
          </c:tx>
          <c:spPr>
            <a:solidFill>
              <a:srgbClr val="8064a2"/>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Bulan'!$B$64:$I$64</c:f>
              <c:numCache>
                <c:formatCode>[$-421]#,##0</c:formatCode>
                <c:ptCount val="8"/>
                <c:pt idx="0">
                  <c:v>0</c:v>
                </c:pt>
                <c:pt idx="1">
                  <c:v>82186443</c:v>
                </c:pt>
                <c:pt idx="2">
                  <c:v>82186443</c:v>
                </c:pt>
                <c:pt idx="3">
                  <c:v>82186443</c:v>
                </c:pt>
                <c:pt idx="4">
                  <c:v>130300278</c:v>
                </c:pt>
                <c:pt idx="5">
                  <c:v>130300278</c:v>
                </c:pt>
                <c:pt idx="6">
                  <c:v>130300278</c:v>
                </c:pt>
                <c:pt idx="7">
                  <c:v>130300278</c:v>
                </c:pt>
              </c:numCache>
            </c:numRef>
          </c:val>
        </c:ser>
        <c:ser>
          <c:idx val="4"/>
          <c:order val="4"/>
          <c:tx>
            <c:strRef>
              <c:f>'Proyeksi 24 Bulan'!A65</c:f>
              <c:strCache>
                <c:ptCount val="1"/>
                <c:pt idx="0">
                  <c:v>Keuangan</c:v>
                </c:pt>
              </c:strCache>
            </c:strRef>
          </c:tx>
          <c:spPr>
            <a:solidFill>
              <a:srgbClr val="4bacc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Bulan'!$B$65:$I$65</c:f>
              <c:numCache>
                <c:formatCode>[$-421]#,##0</c:formatCode>
                <c:ptCount val="8"/>
                <c:pt idx="0">
                  <c:v>51066252</c:v>
                </c:pt>
                <c:pt idx="1">
                  <c:v>102096993</c:v>
                </c:pt>
                <c:pt idx="2">
                  <c:v>102096993</c:v>
                </c:pt>
                <c:pt idx="3">
                  <c:v>102096993</c:v>
                </c:pt>
                <c:pt idx="4">
                  <c:v>133969011.75</c:v>
                </c:pt>
                <c:pt idx="5">
                  <c:v>155543916.75</c:v>
                </c:pt>
                <c:pt idx="6">
                  <c:v>155543916.75</c:v>
                </c:pt>
                <c:pt idx="7">
                  <c:v>155543916.75</c:v>
                </c:pt>
              </c:numCache>
            </c:numRef>
          </c:val>
        </c:ser>
        <c:ser>
          <c:idx val="5"/>
          <c:order val="5"/>
          <c:tx>
            <c:strRef>
              <c:f>'Proyeksi 24 Bulan'!A66</c:f>
              <c:strCache>
                <c:ptCount val="1"/>
                <c:pt idx="0">
                  <c:v>Legal &amp; Kepatuhan</c:v>
                </c:pt>
              </c:strCache>
            </c:strRef>
          </c:tx>
          <c:spPr>
            <a:solidFill>
              <a:srgbClr val="f7964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'Proyeksi 24 Bulan'!$B$60:$I$60</c:f>
              <c:strCache>
                <c:ptCount val="8"/>
                <c:pt idx="0">
                  <c:v>K1</c:v>
                </c:pt>
                <c:pt idx="1">
                  <c:v>K2</c:v>
                </c:pt>
                <c:pt idx="2">
                  <c:v>K3</c:v>
                </c:pt>
                <c:pt idx="3">
                  <c:v>K4</c:v>
                </c:pt>
                <c:pt idx="4">
                  <c:v>K5</c:v>
                </c:pt>
                <c:pt idx="5">
                  <c:v>K6</c:v>
                </c:pt>
                <c:pt idx="6">
                  <c:v>K7</c:v>
                </c:pt>
                <c:pt idx="7">
                  <c:v>K8</c:v>
                </c:pt>
              </c:strCache>
            </c:strRef>
          </c:cat>
          <c:val>
            <c:numRef>
              <c:f>'Proyeksi 24 Bulan'!$B$66:$I$66</c:f>
              <c:numCache>
                <c:formatCode>[$-421]#,##0</c:formatCode>
                <c:ptCount val="8"/>
                <c:pt idx="0">
                  <c:v>0</c:v>
                </c:pt>
                <c:pt idx="1">
                  <c:v>52388763</c:v>
                </c:pt>
                <c:pt idx="2">
                  <c:v>52388763</c:v>
                </c:pt>
                <c:pt idx="3">
                  <c:v>52388763</c:v>
                </c:pt>
                <c:pt idx="4">
                  <c:v>52388763</c:v>
                </c:pt>
                <c:pt idx="5">
                  <c:v>52388763</c:v>
                </c:pt>
                <c:pt idx="6">
                  <c:v>52388763</c:v>
                </c:pt>
                <c:pt idx="7">
                  <c:v>52388763</c:v>
                </c:pt>
              </c:numCache>
            </c:numRef>
          </c:val>
        </c:ser>
        <c:gapWidth val="150"/>
        <c:overlap val="100"/>
        <c:axId val="51894295"/>
        <c:axId val="68921832"/>
      </c:barChart>
      <c:catAx>
        <c:axId val="51894295"/>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Kuartal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921832"/>
        <c:crosses val="autoZero"/>
        <c:auto val="1"/>
        <c:lblAlgn val="ctr"/>
        <c:lblOffset val="100"/>
        <c:noMultiLvlLbl val="0"/>
      </c:catAx>
      <c:valAx>
        <c:axId val="68921832"/>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Rupiah per kuartal</a:t>
                </a:r>
              </a:p>
            </c:rich>
          </c:tx>
          <c:overlay val="0"/>
          <c:spPr>
            <a:noFill/>
            <a:ln w="0">
              <a:noFill/>
            </a:ln>
          </c:spPr>
        </c:title>
        <c:numFmt formatCode="[$-421]#,##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1894295"/>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71</xdr:row>
      <xdr:rowOff>0</xdr:rowOff>
    </xdr:from>
    <xdr:to>
      <xdr:col>6</xdr:col>
      <xdr:colOff>604440</xdr:colOff>
      <xdr:row>88</xdr:row>
      <xdr:rowOff>1440</xdr:rowOff>
    </xdr:to>
    <xdr:graphicFrame>
      <xdr:nvGraphicFramePr>
        <xdr:cNvPr id="0" name="Chart 1"/>
        <xdr:cNvGraphicFramePr/>
      </xdr:nvGraphicFramePr>
      <xdr:xfrm>
        <a:off x="0" y="14287680"/>
        <a:ext cx="863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90</xdr:row>
      <xdr:rowOff>0</xdr:rowOff>
    </xdr:from>
    <xdr:to>
      <xdr:col>6</xdr:col>
      <xdr:colOff>604440</xdr:colOff>
      <xdr:row>108</xdr:row>
      <xdr:rowOff>170640</xdr:rowOff>
    </xdr:to>
    <xdr:graphicFrame>
      <xdr:nvGraphicFramePr>
        <xdr:cNvPr id="1" name="Chart 2"/>
        <xdr:cNvGraphicFramePr/>
      </xdr:nvGraphicFramePr>
      <xdr:xfrm>
        <a:off x="0" y="17907120"/>
        <a:ext cx="8639640" cy="3599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4" min="2" style="0" width="24"/>
    <col collapsed="false" customWidth="true" hidden="false" outlineLevel="0" max="5" min="5" style="0" width="52"/>
    <col collapsed="false" customWidth="true" hidden="false" outlineLevel="0" max="6" min="6" style="0" width="24"/>
    <col collapsed="false" customWidth="true" hidden="false" outlineLevel="0" max="7" min="7" style="0" width="26"/>
    <col collapsed="false" customWidth="true" hidden="false" outlineLevel="0" max="8" min="8" style="0" width="52"/>
  </cols>
  <sheetData>
    <row r="1" customFormat="false" ht="25.5" hidden="false" customHeight="true" outlineLevel="0" collapsed="false">
      <c r="A1" s="1" t="s">
        <v>0</v>
      </c>
      <c r="B1" s="1"/>
      <c r="C1" s="1"/>
      <c r="D1" s="1"/>
      <c r="E1" s="1"/>
      <c r="F1" s="1"/>
      <c r="G1" s="1"/>
      <c r="H1" s="1"/>
    </row>
    <row r="2" customFormat="false" ht="15" hidden="false" customHeight="false" outlineLevel="0" collapsed="false">
      <c r="A2" s="2" t="s">
        <v>1</v>
      </c>
      <c r="B2" s="2"/>
      <c r="C2" s="2"/>
      <c r="D2" s="2"/>
      <c r="E2" s="2"/>
      <c r="F2" s="2"/>
      <c r="G2" s="2"/>
      <c r="H2" s="2"/>
    </row>
    <row r="3" customFormat="false" ht="30" hidden="false" customHeight="true" outlineLevel="0" collapsed="false">
      <c r="A3" s="3" t="s">
        <v>2</v>
      </c>
      <c r="B3" s="3"/>
      <c r="C3" s="3"/>
      <c r="D3" s="3"/>
      <c r="E3" s="3"/>
      <c r="F3" s="3"/>
      <c r="G3" s="3"/>
      <c r="H3" s="3"/>
    </row>
    <row r="5" customFormat="false" ht="15" hidden="false" customHeight="false" outlineLevel="0" collapsed="false">
      <c r="A5" s="4" t="s">
        <v>3</v>
      </c>
      <c r="B5" s="4"/>
      <c r="C5" s="4"/>
      <c r="D5" s="4"/>
      <c r="E5" s="4"/>
    </row>
    <row r="6" customFormat="false" ht="31.5" hidden="false" customHeight="true" outlineLevel="0" collapsed="false">
      <c r="A6" s="5" t="s">
        <v>4</v>
      </c>
      <c r="B6" s="5" t="s">
        <v>5</v>
      </c>
      <c r="C6" s="5" t="s">
        <v>6</v>
      </c>
      <c r="D6" s="5" t="s">
        <v>7</v>
      </c>
      <c r="E6" s="5" t="s">
        <v>8</v>
      </c>
    </row>
    <row r="7" customFormat="false" ht="15" hidden="false" customHeight="false" outlineLevel="0" collapsed="false">
      <c r="A7" s="6" t="s">
        <v>9</v>
      </c>
      <c r="B7" s="7" t="n">
        <f aca="false">Headcount!$H$43</f>
        <v>9</v>
      </c>
      <c r="C7" s="7" t="n">
        <f aca="false">Headcount!$I$43</f>
        <v>24</v>
      </c>
      <c r="D7" s="7" t="n">
        <f aca="false">Headcount!$J$43</f>
        <v>42</v>
      </c>
      <c r="E7" s="8" t="s">
        <v>10</v>
      </c>
    </row>
    <row r="8" customFormat="false" ht="15" hidden="false" customHeight="false" outlineLevel="0" collapsed="false">
      <c r="A8" s="6" t="s">
        <v>11</v>
      </c>
      <c r="B8" s="9" t="n">
        <f aca="false">'Biaya Bulanan'!$Y$64</f>
        <v>230332093</v>
      </c>
      <c r="C8" s="9" t="n">
        <f aca="false">'Biaya Bulanan'!$Z$64</f>
        <v>435555486.5</v>
      </c>
      <c r="D8" s="9" t="n">
        <f aca="false">'Biaya Bulanan'!$AA$64</f>
        <v>636272061.75</v>
      </c>
      <c r="E8" s="8" t="s">
        <v>12</v>
      </c>
    </row>
    <row r="9" customFormat="false" ht="15" hidden="false" customHeight="false" outlineLevel="0" collapsed="false">
      <c r="A9" s="6" t="s">
        <v>13</v>
      </c>
      <c r="B9" s="9" t="n">
        <f aca="false">'Biaya Bulanan'!$Y$64*12</f>
        <v>2763985116</v>
      </c>
      <c r="C9" s="9" t="n">
        <f aca="false">'Biaya Bulanan'!$Z$64*12</f>
        <v>5226665838</v>
      </c>
      <c r="D9" s="9" t="n">
        <f aca="false">'Biaya Bulanan'!$AA$64*12</f>
        <v>7635264741</v>
      </c>
      <c r="E9" s="8" t="s">
        <v>14</v>
      </c>
    </row>
    <row r="10" customFormat="false" ht="15" hidden="false" customHeight="false" outlineLevel="0" collapsed="false">
      <c r="A10" s="6" t="s">
        <v>15</v>
      </c>
      <c r="B10" s="9" t="n">
        <f aca="false">IF(B7=0,0,B8/B7)</f>
        <v>25592454.7777778</v>
      </c>
      <c r="C10" s="9" t="n">
        <f aca="false">IF(C7=0,0,C8/C7)</f>
        <v>18148145.2708333</v>
      </c>
      <c r="D10" s="9" t="n">
        <f aca="false">IF(D7=0,0,D8/D7)</f>
        <v>15149334.8035714</v>
      </c>
      <c r="E10" s="8" t="s">
        <v>16</v>
      </c>
    </row>
    <row r="11" customFormat="false" ht="19.4" hidden="false" customHeight="false" outlineLevel="0" collapsed="false">
      <c r="A11" s="6" t="s">
        <v>17</v>
      </c>
      <c r="B11" s="10" t="n">
        <f aca="false">IF(SUMPRODUCT('Biaya Bulanan'!$K$26:$K$63,'Biaya Bulanan'!$V$26:$V$63)=0,0,B8/SUMPRODUCT('Biaya Bulanan'!$K$26:$K$63,'Biaya Bulanan'!$V$26:$V$63))</f>
        <v>1.27607807756233</v>
      </c>
      <c r="C11" s="10" t="n">
        <f aca="false">C8/SUMPRODUCT('Biaya Bulanan'!$K$26:$K$63,'Biaya Bulanan'!$W$26:$W$63)</f>
        <v>1.28387763154016</v>
      </c>
      <c r="D11" s="10" t="n">
        <f aca="false">D8/SUMPRODUCT('Biaya Bulanan'!$K$26:$K$63,'Biaya Bulanan'!$X$26:$X$63)</f>
        <v>1.2892397786333</v>
      </c>
      <c r="E11" s="8" t="s">
        <v>18</v>
      </c>
    </row>
    <row r="12" customFormat="false" ht="15" hidden="false" customHeight="false" outlineLevel="0" collapsed="false">
      <c r="A12" s="6" t="s">
        <v>19</v>
      </c>
      <c r="B12" s="9" t="n">
        <f aca="false">'Biaya Non-Gaji'!$I$11</f>
        <v>19350000</v>
      </c>
      <c r="C12" s="9" t="n">
        <f aca="false">'Biaya Non-Gaji'!$J$11</f>
        <v>48000000</v>
      </c>
      <c r="D12" s="9" t="n">
        <f aca="false">'Biaya Non-Gaji'!$K$11</f>
        <v>78300000</v>
      </c>
      <c r="E12" s="8" t="s">
        <v>20</v>
      </c>
    </row>
    <row r="14" customFormat="false" ht="15" hidden="false" customHeight="false" outlineLevel="0" collapsed="false">
      <c r="A14" s="4" t="s">
        <v>21</v>
      </c>
      <c r="B14" s="4"/>
      <c r="C14" s="4"/>
      <c r="D14" s="4"/>
      <c r="E14" s="4"/>
    </row>
    <row r="15" customFormat="false" ht="31.5" hidden="false" customHeight="true" outlineLevel="0" collapsed="false">
      <c r="A15" s="5" t="s">
        <v>22</v>
      </c>
      <c r="B15" s="5" t="s">
        <v>23</v>
      </c>
      <c r="C15" s="5"/>
      <c r="D15" s="5"/>
      <c r="E15" s="5" t="s">
        <v>24</v>
      </c>
    </row>
    <row r="16" customFormat="false" ht="15" hidden="false" customHeight="false" outlineLevel="0" collapsed="false">
      <c r="A16" s="11" t="s">
        <v>25</v>
      </c>
      <c r="B16" s="9" t="n">
        <f aca="false">'Proyeksi 24 Bulan'!$D$55</f>
        <v>11689208853</v>
      </c>
      <c r="E16" s="8" t="s">
        <v>26</v>
      </c>
    </row>
    <row r="17" customFormat="false" ht="15" hidden="false" customHeight="false" outlineLevel="0" collapsed="false">
      <c r="A17" s="11" t="s">
        <v>27</v>
      </c>
      <c r="B17" s="9" t="n">
        <f aca="false">'Proyeksi 24 Bulan'!$D$56</f>
        <v>4443025431</v>
      </c>
      <c r="E17" s="8" t="s">
        <v>28</v>
      </c>
    </row>
    <row r="18" customFormat="false" ht="15" hidden="false" customHeight="false" outlineLevel="0" collapsed="false">
      <c r="A18" s="11" t="s">
        <v>29</v>
      </c>
      <c r="B18" s="9" t="n">
        <f aca="false">'Biaya Non-Gaji'!$M$19</f>
        <v>1927050000</v>
      </c>
      <c r="E18" s="8" t="s">
        <v>30</v>
      </c>
    </row>
    <row r="19" customFormat="false" ht="15" hidden="false" customHeight="false" outlineLevel="0" collapsed="false">
      <c r="A19" s="6" t="s">
        <v>31</v>
      </c>
      <c r="B19" s="12" t="n">
        <f aca="false">B16+B18</f>
        <v>13616258853</v>
      </c>
      <c r="E19" s="8" t="s">
        <v>32</v>
      </c>
    </row>
    <row r="20" customFormat="false" ht="15" hidden="false" customHeight="false" outlineLevel="0" collapsed="false">
      <c r="A20" s="6" t="s">
        <v>33</v>
      </c>
      <c r="B20" s="13" t="n">
        <v>500000000</v>
      </c>
      <c r="E20" s="8" t="s">
        <v>34</v>
      </c>
    </row>
    <row r="21" customFormat="false" ht="19.4" hidden="false" customHeight="false" outlineLevel="0" collapsed="false">
      <c r="A21" s="6" t="s">
        <v>35</v>
      </c>
      <c r="B21" s="13" t="n">
        <v>12000000000</v>
      </c>
      <c r="E21" s="8" t="s">
        <v>36</v>
      </c>
    </row>
    <row r="22" customFormat="false" ht="15" hidden="false" customHeight="false" outlineLevel="0" collapsed="false">
      <c r="A22" s="6" t="s">
        <v>37</v>
      </c>
      <c r="B22" s="12" t="n">
        <f aca="false">B19+B20+B21</f>
        <v>26116258853</v>
      </c>
      <c r="E22" s="8" t="s">
        <v>38</v>
      </c>
    </row>
    <row r="23" customFormat="false" ht="15" hidden="false" customHeight="false" outlineLevel="0" collapsed="false">
      <c r="A23" s="6" t="s">
        <v>39</v>
      </c>
      <c r="B23" s="14" t="n">
        <f aca="false">B16/B22</f>
        <v>0.447583588399655</v>
      </c>
      <c r="E23" s="15" t="s">
        <v>40</v>
      </c>
    </row>
    <row r="24" customFormat="false" ht="15" hidden="false" customHeight="false" outlineLevel="0" collapsed="false">
      <c r="A24" s="6" t="s">
        <v>41</v>
      </c>
      <c r="B24" s="14" t="n">
        <f aca="false">B19/B22</f>
        <v>0.521370956293607</v>
      </c>
      <c r="E24" s="15" t="s">
        <v>40</v>
      </c>
    </row>
    <row r="26" customFormat="false" ht="15" hidden="false" customHeight="false" outlineLevel="0" collapsed="false">
      <c r="A26" s="4" t="s">
        <v>42</v>
      </c>
      <c r="B26" s="4"/>
      <c r="C26" s="4"/>
      <c r="D26" s="4"/>
      <c r="E26" s="4"/>
      <c r="F26" s="4"/>
      <c r="G26" s="4"/>
      <c r="H26" s="4"/>
    </row>
    <row r="27" customFormat="false" ht="31.5" hidden="false" customHeight="true" outlineLevel="0" collapsed="false">
      <c r="A27" s="5" t="s">
        <v>43</v>
      </c>
      <c r="B27" s="5" t="s">
        <v>44</v>
      </c>
      <c r="C27" s="5" t="s">
        <v>45</v>
      </c>
      <c r="D27" s="5" t="s">
        <v>46</v>
      </c>
      <c r="E27" s="5" t="s">
        <v>47</v>
      </c>
      <c r="F27" s="5" t="s">
        <v>48</v>
      </c>
      <c r="G27" s="5" t="s">
        <v>49</v>
      </c>
      <c r="H27" s="5" t="s">
        <v>50</v>
      </c>
    </row>
    <row r="28" customFormat="false" ht="19.4" hidden="false" customHeight="false" outlineLevel="0" collapsed="false">
      <c r="A28" s="6" t="s">
        <v>51</v>
      </c>
      <c r="B28" s="16" t="s">
        <v>52</v>
      </c>
      <c r="C28" s="17" t="n">
        <v>0.85</v>
      </c>
      <c r="D28" s="18" t="n">
        <f aca="false">ROUND(Headcount!$J$43*$C28,0)</f>
        <v>36</v>
      </c>
      <c r="E28" s="19" t="n">
        <f aca="false">$C28*SUMPRODUCT('Biaya Bulanan'!$AG$26:$AG$63,'Biaya Bulanan'!$X$26:$X$63)</f>
        <v>428107402.375</v>
      </c>
      <c r="F28" s="19" t="n">
        <f aca="false">$E28*12</f>
        <v>5137288828.5</v>
      </c>
      <c r="G28" s="19" t="n">
        <f aca="false">$C28*SUMPRODUCT('Biaya Bulanan'!$AG$26:$AG$63,'Biaya Bulanan'!$AK$26:$AK$63)</f>
        <v>8021224619.95</v>
      </c>
      <c r="H28" s="8" t="s">
        <v>53</v>
      </c>
    </row>
    <row r="29" customFormat="false" ht="19.4" hidden="false" customHeight="false" outlineLevel="0" collapsed="false">
      <c r="A29" s="6" t="s">
        <v>54</v>
      </c>
      <c r="B29" s="16" t="s">
        <v>55</v>
      </c>
      <c r="C29" s="17" t="n">
        <v>1</v>
      </c>
      <c r="D29" s="18" t="n">
        <f aca="false">ROUND(Headcount!$J$43*$C29,0)</f>
        <v>42</v>
      </c>
      <c r="E29" s="19" t="n">
        <f aca="false">$C29*SUMPRODUCT('Biaya Bulanan'!$AH$26:$AH$63,'Biaya Bulanan'!$X$26:$X$63)</f>
        <v>636272061.75</v>
      </c>
      <c r="F29" s="19" t="n">
        <f aca="false">$E29*12</f>
        <v>7635264741</v>
      </c>
      <c r="G29" s="19" t="n">
        <f aca="false">$C29*SUMPRODUCT('Biaya Bulanan'!$AH$26:$AH$63,'Biaya Bulanan'!$AK$26:$AK$63)</f>
        <v>11689208853</v>
      </c>
      <c r="H29" s="8" t="s">
        <v>56</v>
      </c>
    </row>
    <row r="30" customFormat="false" ht="19.4" hidden="false" customHeight="false" outlineLevel="0" collapsed="false">
      <c r="A30" s="6" t="s">
        <v>57</v>
      </c>
      <c r="B30" s="16" t="s">
        <v>58</v>
      </c>
      <c r="C30" s="17" t="n">
        <v>1.15</v>
      </c>
      <c r="D30" s="18" t="n">
        <f aca="false">ROUND(Headcount!$J$43*$C30,0)</f>
        <v>48</v>
      </c>
      <c r="E30" s="19" t="n">
        <f aca="false">$C30*SUMPRODUCT('Biaya Bulanan'!$AI$26:$AI$63,'Biaya Bulanan'!$X$26:$X$63)</f>
        <v>882291815.1</v>
      </c>
      <c r="F30" s="19" t="n">
        <f aca="false">$E30*12</f>
        <v>10587501781.2</v>
      </c>
      <c r="G30" s="19" t="n">
        <f aca="false">$C30*SUMPRODUCT('Biaya Bulanan'!$AI$26:$AI$63,'Biaya Bulanan'!$AK$26:$AK$63)</f>
        <v>16002418009.25</v>
      </c>
      <c r="H30" s="8" t="s">
        <v>59</v>
      </c>
    </row>
    <row r="31" customFormat="false" ht="15" hidden="false" customHeight="false" outlineLevel="0" collapsed="false">
      <c r="A31" s="6" t="s">
        <v>60</v>
      </c>
      <c r="E31" s="20" t="n">
        <f aca="false">E29-'Biaya Bulanan'!$AA$64</f>
        <v>0</v>
      </c>
      <c r="G31" s="20" t="n">
        <f aca="false">G29-'Proyeksi 24 Bulan'!$D$55</f>
        <v>0</v>
      </c>
    </row>
    <row r="33" customFormat="false" ht="15" hidden="false" customHeight="false" outlineLevel="0" collapsed="false">
      <c r="A33" s="4" t="s">
        <v>61</v>
      </c>
      <c r="B33" s="4"/>
      <c r="C33" s="4"/>
      <c r="D33" s="4"/>
      <c r="E33" s="4"/>
      <c r="F33" s="4"/>
      <c r="G33" s="4"/>
      <c r="H33" s="4"/>
    </row>
    <row r="34" customFormat="false" ht="25.5" hidden="false" customHeight="true" outlineLevel="0" collapsed="false">
      <c r="A34" s="21" t="s">
        <v>62</v>
      </c>
      <c r="B34" s="21"/>
      <c r="C34" s="21"/>
      <c r="D34" s="21"/>
      <c r="E34" s="21"/>
      <c r="F34" s="21"/>
      <c r="G34" s="21"/>
      <c r="H34" s="21"/>
    </row>
    <row r="35" customFormat="false" ht="25.5" hidden="false" customHeight="true" outlineLevel="0" collapsed="false">
      <c r="A35" s="21" t="s">
        <v>63</v>
      </c>
      <c r="B35" s="21"/>
      <c r="C35" s="21"/>
      <c r="D35" s="21"/>
      <c r="E35" s="21"/>
      <c r="F35" s="21"/>
      <c r="G35" s="21"/>
      <c r="H35" s="21"/>
    </row>
    <row r="36" customFormat="false" ht="25.5" hidden="false" customHeight="true" outlineLevel="0" collapsed="false">
      <c r="A36" s="21" t="s">
        <v>64</v>
      </c>
      <c r="B36" s="21"/>
      <c r="C36" s="21"/>
      <c r="D36" s="21"/>
      <c r="E36" s="21"/>
      <c r="F36" s="21"/>
      <c r="G36" s="21"/>
      <c r="H36" s="21"/>
    </row>
    <row r="37" customFormat="false" ht="25.5" hidden="false" customHeight="true" outlineLevel="0" collapsed="false">
      <c r="A37" s="21" t="s">
        <v>65</v>
      </c>
      <c r="B37" s="21"/>
      <c r="C37" s="21"/>
      <c r="D37" s="21"/>
      <c r="E37" s="21"/>
      <c r="F37" s="21"/>
      <c r="G37" s="21"/>
      <c r="H37" s="21"/>
    </row>
    <row r="38" customFormat="false" ht="25.5" hidden="false" customHeight="true" outlineLevel="0" collapsed="false">
      <c r="A38" s="21" t="s">
        <v>66</v>
      </c>
      <c r="B38" s="21"/>
      <c r="C38" s="21"/>
      <c r="D38" s="21"/>
      <c r="E38" s="21"/>
      <c r="F38" s="21"/>
      <c r="G38" s="21"/>
      <c r="H38" s="21"/>
    </row>
    <row r="39" customFormat="false" ht="25.5" hidden="false" customHeight="true" outlineLevel="0" collapsed="false">
      <c r="A39" s="21" t="s">
        <v>67</v>
      </c>
      <c r="B39" s="21"/>
      <c r="C39" s="21"/>
      <c r="D39" s="21"/>
      <c r="E39" s="21"/>
      <c r="F39" s="21"/>
      <c r="G39" s="21"/>
      <c r="H39" s="21"/>
    </row>
    <row r="40" customFormat="false" ht="25.5" hidden="false" customHeight="true" outlineLevel="0" collapsed="false">
      <c r="A40" s="21" t="s">
        <v>68</v>
      </c>
      <c r="B40" s="21"/>
      <c r="C40" s="21"/>
      <c r="D40" s="21"/>
      <c r="E40" s="21"/>
      <c r="F40" s="21"/>
      <c r="G40" s="21"/>
      <c r="H40" s="21"/>
    </row>
    <row r="42" customFormat="false" ht="15" hidden="false" customHeight="false" outlineLevel="0" collapsed="false">
      <c r="A42" s="22" t="s">
        <v>69</v>
      </c>
    </row>
  </sheetData>
  <mergeCells count="14">
    <mergeCell ref="A1:H1"/>
    <mergeCell ref="A2:H2"/>
    <mergeCell ref="A3:H3"/>
    <mergeCell ref="A5:E5"/>
    <mergeCell ref="A14:E14"/>
    <mergeCell ref="A26:H26"/>
    <mergeCell ref="A33:H33"/>
    <mergeCell ref="A34:H34"/>
    <mergeCell ref="A35:H35"/>
    <mergeCell ref="A36:H36"/>
    <mergeCell ref="A37:H37"/>
    <mergeCell ref="A38:H38"/>
    <mergeCell ref="A39:H39"/>
    <mergeCell ref="A40:H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44"/>
    <col collapsed="false" customWidth="true" hidden="false" outlineLevel="0" max="5" min="4" style="0" width="13"/>
    <col collapsed="false" customWidth="true" hidden="false" outlineLevel="0" max="6" min="6" style="0" width="12"/>
    <col collapsed="false" customWidth="true" hidden="false" outlineLevel="0" max="7" min="7" style="0" width="11"/>
    <col collapsed="false" customWidth="true" hidden="false" outlineLevel="0" max="10" min="8" style="0" width="15"/>
    <col collapsed="false" customWidth="true" hidden="false" outlineLevel="0" max="11" min="11" style="0" width="78"/>
  </cols>
  <sheetData>
    <row r="1" customFormat="false" ht="25.5" hidden="false" customHeight="true" outlineLevel="0" collapsed="false">
      <c r="A1" s="1" t="s">
        <v>70</v>
      </c>
      <c r="B1" s="1"/>
      <c r="C1" s="1"/>
      <c r="D1" s="1"/>
      <c r="E1" s="1"/>
      <c r="F1" s="1"/>
      <c r="G1" s="1"/>
      <c r="H1" s="1"/>
      <c r="I1" s="1"/>
      <c r="J1" s="1"/>
      <c r="K1" s="1"/>
    </row>
    <row r="2" customFormat="false" ht="15" hidden="false" customHeight="false" outlineLevel="0" collapsed="false">
      <c r="A2" s="2" t="s">
        <v>71</v>
      </c>
      <c r="B2" s="2"/>
      <c r="C2" s="2"/>
      <c r="D2" s="2"/>
      <c r="E2" s="2"/>
      <c r="F2" s="2"/>
      <c r="G2" s="2"/>
      <c r="H2" s="2"/>
      <c r="I2" s="2"/>
      <c r="J2" s="2"/>
      <c r="K2" s="2"/>
    </row>
    <row r="4" customFormat="false" ht="31.5" hidden="false" customHeight="true" outlineLevel="0" collapsed="false">
      <c r="A4" s="5" t="s">
        <v>72</v>
      </c>
      <c r="B4" s="5" t="s">
        <v>73</v>
      </c>
      <c r="C4" s="5" t="s">
        <v>74</v>
      </c>
      <c r="D4" s="5" t="s">
        <v>75</v>
      </c>
      <c r="E4" s="5" t="s">
        <v>76</v>
      </c>
      <c r="F4" s="5" t="s">
        <v>77</v>
      </c>
      <c r="G4" s="5" t="s">
        <v>78</v>
      </c>
      <c r="H4" s="5" t="s">
        <v>79</v>
      </c>
      <c r="I4" s="5" t="s">
        <v>80</v>
      </c>
      <c r="J4" s="5" t="s">
        <v>81</v>
      </c>
      <c r="K4" s="5" t="s">
        <v>82</v>
      </c>
    </row>
    <row r="5" customFormat="false" ht="23.85" hidden="false" customHeight="false" outlineLevel="0" collapsed="false">
      <c r="A5" s="18" t="n">
        <v>1</v>
      </c>
      <c r="B5" s="11" t="s">
        <v>83</v>
      </c>
      <c r="C5" s="11" t="s">
        <v>84</v>
      </c>
      <c r="D5" s="18" t="s">
        <v>85</v>
      </c>
      <c r="E5" s="18" t="s">
        <v>85</v>
      </c>
      <c r="F5" s="18" t="s">
        <v>86</v>
      </c>
      <c r="G5" s="18" t="n">
        <v>1</v>
      </c>
      <c r="H5" s="23" t="n">
        <f aca="false">'Biaya Bulanan'!$V$26</f>
        <v>1</v>
      </c>
      <c r="I5" s="23" t="n">
        <f aca="false">'Biaya Bulanan'!$W$26</f>
        <v>1</v>
      </c>
      <c r="J5" s="23" t="n">
        <f aca="false">'Biaya Bulanan'!$X$26</f>
        <v>1</v>
      </c>
      <c r="K5" s="24" t="s">
        <v>87</v>
      </c>
    </row>
    <row r="6" customFormat="false" ht="15" hidden="false" customHeight="false" outlineLevel="0" collapsed="false">
      <c r="A6" s="18" t="n">
        <v>2</v>
      </c>
      <c r="B6" s="11" t="s">
        <v>83</v>
      </c>
      <c r="C6" s="11" t="s">
        <v>88</v>
      </c>
      <c r="D6" s="18" t="s">
        <v>85</v>
      </c>
      <c r="E6" s="18" t="s">
        <v>85</v>
      </c>
      <c r="F6" s="18" t="s">
        <v>89</v>
      </c>
      <c r="G6" s="18" t="n">
        <v>3</v>
      </c>
      <c r="H6" s="23" t="n">
        <f aca="false">'Biaya Bulanan'!$V$27</f>
        <v>1</v>
      </c>
      <c r="I6" s="23" t="n">
        <f aca="false">'Biaya Bulanan'!$W$27</f>
        <v>1</v>
      </c>
      <c r="J6" s="23" t="n">
        <f aca="false">'Biaya Bulanan'!$X$27</f>
        <v>1</v>
      </c>
      <c r="K6" s="24" t="s">
        <v>90</v>
      </c>
    </row>
    <row r="7" customFormat="false" ht="15" hidden="false" customHeight="false" outlineLevel="0" collapsed="false">
      <c r="A7" s="18" t="n">
        <v>3</v>
      </c>
      <c r="B7" s="11" t="s">
        <v>91</v>
      </c>
      <c r="C7" s="11" t="s">
        <v>92</v>
      </c>
      <c r="D7" s="18" t="s">
        <v>85</v>
      </c>
      <c r="E7" s="18" t="s">
        <v>85</v>
      </c>
      <c r="F7" s="18" t="s">
        <v>86</v>
      </c>
      <c r="G7" s="18" t="n">
        <v>1</v>
      </c>
      <c r="H7" s="23" t="n">
        <f aca="false">'Biaya Bulanan'!$V$28</f>
        <v>1</v>
      </c>
      <c r="I7" s="23" t="n">
        <f aca="false">'Biaya Bulanan'!$W$28</f>
        <v>1</v>
      </c>
      <c r="J7" s="23" t="n">
        <f aca="false">'Biaya Bulanan'!$X$28</f>
        <v>1</v>
      </c>
      <c r="K7" s="24" t="s">
        <v>93</v>
      </c>
    </row>
    <row r="8" customFormat="false" ht="15" hidden="false" customHeight="false" outlineLevel="0" collapsed="false">
      <c r="A8" s="18" t="n">
        <v>4</v>
      </c>
      <c r="B8" s="11" t="s">
        <v>91</v>
      </c>
      <c r="C8" s="11" t="s">
        <v>94</v>
      </c>
      <c r="D8" s="18" t="s">
        <v>95</v>
      </c>
      <c r="E8" s="18" t="s">
        <v>85</v>
      </c>
      <c r="F8" s="18" t="s">
        <v>96</v>
      </c>
      <c r="G8" s="18" t="n">
        <v>4</v>
      </c>
      <c r="H8" s="23" t="n">
        <f aca="false">'Biaya Bulanan'!$V$29</f>
        <v>0</v>
      </c>
      <c r="I8" s="23" t="n">
        <f aca="false">'Biaya Bulanan'!$W$29</f>
        <v>1</v>
      </c>
      <c r="J8" s="23" t="n">
        <f aca="false">'Biaya Bulanan'!$X$29</f>
        <v>1</v>
      </c>
      <c r="K8" s="24" t="s">
        <v>97</v>
      </c>
    </row>
    <row r="9" customFormat="false" ht="15" hidden="false" customHeight="false" outlineLevel="0" collapsed="false">
      <c r="A9" s="18" t="n">
        <v>5</v>
      </c>
      <c r="B9" s="11" t="s">
        <v>91</v>
      </c>
      <c r="C9" s="11" t="s">
        <v>98</v>
      </c>
      <c r="D9" s="18" t="s">
        <v>85</v>
      </c>
      <c r="E9" s="18" t="s">
        <v>85</v>
      </c>
      <c r="F9" s="18" t="s">
        <v>99</v>
      </c>
      <c r="G9" s="18" t="n">
        <v>1</v>
      </c>
      <c r="H9" s="23" t="n">
        <f aca="false">'Biaya Bulanan'!$V$30</f>
        <v>1</v>
      </c>
      <c r="I9" s="23" t="n">
        <f aca="false">'Biaya Bulanan'!$W$30</f>
        <v>1</v>
      </c>
      <c r="J9" s="23" t="n">
        <f aca="false">'Biaya Bulanan'!$X$30</f>
        <v>1</v>
      </c>
      <c r="K9" s="24" t="s">
        <v>100</v>
      </c>
    </row>
    <row r="10" customFormat="false" ht="15" hidden="false" customHeight="false" outlineLevel="0" collapsed="false">
      <c r="A10" s="18" t="n">
        <v>6</v>
      </c>
      <c r="B10" s="11" t="s">
        <v>91</v>
      </c>
      <c r="C10" s="11" t="s">
        <v>101</v>
      </c>
      <c r="D10" s="18" t="s">
        <v>95</v>
      </c>
      <c r="E10" s="18" t="s">
        <v>85</v>
      </c>
      <c r="F10" s="18" t="s">
        <v>102</v>
      </c>
      <c r="G10" s="18" t="n">
        <v>5</v>
      </c>
      <c r="H10" s="23" t="n">
        <f aca="false">'Biaya Bulanan'!$V$31</f>
        <v>0</v>
      </c>
      <c r="I10" s="23" t="n">
        <f aca="false">'Biaya Bulanan'!$W$31</f>
        <v>1</v>
      </c>
      <c r="J10" s="23" t="n">
        <f aca="false">'Biaya Bulanan'!$X$31</f>
        <v>1</v>
      </c>
      <c r="K10" s="24"/>
    </row>
    <row r="11" customFormat="false" ht="15" hidden="false" customHeight="false" outlineLevel="0" collapsed="false">
      <c r="A11" s="18" t="n">
        <v>7</v>
      </c>
      <c r="B11" s="11" t="s">
        <v>91</v>
      </c>
      <c r="C11" s="11" t="s">
        <v>103</v>
      </c>
      <c r="D11" s="18" t="s">
        <v>95</v>
      </c>
      <c r="E11" s="18" t="s">
        <v>85</v>
      </c>
      <c r="F11" s="18" t="s">
        <v>102</v>
      </c>
      <c r="G11" s="18" t="n">
        <v>14</v>
      </c>
      <c r="H11" s="23" t="n">
        <f aca="false">'Biaya Bulanan'!$V$32</f>
        <v>0</v>
      </c>
      <c r="I11" s="23" t="n">
        <f aca="false">'Biaya Bulanan'!$W$32</f>
        <v>0</v>
      </c>
      <c r="J11" s="23" t="n">
        <f aca="false">'Biaya Bulanan'!$X$32</f>
        <v>1</v>
      </c>
      <c r="K11" s="24" t="s">
        <v>104</v>
      </c>
    </row>
    <row r="12" customFormat="false" ht="15" hidden="false" customHeight="false" outlineLevel="0" collapsed="false">
      <c r="A12" s="18" t="n">
        <v>8</v>
      </c>
      <c r="B12" s="11" t="s">
        <v>91</v>
      </c>
      <c r="C12" s="11" t="s">
        <v>105</v>
      </c>
      <c r="D12" s="18" t="s">
        <v>85</v>
      </c>
      <c r="E12" s="18" t="s">
        <v>85</v>
      </c>
      <c r="F12" s="18" t="s">
        <v>99</v>
      </c>
      <c r="G12" s="18" t="n">
        <v>1</v>
      </c>
      <c r="H12" s="23" t="n">
        <f aca="false">'Biaya Bulanan'!$V$33</f>
        <v>1</v>
      </c>
      <c r="I12" s="23" t="n">
        <f aca="false">'Biaya Bulanan'!$W$33</f>
        <v>1</v>
      </c>
      <c r="J12" s="23" t="n">
        <f aca="false">'Biaya Bulanan'!$X$33</f>
        <v>1</v>
      </c>
      <c r="K12" s="24" t="s">
        <v>106</v>
      </c>
    </row>
    <row r="13" customFormat="false" ht="15" hidden="false" customHeight="false" outlineLevel="0" collapsed="false">
      <c r="A13" s="18" t="n">
        <v>9</v>
      </c>
      <c r="B13" s="11" t="s">
        <v>91</v>
      </c>
      <c r="C13" s="11" t="s">
        <v>107</v>
      </c>
      <c r="D13" s="18" t="s">
        <v>95</v>
      </c>
      <c r="E13" s="18" t="s">
        <v>85</v>
      </c>
      <c r="F13" s="18" t="s">
        <v>99</v>
      </c>
      <c r="G13" s="18" t="n">
        <v>19</v>
      </c>
      <c r="H13" s="23" t="n">
        <f aca="false">'Biaya Bulanan'!$V$34</f>
        <v>0</v>
      </c>
      <c r="I13" s="23" t="n">
        <f aca="false">'Biaya Bulanan'!$W$34</f>
        <v>0</v>
      </c>
      <c r="J13" s="23" t="n">
        <f aca="false">'Biaya Bulanan'!$X$34</f>
        <v>1</v>
      </c>
      <c r="K13" s="24"/>
    </row>
    <row r="14" customFormat="false" ht="15" hidden="false" customHeight="false" outlineLevel="0" collapsed="false">
      <c r="A14" s="18" t="n">
        <v>10</v>
      </c>
      <c r="B14" s="11" t="s">
        <v>91</v>
      </c>
      <c r="C14" s="11" t="s">
        <v>108</v>
      </c>
      <c r="D14" s="18" t="s">
        <v>95</v>
      </c>
      <c r="E14" s="18" t="s">
        <v>85</v>
      </c>
      <c r="F14" s="18" t="s">
        <v>102</v>
      </c>
      <c r="G14" s="18" t="n">
        <v>4</v>
      </c>
      <c r="H14" s="23" t="n">
        <f aca="false">'Biaya Bulanan'!$V$35</f>
        <v>0</v>
      </c>
      <c r="I14" s="23" t="n">
        <f aca="false">'Biaya Bulanan'!$W$35</f>
        <v>1</v>
      </c>
      <c r="J14" s="23" t="n">
        <f aca="false">'Biaya Bulanan'!$X$35</f>
        <v>1</v>
      </c>
      <c r="K14" s="24"/>
    </row>
    <row r="15" customFormat="false" ht="15" hidden="false" customHeight="false" outlineLevel="0" collapsed="false">
      <c r="A15" s="18" t="n">
        <v>11</v>
      </c>
      <c r="B15" s="11" t="s">
        <v>91</v>
      </c>
      <c r="C15" s="11" t="s">
        <v>109</v>
      </c>
      <c r="D15" s="18" t="s">
        <v>95</v>
      </c>
      <c r="E15" s="18" t="s">
        <v>85</v>
      </c>
      <c r="F15" s="18" t="s">
        <v>102</v>
      </c>
      <c r="G15" s="18" t="n">
        <v>13</v>
      </c>
      <c r="H15" s="23" t="n">
        <f aca="false">'Biaya Bulanan'!$V$36</f>
        <v>0</v>
      </c>
      <c r="I15" s="23" t="n">
        <f aca="false">'Biaya Bulanan'!$W$36</f>
        <v>0</v>
      </c>
      <c r="J15" s="23" t="n">
        <f aca="false">'Biaya Bulanan'!$X$36</f>
        <v>1</v>
      </c>
      <c r="K15" s="24"/>
    </row>
    <row r="16" customFormat="false" ht="15" hidden="false" customHeight="false" outlineLevel="0" collapsed="false">
      <c r="A16" s="18" t="n">
        <v>12</v>
      </c>
      <c r="B16" s="11" t="s">
        <v>91</v>
      </c>
      <c r="C16" s="11" t="s">
        <v>110</v>
      </c>
      <c r="D16" s="18" t="s">
        <v>85</v>
      </c>
      <c r="E16" s="18" t="s">
        <v>85</v>
      </c>
      <c r="F16" s="18" t="s">
        <v>102</v>
      </c>
      <c r="G16" s="18" t="n">
        <v>6</v>
      </c>
      <c r="H16" s="23" t="n">
        <f aca="false">'Biaya Bulanan'!$V$37</f>
        <v>0</v>
      </c>
      <c r="I16" s="23" t="n">
        <f aca="false">'Biaya Bulanan'!$W$37</f>
        <v>1</v>
      </c>
      <c r="J16" s="23" t="n">
        <f aca="false">'Biaya Bulanan'!$X$37</f>
        <v>1</v>
      </c>
      <c r="K16" s="24" t="s">
        <v>111</v>
      </c>
    </row>
    <row r="17" customFormat="false" ht="15" hidden="false" customHeight="false" outlineLevel="0" collapsed="false">
      <c r="A17" s="18" t="n">
        <v>13</v>
      </c>
      <c r="B17" s="11" t="s">
        <v>91</v>
      </c>
      <c r="C17" s="11" t="s">
        <v>112</v>
      </c>
      <c r="D17" s="18" t="s">
        <v>95</v>
      </c>
      <c r="E17" s="18" t="s">
        <v>85</v>
      </c>
      <c r="F17" s="18" t="s">
        <v>102</v>
      </c>
      <c r="G17" s="18" t="n">
        <v>15</v>
      </c>
      <c r="H17" s="23" t="n">
        <f aca="false">'Biaya Bulanan'!$V$38</f>
        <v>0</v>
      </c>
      <c r="I17" s="23" t="n">
        <f aca="false">'Biaya Bulanan'!$W$38</f>
        <v>0</v>
      </c>
      <c r="J17" s="23" t="n">
        <f aca="false">'Biaya Bulanan'!$X$38</f>
        <v>1</v>
      </c>
      <c r="K17" s="24"/>
    </row>
    <row r="18" customFormat="false" ht="15" hidden="false" customHeight="false" outlineLevel="0" collapsed="false">
      <c r="A18" s="18" t="n">
        <v>14</v>
      </c>
      <c r="B18" s="11" t="s">
        <v>91</v>
      </c>
      <c r="C18" s="11" t="s">
        <v>113</v>
      </c>
      <c r="D18" s="18" t="s">
        <v>85</v>
      </c>
      <c r="E18" s="18" t="s">
        <v>85</v>
      </c>
      <c r="F18" s="18" t="s">
        <v>114</v>
      </c>
      <c r="G18" s="18" t="n">
        <v>16</v>
      </c>
      <c r="H18" s="23" t="n">
        <f aca="false">'Biaya Bulanan'!$V$39</f>
        <v>0</v>
      </c>
      <c r="I18" s="23" t="n">
        <f aca="false">'Biaya Bulanan'!$W$39</f>
        <v>0</v>
      </c>
      <c r="J18" s="23" t="n">
        <f aca="false">'Biaya Bulanan'!$X$39</f>
        <v>1</v>
      </c>
      <c r="K18" s="24" t="s">
        <v>115</v>
      </c>
    </row>
    <row r="19" customFormat="false" ht="15" hidden="false" customHeight="false" outlineLevel="0" collapsed="false">
      <c r="A19" s="18" t="n">
        <v>15</v>
      </c>
      <c r="B19" s="11" t="s">
        <v>91</v>
      </c>
      <c r="C19" s="11" t="s">
        <v>116</v>
      </c>
      <c r="D19" s="18" t="s">
        <v>117</v>
      </c>
      <c r="E19" s="18" t="s">
        <v>117</v>
      </c>
      <c r="F19" s="18" t="s">
        <v>114</v>
      </c>
      <c r="G19" s="18" t="n">
        <v>18</v>
      </c>
      <c r="H19" s="23" t="n">
        <f aca="false">'Biaya Bulanan'!$V$40</f>
        <v>0</v>
      </c>
      <c r="I19" s="23" t="n">
        <f aca="false">'Biaya Bulanan'!$W$40</f>
        <v>0</v>
      </c>
      <c r="J19" s="23" t="n">
        <f aca="false">'Biaya Bulanan'!$X$40</f>
        <v>1</v>
      </c>
      <c r="K19" s="24" t="s">
        <v>118</v>
      </c>
    </row>
    <row r="20" customFormat="false" ht="15" hidden="false" customHeight="false" outlineLevel="0" collapsed="false">
      <c r="A20" s="18" t="n">
        <v>16</v>
      </c>
      <c r="B20" s="11" t="s">
        <v>91</v>
      </c>
      <c r="C20" s="11" t="s">
        <v>119</v>
      </c>
      <c r="D20" s="18" t="s">
        <v>85</v>
      </c>
      <c r="E20" s="18" t="s">
        <v>85</v>
      </c>
      <c r="F20" s="18" t="s">
        <v>102</v>
      </c>
      <c r="G20" s="18" t="n">
        <v>2</v>
      </c>
      <c r="H20" s="23" t="n">
        <f aca="false">'Biaya Bulanan'!$V$41</f>
        <v>1</v>
      </c>
      <c r="I20" s="23" t="n">
        <f aca="false">'Biaya Bulanan'!$W$41</f>
        <v>1</v>
      </c>
      <c r="J20" s="23" t="n">
        <f aca="false">'Biaya Bulanan'!$X$41</f>
        <v>1</v>
      </c>
      <c r="K20" s="24"/>
    </row>
    <row r="21" customFormat="false" ht="15" hidden="false" customHeight="false" outlineLevel="0" collapsed="false">
      <c r="A21" s="18" t="n">
        <v>17</v>
      </c>
      <c r="B21" s="11" t="s">
        <v>91</v>
      </c>
      <c r="C21" s="11" t="s">
        <v>120</v>
      </c>
      <c r="D21" s="18" t="s">
        <v>95</v>
      </c>
      <c r="E21" s="18" t="s">
        <v>85</v>
      </c>
      <c r="F21" s="18" t="s">
        <v>102</v>
      </c>
      <c r="G21" s="18" t="n">
        <v>17</v>
      </c>
      <c r="H21" s="23" t="n">
        <f aca="false">'Biaya Bulanan'!$V$42</f>
        <v>0</v>
      </c>
      <c r="I21" s="23" t="n">
        <f aca="false">'Biaya Bulanan'!$W$42</f>
        <v>0</v>
      </c>
      <c r="J21" s="23" t="n">
        <f aca="false">'Biaya Bulanan'!$X$42</f>
        <v>1</v>
      </c>
      <c r="K21" s="24"/>
    </row>
    <row r="22" customFormat="false" ht="15" hidden="false" customHeight="false" outlineLevel="0" collapsed="false">
      <c r="A22" s="18" t="n">
        <v>18</v>
      </c>
      <c r="B22" s="11" t="s">
        <v>91</v>
      </c>
      <c r="C22" s="11" t="s">
        <v>121</v>
      </c>
      <c r="D22" s="18" t="s">
        <v>85</v>
      </c>
      <c r="E22" s="18" t="s">
        <v>85</v>
      </c>
      <c r="F22" s="18" t="s">
        <v>102</v>
      </c>
      <c r="G22" s="18" t="n">
        <v>13</v>
      </c>
      <c r="H22" s="23" t="n">
        <f aca="false">'Biaya Bulanan'!$V$43</f>
        <v>0</v>
      </c>
      <c r="I22" s="23" t="n">
        <f aca="false">'Biaya Bulanan'!$W$43</f>
        <v>0</v>
      </c>
      <c r="J22" s="23" t="n">
        <f aca="false">'Biaya Bulanan'!$X$43</f>
        <v>1</v>
      </c>
      <c r="K22" s="24" t="s">
        <v>122</v>
      </c>
    </row>
    <row r="23" customFormat="false" ht="15" hidden="false" customHeight="false" outlineLevel="0" collapsed="false">
      <c r="A23" s="18" t="n">
        <v>19</v>
      </c>
      <c r="B23" s="11" t="s">
        <v>123</v>
      </c>
      <c r="C23" s="11" t="s">
        <v>124</v>
      </c>
      <c r="D23" s="18" t="s">
        <v>85</v>
      </c>
      <c r="E23" s="18" t="s">
        <v>85</v>
      </c>
      <c r="F23" s="18" t="s">
        <v>86</v>
      </c>
      <c r="G23" s="18" t="n">
        <v>1</v>
      </c>
      <c r="H23" s="23" t="n">
        <f aca="false">'Biaya Bulanan'!$V$44</f>
        <v>1</v>
      </c>
      <c r="I23" s="23" t="n">
        <f aca="false">'Biaya Bulanan'!$W$44</f>
        <v>1</v>
      </c>
      <c r="J23" s="23" t="n">
        <f aca="false">'Biaya Bulanan'!$X$44</f>
        <v>1</v>
      </c>
      <c r="K23" s="24" t="s">
        <v>125</v>
      </c>
    </row>
    <row r="24" customFormat="false" ht="15" hidden="false" customHeight="false" outlineLevel="0" collapsed="false">
      <c r="A24" s="18" t="n">
        <v>20</v>
      </c>
      <c r="B24" s="11" t="s">
        <v>123</v>
      </c>
      <c r="C24" s="11" t="s">
        <v>126</v>
      </c>
      <c r="D24" s="18" t="s">
        <v>85</v>
      </c>
      <c r="E24" s="18" t="s">
        <v>85</v>
      </c>
      <c r="F24" s="18" t="s">
        <v>96</v>
      </c>
      <c r="G24" s="18" t="n">
        <v>2</v>
      </c>
      <c r="H24" s="23" t="n">
        <f aca="false">'Biaya Bulanan'!$V$45</f>
        <v>1</v>
      </c>
      <c r="I24" s="23" t="n">
        <f aca="false">'Biaya Bulanan'!$W$45</f>
        <v>1</v>
      </c>
      <c r="J24" s="23" t="n">
        <f aca="false">'Biaya Bulanan'!$X$45</f>
        <v>1</v>
      </c>
      <c r="K24" s="24" t="s">
        <v>127</v>
      </c>
    </row>
    <row r="25" customFormat="false" ht="15" hidden="false" customHeight="false" outlineLevel="0" collapsed="false">
      <c r="A25" s="18" t="n">
        <v>21</v>
      </c>
      <c r="B25" s="11" t="s">
        <v>123</v>
      </c>
      <c r="C25" s="11" t="s">
        <v>128</v>
      </c>
      <c r="D25" s="18" t="s">
        <v>85</v>
      </c>
      <c r="E25" s="18" t="s">
        <v>85</v>
      </c>
      <c r="F25" s="18" t="s">
        <v>129</v>
      </c>
      <c r="G25" s="18" t="n">
        <v>4</v>
      </c>
      <c r="H25" s="23" t="n">
        <f aca="false">'Biaya Bulanan'!$V$46</f>
        <v>0</v>
      </c>
      <c r="I25" s="23" t="n">
        <f aca="false">'Biaya Bulanan'!$W$46</f>
        <v>1</v>
      </c>
      <c r="J25" s="23" t="n">
        <f aca="false">'Biaya Bulanan'!$X$46</f>
        <v>1</v>
      </c>
      <c r="K25" s="24"/>
    </row>
    <row r="26" customFormat="false" ht="23.85" hidden="false" customHeight="false" outlineLevel="0" collapsed="false">
      <c r="A26" s="18" t="n">
        <v>22</v>
      </c>
      <c r="B26" s="11" t="s">
        <v>123</v>
      </c>
      <c r="C26" s="11" t="s">
        <v>130</v>
      </c>
      <c r="D26" s="18" t="s">
        <v>85</v>
      </c>
      <c r="E26" s="18" t="s">
        <v>85</v>
      </c>
      <c r="F26" s="18" t="s">
        <v>131</v>
      </c>
      <c r="G26" s="18" t="n">
        <v>4</v>
      </c>
      <c r="H26" s="23" t="n">
        <f aca="false">'Biaya Bulanan'!$V$47</f>
        <v>0</v>
      </c>
      <c r="I26" s="23" t="n">
        <f aca="false">'Biaya Bulanan'!$W$47</f>
        <v>2</v>
      </c>
      <c r="J26" s="23" t="n">
        <f aca="false">'Biaya Bulanan'!$X$47</f>
        <v>2</v>
      </c>
      <c r="K26" s="24" t="s">
        <v>132</v>
      </c>
    </row>
    <row r="27" customFormat="false" ht="15" hidden="false" customHeight="false" outlineLevel="0" collapsed="false">
      <c r="A27" s="18" t="n">
        <v>23</v>
      </c>
      <c r="B27" s="11" t="s">
        <v>123</v>
      </c>
      <c r="C27" s="11" t="s">
        <v>133</v>
      </c>
      <c r="D27" s="18" t="s">
        <v>85</v>
      </c>
      <c r="E27" s="18" t="s">
        <v>85</v>
      </c>
      <c r="F27" s="18" t="s">
        <v>134</v>
      </c>
      <c r="G27" s="18" t="n">
        <v>4</v>
      </c>
      <c r="H27" s="23" t="n">
        <f aca="false">'Biaya Bulanan'!$V$48</f>
        <v>0</v>
      </c>
      <c r="I27" s="23" t="n">
        <f aca="false">'Biaya Bulanan'!$W$48</f>
        <v>1</v>
      </c>
      <c r="J27" s="23" t="n">
        <f aca="false">'Biaya Bulanan'!$X$48</f>
        <v>1</v>
      </c>
      <c r="K27" s="24" t="s">
        <v>135</v>
      </c>
    </row>
    <row r="28" customFormat="false" ht="15" hidden="false" customHeight="false" outlineLevel="0" collapsed="false">
      <c r="A28" s="18" t="n">
        <v>24</v>
      </c>
      <c r="B28" s="11" t="s">
        <v>123</v>
      </c>
      <c r="C28" s="11" t="s">
        <v>136</v>
      </c>
      <c r="D28" s="18" t="s">
        <v>85</v>
      </c>
      <c r="E28" s="18" t="s">
        <v>85</v>
      </c>
      <c r="F28" s="18" t="s">
        <v>131</v>
      </c>
      <c r="G28" s="18" t="n">
        <v>5</v>
      </c>
      <c r="H28" s="23" t="n">
        <f aca="false">'Biaya Bulanan'!$V$49</f>
        <v>0</v>
      </c>
      <c r="I28" s="23" t="n">
        <f aca="false">'Biaya Bulanan'!$W$49</f>
        <v>3</v>
      </c>
      <c r="J28" s="23" t="n">
        <f aca="false">'Biaya Bulanan'!$X$49</f>
        <v>3</v>
      </c>
      <c r="K28" s="24" t="s">
        <v>137</v>
      </c>
    </row>
    <row r="29" customFormat="false" ht="15" hidden="false" customHeight="false" outlineLevel="0" collapsed="false">
      <c r="A29" s="18" t="n">
        <v>25</v>
      </c>
      <c r="B29" s="11" t="s">
        <v>123</v>
      </c>
      <c r="C29" s="11" t="s">
        <v>138</v>
      </c>
      <c r="D29" s="18" t="s">
        <v>85</v>
      </c>
      <c r="E29" s="18" t="s">
        <v>85</v>
      </c>
      <c r="F29" s="18" t="s">
        <v>89</v>
      </c>
      <c r="G29" s="18" t="n">
        <v>6</v>
      </c>
      <c r="H29" s="23" t="n">
        <f aca="false">'Biaya Bulanan'!$V$50</f>
        <v>0</v>
      </c>
      <c r="I29" s="23" t="n">
        <f aca="false">'Biaya Bulanan'!$W$50</f>
        <v>1</v>
      </c>
      <c r="J29" s="23" t="n">
        <f aca="false">'Biaya Bulanan'!$X$50</f>
        <v>1</v>
      </c>
      <c r="K29" s="24" t="s">
        <v>139</v>
      </c>
    </row>
    <row r="30" customFormat="false" ht="15" hidden="false" customHeight="false" outlineLevel="0" collapsed="false">
      <c r="A30" s="18" t="n">
        <v>26</v>
      </c>
      <c r="B30" s="11" t="s">
        <v>123</v>
      </c>
      <c r="C30" s="11" t="s">
        <v>140</v>
      </c>
      <c r="D30" s="18" t="s">
        <v>117</v>
      </c>
      <c r="E30" s="18" t="s">
        <v>117</v>
      </c>
      <c r="F30" s="18" t="s">
        <v>96</v>
      </c>
      <c r="G30" s="18" t="n">
        <v>13</v>
      </c>
      <c r="H30" s="23" t="n">
        <f aca="false">'Biaya Bulanan'!$V$51</f>
        <v>0</v>
      </c>
      <c r="I30" s="23" t="n">
        <f aca="false">'Biaya Bulanan'!$W$51</f>
        <v>0</v>
      </c>
      <c r="J30" s="23" t="n">
        <f aca="false">'Biaya Bulanan'!$X$51</f>
        <v>1</v>
      </c>
      <c r="K30" s="24" t="s">
        <v>141</v>
      </c>
    </row>
    <row r="31" customFormat="false" ht="15" hidden="false" customHeight="false" outlineLevel="0" collapsed="false">
      <c r="A31" s="18" t="n">
        <v>27</v>
      </c>
      <c r="B31" s="11" t="s">
        <v>123</v>
      </c>
      <c r="C31" s="11" t="s">
        <v>142</v>
      </c>
      <c r="D31" s="18" t="s">
        <v>117</v>
      </c>
      <c r="E31" s="18" t="s">
        <v>117</v>
      </c>
      <c r="F31" s="18" t="s">
        <v>131</v>
      </c>
      <c r="G31" s="18" t="n">
        <v>13</v>
      </c>
      <c r="H31" s="23" t="n">
        <f aca="false">'Biaya Bulanan'!$V$52</f>
        <v>0</v>
      </c>
      <c r="I31" s="23" t="n">
        <f aca="false">'Biaya Bulanan'!$W$52</f>
        <v>0</v>
      </c>
      <c r="J31" s="23" t="n">
        <f aca="false">'Biaya Bulanan'!$X$52</f>
        <v>1</v>
      </c>
      <c r="K31" s="24"/>
    </row>
    <row r="32" customFormat="false" ht="15" hidden="false" customHeight="false" outlineLevel="0" collapsed="false">
      <c r="A32" s="18" t="n">
        <v>28</v>
      </c>
      <c r="B32" s="11" t="s">
        <v>123</v>
      </c>
      <c r="C32" s="11" t="s">
        <v>143</v>
      </c>
      <c r="D32" s="18" t="s">
        <v>117</v>
      </c>
      <c r="E32" s="18" t="s">
        <v>117</v>
      </c>
      <c r="F32" s="18" t="s">
        <v>129</v>
      </c>
      <c r="G32" s="18" t="n">
        <v>14</v>
      </c>
      <c r="H32" s="23" t="n">
        <f aca="false">'Biaya Bulanan'!$V$53</f>
        <v>0</v>
      </c>
      <c r="I32" s="23" t="n">
        <f aca="false">'Biaya Bulanan'!$W$53</f>
        <v>0</v>
      </c>
      <c r="J32" s="23" t="n">
        <f aca="false">'Biaya Bulanan'!$X$53</f>
        <v>1</v>
      </c>
      <c r="K32" s="24"/>
    </row>
    <row r="33" customFormat="false" ht="15" hidden="false" customHeight="false" outlineLevel="0" collapsed="false">
      <c r="A33" s="18" t="n">
        <v>29</v>
      </c>
      <c r="B33" s="11" t="s">
        <v>123</v>
      </c>
      <c r="C33" s="11" t="s">
        <v>144</v>
      </c>
      <c r="D33" s="18" t="s">
        <v>117</v>
      </c>
      <c r="E33" s="18" t="s">
        <v>117</v>
      </c>
      <c r="F33" s="18" t="s">
        <v>131</v>
      </c>
      <c r="G33" s="18" t="n">
        <v>14</v>
      </c>
      <c r="H33" s="23" t="n">
        <f aca="false">'Biaya Bulanan'!$V$54</f>
        <v>0</v>
      </c>
      <c r="I33" s="23" t="n">
        <f aca="false">'Biaya Bulanan'!$W$54</f>
        <v>0</v>
      </c>
      <c r="J33" s="23" t="n">
        <f aca="false">'Biaya Bulanan'!$X$54</f>
        <v>2</v>
      </c>
      <c r="K33" s="24" t="s">
        <v>145</v>
      </c>
    </row>
    <row r="34" customFormat="false" ht="15" hidden="false" customHeight="false" outlineLevel="0" collapsed="false">
      <c r="A34" s="18" t="n">
        <v>30</v>
      </c>
      <c r="B34" s="11" t="s">
        <v>123</v>
      </c>
      <c r="C34" s="11" t="s">
        <v>146</v>
      </c>
      <c r="D34" s="18" t="s">
        <v>117</v>
      </c>
      <c r="E34" s="18" t="s">
        <v>117</v>
      </c>
      <c r="F34" s="18" t="s">
        <v>131</v>
      </c>
      <c r="G34" s="18" t="n">
        <v>15</v>
      </c>
      <c r="H34" s="23" t="n">
        <f aca="false">'Biaya Bulanan'!$V$55</f>
        <v>0</v>
      </c>
      <c r="I34" s="23" t="n">
        <f aca="false">'Biaya Bulanan'!$W$55</f>
        <v>0</v>
      </c>
      <c r="J34" s="23" t="n">
        <f aca="false">'Biaya Bulanan'!$X$55</f>
        <v>1</v>
      </c>
      <c r="K34" s="24"/>
    </row>
    <row r="35" customFormat="false" ht="23.85" hidden="false" customHeight="false" outlineLevel="0" collapsed="false">
      <c r="A35" s="18" t="n">
        <v>31</v>
      </c>
      <c r="B35" s="11" t="s">
        <v>147</v>
      </c>
      <c r="C35" s="11" t="s">
        <v>148</v>
      </c>
      <c r="D35" s="18" t="s">
        <v>85</v>
      </c>
      <c r="E35" s="18" t="s">
        <v>85</v>
      </c>
      <c r="F35" s="18" t="s">
        <v>134</v>
      </c>
      <c r="G35" s="18" t="n">
        <v>4</v>
      </c>
      <c r="H35" s="23" t="n">
        <f aca="false">'Biaya Bulanan'!$V$56</f>
        <v>0</v>
      </c>
      <c r="I35" s="23" t="n">
        <f aca="false">'Biaya Bulanan'!$W$56</f>
        <v>1</v>
      </c>
      <c r="J35" s="23" t="n">
        <f aca="false">'Biaya Bulanan'!$X$56</f>
        <v>1</v>
      </c>
      <c r="K35" s="24" t="s">
        <v>149</v>
      </c>
    </row>
    <row r="36" customFormat="false" ht="15" hidden="false" customHeight="false" outlineLevel="0" collapsed="false">
      <c r="A36" s="18" t="n">
        <v>32</v>
      </c>
      <c r="B36" s="11" t="s">
        <v>147</v>
      </c>
      <c r="C36" s="11" t="s">
        <v>150</v>
      </c>
      <c r="D36" s="18" t="s">
        <v>85</v>
      </c>
      <c r="E36" s="18" t="s">
        <v>85</v>
      </c>
      <c r="F36" s="18" t="s">
        <v>131</v>
      </c>
      <c r="G36" s="18" t="n">
        <v>13</v>
      </c>
      <c r="H36" s="23" t="n">
        <f aca="false">'Biaya Bulanan'!$V$57</f>
        <v>0</v>
      </c>
      <c r="I36" s="23" t="n">
        <f aca="false">'Biaya Bulanan'!$W$57</f>
        <v>0</v>
      </c>
      <c r="J36" s="23" t="n">
        <f aca="false">'Biaya Bulanan'!$X$57</f>
        <v>1</v>
      </c>
      <c r="K36" s="24"/>
    </row>
    <row r="37" customFormat="false" ht="15" hidden="false" customHeight="false" outlineLevel="0" collapsed="false">
      <c r="A37" s="18" t="n">
        <v>33</v>
      </c>
      <c r="B37" s="11" t="s">
        <v>147</v>
      </c>
      <c r="C37" s="11" t="s">
        <v>151</v>
      </c>
      <c r="D37" s="18" t="s">
        <v>85</v>
      </c>
      <c r="E37" s="18" t="s">
        <v>85</v>
      </c>
      <c r="F37" s="18" t="s">
        <v>131</v>
      </c>
      <c r="G37" s="18" t="n">
        <v>13</v>
      </c>
      <c r="H37" s="23" t="n">
        <f aca="false">'Biaya Bulanan'!$V$58</f>
        <v>0</v>
      </c>
      <c r="I37" s="23" t="n">
        <f aca="false">'Biaya Bulanan'!$W$58</f>
        <v>0</v>
      </c>
      <c r="J37" s="23" t="n">
        <f aca="false">'Biaya Bulanan'!$X$58</f>
        <v>1</v>
      </c>
      <c r="K37" s="24" t="s">
        <v>152</v>
      </c>
    </row>
    <row r="38" customFormat="false" ht="15" hidden="false" customHeight="false" outlineLevel="0" collapsed="false">
      <c r="A38" s="18" t="n">
        <v>34</v>
      </c>
      <c r="B38" s="11" t="s">
        <v>153</v>
      </c>
      <c r="C38" s="11" t="s">
        <v>154</v>
      </c>
      <c r="D38" s="18" t="s">
        <v>85</v>
      </c>
      <c r="E38" s="18" t="s">
        <v>85</v>
      </c>
      <c r="F38" s="18" t="s">
        <v>86</v>
      </c>
      <c r="G38" s="18" t="n">
        <v>2</v>
      </c>
      <c r="H38" s="23" t="n">
        <f aca="false">'Biaya Bulanan'!$V$59</f>
        <v>1</v>
      </c>
      <c r="I38" s="23" t="n">
        <f aca="false">'Biaya Bulanan'!$W$59</f>
        <v>1</v>
      </c>
      <c r="J38" s="23" t="n">
        <f aca="false">'Biaya Bulanan'!$X$59</f>
        <v>1</v>
      </c>
      <c r="K38" s="24" t="s">
        <v>155</v>
      </c>
    </row>
    <row r="39" customFormat="false" ht="15" hidden="false" customHeight="false" outlineLevel="0" collapsed="false">
      <c r="A39" s="18" t="n">
        <v>35</v>
      </c>
      <c r="B39" s="11" t="s">
        <v>153</v>
      </c>
      <c r="C39" s="11" t="s">
        <v>156</v>
      </c>
      <c r="D39" s="18" t="s">
        <v>85</v>
      </c>
      <c r="E39" s="18" t="s">
        <v>85</v>
      </c>
      <c r="F39" s="18" t="s">
        <v>131</v>
      </c>
      <c r="G39" s="18" t="n">
        <v>4</v>
      </c>
      <c r="H39" s="23" t="n">
        <f aca="false">'Biaya Bulanan'!$V$60</f>
        <v>0</v>
      </c>
      <c r="I39" s="23" t="n">
        <f aca="false">'Biaya Bulanan'!$W$60</f>
        <v>1</v>
      </c>
      <c r="J39" s="23" t="n">
        <f aca="false">'Biaya Bulanan'!$X$60</f>
        <v>1</v>
      </c>
      <c r="K39" s="24" t="s">
        <v>157</v>
      </c>
    </row>
    <row r="40" customFormat="false" ht="23.85" hidden="false" customHeight="false" outlineLevel="0" collapsed="false">
      <c r="A40" s="18" t="n">
        <v>36</v>
      </c>
      <c r="B40" s="11" t="s">
        <v>153</v>
      </c>
      <c r="C40" s="11" t="s">
        <v>158</v>
      </c>
      <c r="D40" s="18" t="s">
        <v>85</v>
      </c>
      <c r="E40" s="18" t="s">
        <v>85</v>
      </c>
      <c r="F40" s="18" t="s">
        <v>89</v>
      </c>
      <c r="G40" s="18" t="n">
        <v>13</v>
      </c>
      <c r="H40" s="23" t="n">
        <f aca="false">'Biaya Bulanan'!$V$61</f>
        <v>0</v>
      </c>
      <c r="I40" s="23" t="n">
        <f aca="false">'Biaya Bulanan'!$W$61</f>
        <v>0</v>
      </c>
      <c r="J40" s="23" t="n">
        <f aca="false">'Biaya Bulanan'!$X$61</f>
        <v>1</v>
      </c>
      <c r="K40" s="24" t="s">
        <v>159</v>
      </c>
    </row>
    <row r="41" customFormat="false" ht="15" hidden="false" customHeight="false" outlineLevel="0" collapsed="false">
      <c r="A41" s="18" t="n">
        <v>37</v>
      </c>
      <c r="B41" s="11" t="s">
        <v>153</v>
      </c>
      <c r="C41" s="11" t="s">
        <v>160</v>
      </c>
      <c r="D41" s="18" t="s">
        <v>117</v>
      </c>
      <c r="E41" s="18" t="s">
        <v>117</v>
      </c>
      <c r="F41" s="18" t="s">
        <v>131</v>
      </c>
      <c r="G41" s="18" t="n">
        <v>16</v>
      </c>
      <c r="H41" s="23" t="n">
        <f aca="false">'Biaya Bulanan'!$V$62</f>
        <v>0</v>
      </c>
      <c r="I41" s="23" t="n">
        <f aca="false">'Biaya Bulanan'!$W$62</f>
        <v>0</v>
      </c>
      <c r="J41" s="23" t="n">
        <f aca="false">'Biaya Bulanan'!$X$62</f>
        <v>1</v>
      </c>
      <c r="K41" s="24"/>
    </row>
    <row r="42" customFormat="false" ht="23.85" hidden="false" customHeight="false" outlineLevel="0" collapsed="false">
      <c r="A42" s="18" t="n">
        <v>38</v>
      </c>
      <c r="B42" s="11" t="s">
        <v>161</v>
      </c>
      <c r="C42" s="11" t="s">
        <v>162</v>
      </c>
      <c r="D42" s="18" t="s">
        <v>85</v>
      </c>
      <c r="E42" s="18" t="s">
        <v>85</v>
      </c>
      <c r="F42" s="18" t="s">
        <v>134</v>
      </c>
      <c r="G42" s="18" t="n">
        <v>4</v>
      </c>
      <c r="H42" s="23" t="n">
        <f aca="false">'Biaya Bulanan'!$V$63</f>
        <v>0</v>
      </c>
      <c r="I42" s="23" t="n">
        <f aca="false">'Biaya Bulanan'!$W$63</f>
        <v>1</v>
      </c>
      <c r="J42" s="23" t="n">
        <f aca="false">'Biaya Bulanan'!$X$63</f>
        <v>1</v>
      </c>
      <c r="K42" s="24" t="s">
        <v>163</v>
      </c>
    </row>
    <row r="43" customFormat="false" ht="15" hidden="false" customHeight="false" outlineLevel="0" collapsed="false">
      <c r="A43" s="25"/>
      <c r="B43" s="25"/>
      <c r="C43" s="25" t="s">
        <v>164</v>
      </c>
      <c r="D43" s="25"/>
      <c r="E43" s="25"/>
      <c r="F43" s="25"/>
      <c r="G43" s="25"/>
      <c r="H43" s="26" t="n">
        <f aca="false">SUM(H5:H42)</f>
        <v>9</v>
      </c>
      <c r="I43" s="26" t="n">
        <f aca="false">SUM(I5:I42)</f>
        <v>24</v>
      </c>
      <c r="J43" s="26" t="n">
        <f aca="false">SUM(J5:J42)</f>
        <v>42</v>
      </c>
      <c r="K43" s="25"/>
    </row>
    <row r="44" customFormat="false" ht="15" hidden="false" customHeight="false" outlineLevel="0" collapsed="false">
      <c r="C44" s="27" t="s">
        <v>165</v>
      </c>
      <c r="H44" s="28" t="n">
        <v>9</v>
      </c>
      <c r="I44" s="28" t="n">
        <v>24</v>
      </c>
      <c r="J44" s="28" t="n">
        <v>42</v>
      </c>
    </row>
    <row r="45" customFormat="false" ht="15" hidden="false" customHeight="false" outlineLevel="0" collapsed="false">
      <c r="C45" s="27" t="s">
        <v>166</v>
      </c>
      <c r="H45" s="29" t="n">
        <f aca="false">H43-H44</f>
        <v>0</v>
      </c>
      <c r="I45" s="29" t="n">
        <f aca="false">I43-I44</f>
        <v>0</v>
      </c>
      <c r="J45" s="29" t="n">
        <f aca="false">J43-J44</f>
        <v>0</v>
      </c>
    </row>
    <row r="47" customFormat="false" ht="15" hidden="false" customHeight="false" outlineLevel="0" collapsed="false">
      <c r="A47" s="4" t="s">
        <v>167</v>
      </c>
      <c r="B47" s="4"/>
      <c r="C47" s="4"/>
      <c r="D47" s="4"/>
      <c r="E47" s="4"/>
      <c r="F47" s="4"/>
    </row>
    <row r="48" customFormat="false" ht="31.5" hidden="false" customHeight="true" outlineLevel="0" collapsed="false">
      <c r="A48" s="5" t="s">
        <v>73</v>
      </c>
      <c r="B48" s="5"/>
      <c r="C48" s="5"/>
      <c r="D48" s="5"/>
      <c r="E48" s="5"/>
      <c r="F48" s="5"/>
      <c r="G48" s="5"/>
      <c r="H48" s="5" t="s">
        <v>168</v>
      </c>
      <c r="I48" s="5" t="s">
        <v>169</v>
      </c>
      <c r="J48" s="5" t="s">
        <v>170</v>
      </c>
    </row>
    <row r="49" customFormat="false" ht="15" hidden="false" customHeight="false" outlineLevel="0" collapsed="false">
      <c r="A49" s="11" t="s">
        <v>83</v>
      </c>
      <c r="H49" s="18" t="n">
        <f aca="false">SUMIF($B$5:$B$42,$A49,$H$5:$H$42)</f>
        <v>2</v>
      </c>
      <c r="I49" s="18" t="n">
        <f aca="false">SUMIF($B$5:$B$42,$A49,$I$5:$I$42)</f>
        <v>2</v>
      </c>
      <c r="J49" s="18" t="n">
        <f aca="false">SUMIF($B$5:$B$42,$A49,$J$5:$J$42)</f>
        <v>2</v>
      </c>
    </row>
    <row r="50" customFormat="false" ht="15" hidden="false" customHeight="false" outlineLevel="0" collapsed="false">
      <c r="A50" s="11" t="s">
        <v>91</v>
      </c>
      <c r="H50" s="18" t="n">
        <f aca="false">SUMIF($B$5:$B$42,$A50,$H$5:$H$42)</f>
        <v>4</v>
      </c>
      <c r="I50" s="18" t="n">
        <f aca="false">SUMIF($B$5:$B$42,$A50,$I$5:$I$42)</f>
        <v>8</v>
      </c>
      <c r="J50" s="18" t="n">
        <f aca="false">SUMIF($B$5:$B$42,$A50,$J$5:$J$42)</f>
        <v>16</v>
      </c>
    </row>
    <row r="51" customFormat="false" ht="15" hidden="false" customHeight="false" outlineLevel="0" collapsed="false">
      <c r="A51" s="11" t="s">
        <v>123</v>
      </c>
      <c r="H51" s="18" t="n">
        <f aca="false">SUMIF($B$5:$B$42,$A51,$H$5:$H$42)</f>
        <v>2</v>
      </c>
      <c r="I51" s="18" t="n">
        <f aca="false">SUMIF($B$5:$B$42,$A51,$I$5:$I$42)</f>
        <v>10</v>
      </c>
      <c r="J51" s="18" t="n">
        <f aca="false">SUMIF($B$5:$B$42,$A51,$J$5:$J$42)</f>
        <v>16</v>
      </c>
    </row>
    <row r="52" customFormat="false" ht="15" hidden="false" customHeight="false" outlineLevel="0" collapsed="false">
      <c r="A52" s="11" t="s">
        <v>147</v>
      </c>
      <c r="H52" s="18" t="n">
        <f aca="false">SUMIF($B$5:$B$42,$A52,$H$5:$H$42)</f>
        <v>0</v>
      </c>
      <c r="I52" s="18" t="n">
        <f aca="false">SUMIF($B$5:$B$42,$A52,$I$5:$I$42)</f>
        <v>1</v>
      </c>
      <c r="J52" s="18" t="n">
        <f aca="false">SUMIF($B$5:$B$42,$A52,$J$5:$J$42)</f>
        <v>3</v>
      </c>
    </row>
    <row r="53" customFormat="false" ht="15" hidden="false" customHeight="false" outlineLevel="0" collapsed="false">
      <c r="A53" s="11" t="s">
        <v>153</v>
      </c>
      <c r="H53" s="18" t="n">
        <f aca="false">SUMIF($B$5:$B$42,$A53,$H$5:$H$42)</f>
        <v>1</v>
      </c>
      <c r="I53" s="18" t="n">
        <f aca="false">SUMIF($B$5:$B$42,$A53,$I$5:$I$42)</f>
        <v>2</v>
      </c>
      <c r="J53" s="18" t="n">
        <f aca="false">SUMIF($B$5:$B$42,$A53,$J$5:$J$42)</f>
        <v>4</v>
      </c>
    </row>
    <row r="54" customFormat="false" ht="15" hidden="false" customHeight="false" outlineLevel="0" collapsed="false">
      <c r="A54" s="11" t="s">
        <v>161</v>
      </c>
      <c r="H54" s="18" t="n">
        <f aca="false">SUMIF($B$5:$B$42,$A54,$H$5:$H$42)</f>
        <v>0</v>
      </c>
      <c r="I54" s="18" t="n">
        <f aca="false">SUMIF($B$5:$B$42,$A54,$I$5:$I$42)</f>
        <v>1</v>
      </c>
      <c r="J54" s="18" t="n">
        <f aca="false">SUMIF($B$5:$B$42,$A54,$J$5:$J$42)</f>
        <v>1</v>
      </c>
    </row>
    <row r="55" customFormat="false" ht="15" hidden="false" customHeight="false" outlineLevel="0" collapsed="false">
      <c r="A55" s="25" t="s">
        <v>171</v>
      </c>
      <c r="H55" s="26" t="n">
        <f aca="false">SUM(H49:H54)</f>
        <v>9</v>
      </c>
      <c r="I55" s="26" t="n">
        <f aca="false">SUM(I49:I54)</f>
        <v>24</v>
      </c>
      <c r="J55" s="26" t="n">
        <f aca="false">SUM(J49:J54)</f>
        <v>42</v>
      </c>
    </row>
    <row r="57" customFormat="false" ht="15" hidden="false" customHeight="false" outlineLevel="0" collapsed="false">
      <c r="A57" s="4" t="s">
        <v>172</v>
      </c>
      <c r="B57" s="4"/>
      <c r="C57" s="4"/>
      <c r="D57" s="4"/>
      <c r="E57" s="4"/>
      <c r="F57" s="4"/>
    </row>
    <row r="58" customFormat="false" ht="31.5" hidden="false" customHeight="true" outlineLevel="0" collapsed="false">
      <c r="A58" s="5" t="s">
        <v>173</v>
      </c>
      <c r="B58" s="5"/>
      <c r="C58" s="5"/>
      <c r="D58" s="5"/>
      <c r="E58" s="5"/>
      <c r="F58" s="5"/>
      <c r="G58" s="5"/>
      <c r="H58" s="5" t="s">
        <v>168</v>
      </c>
      <c r="I58" s="5" t="s">
        <v>169</v>
      </c>
      <c r="J58" s="5" t="s">
        <v>170</v>
      </c>
    </row>
    <row r="59" customFormat="false" ht="15" hidden="false" customHeight="false" outlineLevel="0" collapsed="false">
      <c r="A59" s="11" t="s">
        <v>174</v>
      </c>
      <c r="H59" s="30" t="n">
        <f aca="false">(SUMIF($B$5:$B$42,"Teknologi",$H$5:$H$42))/H$43</f>
        <v>0.444444444444444</v>
      </c>
      <c r="I59" s="30" t="n">
        <f aca="false">(SUMIF($B$5:$B$42,"Teknologi",$I$5:$I$42))/I$43</f>
        <v>0.333333333333333</v>
      </c>
      <c r="J59" s="30" t="n">
        <f aca="false">(SUMIF($B$5:$B$42,"Teknologi",$J$5:$J$42))/J$43</f>
        <v>0.380952380952381</v>
      </c>
    </row>
    <row r="60" customFormat="false" ht="15" hidden="false" customHeight="false" outlineLevel="0" collapsed="false">
      <c r="A60" s="11" t="s">
        <v>175</v>
      </c>
      <c r="H60" s="30" t="n">
        <f aca="false">(SUMIF($B$5:$B$42,"Operasi",$H$5:$H$42)+SUMIF($B$5:$B$42,"Growth &amp; Partnership",$H$5:$H$42))/H$43</f>
        <v>0.222222222222222</v>
      </c>
      <c r="I60" s="30" t="n">
        <f aca="false">(SUMIF($B$5:$B$42,"Operasi",$I$5:$I$42)+SUMIF($B$5:$B$42,"Growth &amp; Partnership",$I$5:$I$42))/I$43</f>
        <v>0.458333333333333</v>
      </c>
      <c r="J60" s="30" t="n">
        <f aca="false">(SUMIF($B$5:$B$42,"Operasi",$J$5:$J$42)+SUMIF($B$5:$B$42,"Growth &amp; Partnership",$J$5:$J$42))/J$43</f>
        <v>0.452380952380952</v>
      </c>
    </row>
    <row r="61" customFormat="false" ht="15" hidden="false" customHeight="false" outlineLevel="0" collapsed="false">
      <c r="A61" s="11" t="s">
        <v>176</v>
      </c>
      <c r="H61" s="30" t="n">
        <f aca="false">(SUMIF($B$5:$B$42,"Direksi &amp; Tata Kelola",$H$5:$H$42)+SUMIF($B$5:$B$42,"Keuangan",$H$5:$H$42)+SUMIF($B$5:$B$42,"Legal &amp; Kepatuhan",$H$5:$H$42))/H$43</f>
        <v>0.333333333333333</v>
      </c>
      <c r="I61" s="30" t="n">
        <f aca="false">(SUMIF($B$5:$B$42,"Direksi &amp; Tata Kelola",$I$5:$I$42)+SUMIF($B$5:$B$42,"Keuangan",$I$5:$I$42)+SUMIF($B$5:$B$42,"Legal &amp; Kepatuhan",$I$5:$I$42))/I$43</f>
        <v>0.208333333333333</v>
      </c>
      <c r="J61" s="30" t="n">
        <f aca="false">(SUMIF($B$5:$B$42,"Direksi &amp; Tata Kelola",$J$5:$J$42)+SUMIF($B$5:$B$42,"Keuangan",$J$5:$J$42)+SUMIF($B$5:$B$42,"Legal &amp; Kepatuhan",$J$5:$J$42))/J$43</f>
        <v>0.166666666666667</v>
      </c>
    </row>
    <row r="63" customFormat="false" ht="15" hidden="false" customHeight="false" outlineLevel="0" collapsed="false">
      <c r="A63" s="22" t="s">
        <v>177</v>
      </c>
    </row>
    <row r="64" customFormat="false" ht="15" hidden="false" customHeight="false" outlineLevel="0" collapsed="false">
      <c r="A64" s="22" t="s">
        <v>178</v>
      </c>
    </row>
    <row r="65" customFormat="false" ht="15" hidden="false" customHeight="false" outlineLevel="0" collapsed="false">
      <c r="A65" s="22" t="s">
        <v>179</v>
      </c>
    </row>
  </sheetData>
  <mergeCells count="4">
    <mergeCell ref="A1:K1"/>
    <mergeCell ref="A2:K2"/>
    <mergeCell ref="A47:F47"/>
    <mergeCell ref="A57:F5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24"/>
    <col collapsed="false" customWidth="true" hidden="false" outlineLevel="0" max="8" min="3" style="0" width="14"/>
    <col collapsed="false" customWidth="true" hidden="false" outlineLevel="0" max="10" min="9" style="0" width="13"/>
    <col collapsed="false" customWidth="true" hidden="false" outlineLevel="0" max="11" min="11" style="0" width="15"/>
    <col collapsed="false" customWidth="true" hidden="false" outlineLevel="0" max="12" min="12" style="0" width="72"/>
  </cols>
  <sheetData>
    <row r="1" customFormat="false" ht="25.5" hidden="false" customHeight="true" outlineLevel="0" collapsed="false">
      <c r="A1" s="1" t="s">
        <v>180</v>
      </c>
      <c r="B1" s="1"/>
      <c r="C1" s="1"/>
      <c r="D1" s="1"/>
      <c r="E1" s="1"/>
      <c r="F1" s="1"/>
      <c r="G1" s="1"/>
      <c r="H1" s="1"/>
      <c r="I1" s="1"/>
      <c r="J1" s="1"/>
      <c r="K1" s="1"/>
      <c r="L1" s="1"/>
    </row>
    <row r="2" customFormat="false" ht="15" hidden="false" customHeight="false" outlineLevel="0" collapsed="false">
      <c r="A2" s="2" t="s">
        <v>181</v>
      </c>
      <c r="B2" s="2"/>
      <c r="C2" s="2"/>
      <c r="D2" s="2"/>
      <c r="E2" s="2"/>
      <c r="F2" s="2"/>
      <c r="G2" s="2"/>
      <c r="H2" s="2"/>
      <c r="I2" s="2"/>
      <c r="J2" s="2"/>
      <c r="K2" s="2"/>
      <c r="L2" s="2"/>
    </row>
    <row r="4" customFormat="false" ht="15" hidden="false" customHeight="false" outlineLevel="0" collapsed="false">
      <c r="C4" s="31" t="s">
        <v>182</v>
      </c>
      <c r="D4" s="31"/>
      <c r="E4" s="31"/>
      <c r="F4" s="31" t="s">
        <v>183</v>
      </c>
      <c r="G4" s="31"/>
      <c r="H4" s="31"/>
    </row>
    <row r="5" customFormat="false" ht="31.5" hidden="false" customHeight="true" outlineLevel="0" collapsed="false">
      <c r="A5" s="5" t="s">
        <v>184</v>
      </c>
      <c r="B5" s="5" t="s">
        <v>185</v>
      </c>
      <c r="C5" s="5" t="s">
        <v>186</v>
      </c>
      <c r="D5" s="5" t="s">
        <v>187</v>
      </c>
      <c r="E5" s="5" t="s">
        <v>188</v>
      </c>
      <c r="F5" s="5" t="s">
        <v>186</v>
      </c>
      <c r="G5" s="5" t="s">
        <v>187</v>
      </c>
      <c r="H5" s="5" t="s">
        <v>188</v>
      </c>
      <c r="I5" s="5" t="s">
        <v>189</v>
      </c>
      <c r="J5" s="5" t="s">
        <v>190</v>
      </c>
      <c r="K5" s="5" t="s">
        <v>191</v>
      </c>
      <c r="L5" s="5" t="s">
        <v>192</v>
      </c>
    </row>
    <row r="6" customFormat="false" ht="23.85" hidden="false" customHeight="false" outlineLevel="0" collapsed="false">
      <c r="A6" s="11" t="s">
        <v>193</v>
      </c>
      <c r="B6" s="32" t="s">
        <v>194</v>
      </c>
      <c r="C6" s="33" t="n">
        <v>35000000</v>
      </c>
      <c r="D6" s="19" t="n">
        <f aca="false">(C6+E6)/2</f>
        <v>47500000</v>
      </c>
      <c r="E6" s="33" t="n">
        <v>60000000</v>
      </c>
      <c r="F6" s="33" t="n">
        <v>35000000</v>
      </c>
      <c r="G6" s="19" t="n">
        <f aca="false">(F6+H6)/2</f>
        <v>47500000</v>
      </c>
      <c r="H6" s="33" t="n">
        <v>60000000</v>
      </c>
      <c r="I6" s="34" t="n">
        <f aca="false">D6/UMK_Pekanbaru</f>
        <v>11.880407189126</v>
      </c>
      <c r="J6" s="34" t="n">
        <f aca="false">G6/UMP_Padang</f>
        <v>14.9232395682628</v>
      </c>
      <c r="K6" s="18" t="str">
        <f aca="false">IF(AND(C6&gt;=UMK_Pekanbaru,F6&gt;=UMP_Padang),"OK","PERIKSA")</f>
        <v>OK</v>
      </c>
      <c r="L6" s="24" t="s">
        <v>195</v>
      </c>
    </row>
    <row r="7" customFormat="false" ht="15" hidden="false" customHeight="false" outlineLevel="0" collapsed="false">
      <c r="A7" s="11" t="s">
        <v>196</v>
      </c>
      <c r="B7" s="32" t="s">
        <v>194</v>
      </c>
      <c r="C7" s="33" t="n">
        <v>30000000</v>
      </c>
      <c r="D7" s="19" t="n">
        <f aca="false">(C7+E7)/2</f>
        <v>42500000</v>
      </c>
      <c r="E7" s="33" t="n">
        <v>55000000</v>
      </c>
      <c r="F7" s="33" t="n">
        <v>30000000</v>
      </c>
      <c r="G7" s="19" t="n">
        <f aca="false">(F7+H7)/2</f>
        <v>42500000</v>
      </c>
      <c r="H7" s="33" t="n">
        <v>55000000</v>
      </c>
      <c r="I7" s="34" t="n">
        <f aca="false">D7/UMK_Pekanbaru</f>
        <v>10.6298380113233</v>
      </c>
      <c r="J7" s="34" t="n">
        <f aca="false">G7/UMP_Padang</f>
        <v>13.3523722452878</v>
      </c>
      <c r="K7" s="18" t="str">
        <f aca="false">IF(AND(C7&gt;=UMK_Pekanbaru,F7&gt;=UMP_Padang),"OK","PERIKSA")</f>
        <v>OK</v>
      </c>
      <c r="L7" s="24" t="s">
        <v>197</v>
      </c>
    </row>
    <row r="8" customFormat="false" ht="15" hidden="false" customHeight="false" outlineLevel="0" collapsed="false">
      <c r="A8" s="11" t="s">
        <v>94</v>
      </c>
      <c r="B8" s="32" t="s">
        <v>194</v>
      </c>
      <c r="C8" s="33" t="n">
        <v>20000000</v>
      </c>
      <c r="D8" s="19" t="n">
        <f aca="false">(C8+E8)/2</f>
        <v>27500000</v>
      </c>
      <c r="E8" s="33" t="n">
        <v>35000000</v>
      </c>
      <c r="F8" s="33" t="n">
        <v>20000000</v>
      </c>
      <c r="G8" s="19" t="n">
        <f aca="false">(F8+H8)/2</f>
        <v>27500000</v>
      </c>
      <c r="H8" s="33" t="n">
        <v>35000000</v>
      </c>
      <c r="I8" s="34" t="n">
        <f aca="false">D8/UMK_Pekanbaru</f>
        <v>6.87813047791507</v>
      </c>
      <c r="J8" s="34" t="n">
        <f aca="false">G8/UMP_Padang</f>
        <v>8.63977027636269</v>
      </c>
      <c r="K8" s="18" t="str">
        <f aca="false">IF(AND(C8&gt;=UMK_Pekanbaru,F8&gt;=UMP_Padang),"OK","PERIKSA")</f>
        <v>OK</v>
      </c>
      <c r="L8" s="24" t="s">
        <v>198</v>
      </c>
    </row>
    <row r="9" customFormat="false" ht="15" hidden="false" customHeight="false" outlineLevel="0" collapsed="false">
      <c r="A9" s="11" t="s">
        <v>199</v>
      </c>
      <c r="B9" s="32" t="s">
        <v>194</v>
      </c>
      <c r="C9" s="33" t="n">
        <v>15000000</v>
      </c>
      <c r="D9" s="19" t="n">
        <f aca="false">(C9+E9)/2</f>
        <v>20000000</v>
      </c>
      <c r="E9" s="33" t="n">
        <v>25000000</v>
      </c>
      <c r="F9" s="33" t="n">
        <v>15000000</v>
      </c>
      <c r="G9" s="19" t="n">
        <f aca="false">(F9+H9)/2</f>
        <v>20000000</v>
      </c>
      <c r="H9" s="33" t="n">
        <v>25000000</v>
      </c>
      <c r="I9" s="34" t="n">
        <f aca="false">D9/UMK_Pekanbaru</f>
        <v>5.00227671121096</v>
      </c>
      <c r="J9" s="34" t="n">
        <f aca="false">G9/UMP_Padang</f>
        <v>6.28346929190014</v>
      </c>
      <c r="K9" s="18" t="str">
        <f aca="false">IF(AND(C9&gt;=UMK_Pekanbaru,F9&gt;=UMP_Padang),"OK","PERIKSA")</f>
        <v>OK</v>
      </c>
      <c r="L9" s="24" t="s">
        <v>200</v>
      </c>
    </row>
    <row r="10" customFormat="false" ht="15" hidden="false" customHeight="false" outlineLevel="0" collapsed="false">
      <c r="A10" s="11" t="s">
        <v>201</v>
      </c>
      <c r="B10" s="32" t="s">
        <v>194</v>
      </c>
      <c r="C10" s="33" t="n">
        <v>9000000</v>
      </c>
      <c r="D10" s="19" t="n">
        <f aca="false">(C10+E10)/2</f>
        <v>12000000</v>
      </c>
      <c r="E10" s="33" t="n">
        <v>15000000</v>
      </c>
      <c r="F10" s="33" t="n">
        <v>9000000</v>
      </c>
      <c r="G10" s="19" t="n">
        <f aca="false">(F10+H10)/2</f>
        <v>12000000</v>
      </c>
      <c r="H10" s="33" t="n">
        <v>15000000</v>
      </c>
      <c r="I10" s="34" t="n">
        <f aca="false">D10/UMK_Pekanbaru</f>
        <v>3.00136602672657</v>
      </c>
      <c r="J10" s="34" t="n">
        <f aca="false">G10/UMP_Padang</f>
        <v>3.77008157514008</v>
      </c>
      <c r="K10" s="18" t="str">
        <f aca="false">IF(AND(C10&gt;=UMK_Pekanbaru,F10&gt;=UMP_Padang),"OK","PERIKSA")</f>
        <v>OK</v>
      </c>
      <c r="L10" s="24" t="s">
        <v>202</v>
      </c>
    </row>
    <row r="11" customFormat="false" ht="15" hidden="false" customHeight="false" outlineLevel="0" collapsed="false">
      <c r="A11" s="11" t="s">
        <v>113</v>
      </c>
      <c r="B11" s="32" t="s">
        <v>194</v>
      </c>
      <c r="C11" s="33" t="n">
        <v>6000000</v>
      </c>
      <c r="D11" s="19" t="n">
        <f aca="false">(C11+E11)/2</f>
        <v>7500000</v>
      </c>
      <c r="E11" s="33" t="n">
        <v>9000000</v>
      </c>
      <c r="F11" s="33" t="n">
        <v>5500000</v>
      </c>
      <c r="G11" s="19" t="n">
        <f aca="false">(F11+H11)/2</f>
        <v>7000000</v>
      </c>
      <c r="H11" s="33" t="n">
        <v>8500000</v>
      </c>
      <c r="I11" s="34" t="n">
        <f aca="false">D11/UMK_Pekanbaru</f>
        <v>1.87585376670411</v>
      </c>
      <c r="J11" s="34" t="n">
        <f aca="false">G11/UMP_Padang</f>
        <v>2.19921425216505</v>
      </c>
      <c r="K11" s="18" t="str">
        <f aca="false">IF(AND(C11&gt;=UMK_Pekanbaru,F11&gt;=UMP_Padang),"OK","PERIKSA")</f>
        <v>OK</v>
      </c>
      <c r="L11" s="24" t="s">
        <v>203</v>
      </c>
    </row>
    <row r="12" customFormat="false" ht="15" hidden="false" customHeight="false" outlineLevel="0" collapsed="false">
      <c r="A12" s="11" t="s">
        <v>204</v>
      </c>
      <c r="B12" s="32" t="s">
        <v>194</v>
      </c>
      <c r="C12" s="33" t="n">
        <v>8000000</v>
      </c>
      <c r="D12" s="19" t="n">
        <f aca="false">(C12+E12)/2</f>
        <v>13000000</v>
      </c>
      <c r="E12" s="33" t="n">
        <v>18000000</v>
      </c>
      <c r="F12" s="33" t="n">
        <v>8000000</v>
      </c>
      <c r="G12" s="19" t="n">
        <f aca="false">(F12+H12)/2</f>
        <v>13000000</v>
      </c>
      <c r="H12" s="33" t="n">
        <v>18000000</v>
      </c>
      <c r="I12" s="34" t="n">
        <f aca="false">D12/UMK_Pekanbaru</f>
        <v>3.25147986228712</v>
      </c>
      <c r="J12" s="34" t="n">
        <f aca="false">G12/UMP_Padang</f>
        <v>4.08425503973509</v>
      </c>
      <c r="K12" s="18" t="str">
        <f aca="false">IF(AND(C12&gt;=UMK_Pekanbaru,F12&gt;=UMP_Padang),"OK","PERIKSA")</f>
        <v>OK</v>
      </c>
      <c r="L12" s="24" t="s">
        <v>205</v>
      </c>
    </row>
    <row r="13" customFormat="false" ht="15" hidden="false" customHeight="false" outlineLevel="0" collapsed="false">
      <c r="A13" s="11" t="s">
        <v>110</v>
      </c>
      <c r="B13" s="32" t="s">
        <v>194</v>
      </c>
      <c r="C13" s="33" t="n">
        <v>7000000</v>
      </c>
      <c r="D13" s="19" t="n">
        <f aca="false">(C13+E13)/2</f>
        <v>10000000</v>
      </c>
      <c r="E13" s="33" t="n">
        <v>13000000</v>
      </c>
      <c r="F13" s="33" t="n">
        <v>6500000</v>
      </c>
      <c r="G13" s="19" t="n">
        <f aca="false">(F13+H13)/2</f>
        <v>9250000</v>
      </c>
      <c r="H13" s="33" t="n">
        <v>12000000</v>
      </c>
      <c r="I13" s="34" t="n">
        <f aca="false">D13/UMK_Pekanbaru</f>
        <v>2.50113835560548</v>
      </c>
      <c r="J13" s="34" t="n">
        <f aca="false">G13/UMP_Padang</f>
        <v>2.90610454750381</v>
      </c>
      <c r="K13" s="18" t="str">
        <f aca="false">IF(AND(C13&gt;=UMK_Pekanbaru,F13&gt;=UMP_Padang),"OK","PERIKSA")</f>
        <v>OK</v>
      </c>
      <c r="L13" s="24" t="s">
        <v>206</v>
      </c>
    </row>
    <row r="14" customFormat="false" ht="15" hidden="false" customHeight="false" outlineLevel="0" collapsed="false">
      <c r="A14" s="11" t="s">
        <v>121</v>
      </c>
      <c r="B14" s="32" t="s">
        <v>194</v>
      </c>
      <c r="C14" s="33" t="n">
        <v>8000000</v>
      </c>
      <c r="D14" s="19" t="n">
        <f aca="false">(C14+E14)/2</f>
        <v>11500000</v>
      </c>
      <c r="E14" s="33" t="n">
        <v>15000000</v>
      </c>
      <c r="F14" s="33" t="n">
        <v>8000000</v>
      </c>
      <c r="G14" s="19" t="n">
        <f aca="false">(F14+H14)/2</f>
        <v>11500000</v>
      </c>
      <c r="H14" s="33" t="n">
        <v>15000000</v>
      </c>
      <c r="I14" s="34" t="n">
        <f aca="false">D14/UMK_Pekanbaru</f>
        <v>2.8763091089463</v>
      </c>
      <c r="J14" s="34" t="n">
        <f aca="false">G14/UMP_Padang</f>
        <v>3.61299484284258</v>
      </c>
      <c r="K14" s="18" t="str">
        <f aca="false">IF(AND(C14&gt;=UMK_Pekanbaru,F14&gt;=UMP_Padang),"OK","PERIKSA")</f>
        <v>OK</v>
      </c>
      <c r="L14" s="24" t="s">
        <v>207</v>
      </c>
    </row>
    <row r="15" customFormat="false" ht="15" hidden="false" customHeight="false" outlineLevel="0" collapsed="false">
      <c r="A15" s="11" t="s">
        <v>208</v>
      </c>
      <c r="B15" s="32" t="s">
        <v>194</v>
      </c>
      <c r="C15" s="33" t="n">
        <v>20000000</v>
      </c>
      <c r="D15" s="19" t="n">
        <f aca="false">(C15+E15)/2</f>
        <v>27500000</v>
      </c>
      <c r="E15" s="33" t="n">
        <v>35000000</v>
      </c>
      <c r="F15" s="33" t="n">
        <v>20000000</v>
      </c>
      <c r="G15" s="19" t="n">
        <f aca="false">(F15+H15)/2</f>
        <v>27500000</v>
      </c>
      <c r="H15" s="33" t="n">
        <v>35000000</v>
      </c>
      <c r="I15" s="34" t="n">
        <f aca="false">D15/UMK_Pekanbaru</f>
        <v>6.87813047791507</v>
      </c>
      <c r="J15" s="34" t="n">
        <f aca="false">G15/UMP_Padang</f>
        <v>8.63977027636269</v>
      </c>
      <c r="K15" s="18" t="str">
        <f aca="false">IF(AND(C15&gt;=UMK_Pekanbaru,F15&gt;=UMP_Padang),"OK","PERIKSA")</f>
        <v>OK</v>
      </c>
      <c r="L15" s="24" t="s">
        <v>209</v>
      </c>
    </row>
    <row r="16" customFormat="false" ht="15" hidden="false" customHeight="false" outlineLevel="0" collapsed="false">
      <c r="A16" s="11" t="s">
        <v>210</v>
      </c>
      <c r="B16" s="32" t="s">
        <v>194</v>
      </c>
      <c r="C16" s="33" t="n">
        <v>10000000</v>
      </c>
      <c r="D16" s="19" t="n">
        <f aca="false">(C16+E16)/2</f>
        <v>14000000</v>
      </c>
      <c r="E16" s="33" t="n">
        <v>18000000</v>
      </c>
      <c r="F16" s="33" t="n">
        <v>9000000</v>
      </c>
      <c r="G16" s="19" t="n">
        <f aca="false">(F16+H16)/2</f>
        <v>12500000</v>
      </c>
      <c r="H16" s="33" t="n">
        <v>16000000</v>
      </c>
      <c r="I16" s="34" t="n">
        <f aca="false">D16/UMK_Pekanbaru</f>
        <v>3.50159369784767</v>
      </c>
      <c r="J16" s="34" t="n">
        <f aca="false">G16/UMP_Padang</f>
        <v>3.92716830743759</v>
      </c>
      <c r="K16" s="18" t="str">
        <f aca="false">IF(AND(C16&gt;=UMK_Pekanbaru,F16&gt;=UMP_Padang),"OK","PERIKSA")</f>
        <v>OK</v>
      </c>
      <c r="L16" s="24" t="s">
        <v>211</v>
      </c>
    </row>
    <row r="17" customFormat="false" ht="15" hidden="false" customHeight="false" outlineLevel="0" collapsed="false">
      <c r="A17" s="11" t="s">
        <v>212</v>
      </c>
      <c r="B17" s="32" t="s">
        <v>194</v>
      </c>
      <c r="C17" s="33" t="n">
        <v>6000000</v>
      </c>
      <c r="D17" s="19" t="n">
        <f aca="false">(C17+E17)/2</f>
        <v>7500000</v>
      </c>
      <c r="E17" s="33" t="n">
        <v>9000000</v>
      </c>
      <c r="F17" s="33" t="n">
        <v>5000000</v>
      </c>
      <c r="G17" s="19" t="n">
        <f aca="false">(F17+H17)/2</f>
        <v>6500000</v>
      </c>
      <c r="H17" s="33" t="n">
        <v>8000000</v>
      </c>
      <c r="I17" s="34" t="n">
        <f aca="false">D17/UMK_Pekanbaru</f>
        <v>1.87585376670411</v>
      </c>
      <c r="J17" s="34" t="n">
        <f aca="false">G17/UMP_Padang</f>
        <v>2.04212751986754</v>
      </c>
      <c r="K17" s="18" t="str">
        <f aca="false">IF(AND(C17&gt;=UMK_Pekanbaru,F17&gt;=UMP_Padang),"OK","PERIKSA")</f>
        <v>OK</v>
      </c>
      <c r="L17" s="24" t="s">
        <v>203</v>
      </c>
    </row>
    <row r="18" customFormat="false" ht="23.85" hidden="false" customHeight="false" outlineLevel="0" collapsed="false">
      <c r="A18" s="11" t="s">
        <v>213</v>
      </c>
      <c r="B18" s="32" t="s">
        <v>194</v>
      </c>
      <c r="C18" s="33" t="n">
        <v>4000000</v>
      </c>
      <c r="D18" s="19" t="n">
        <f aca="false">(C18+E18)/2</f>
        <v>4750000</v>
      </c>
      <c r="E18" s="33" t="n">
        <v>5500000</v>
      </c>
      <c r="F18" s="33" t="n">
        <v>3200000</v>
      </c>
      <c r="G18" s="19" t="n">
        <f aca="false">(F18+H18)/2</f>
        <v>3850000</v>
      </c>
      <c r="H18" s="33" t="n">
        <v>4500000</v>
      </c>
      <c r="I18" s="34" t="n">
        <f aca="false">D18/UMK_Pekanbaru</f>
        <v>1.1880407189126</v>
      </c>
      <c r="J18" s="34" t="n">
        <f aca="false">G18/UMP_Padang</f>
        <v>1.20956783869078</v>
      </c>
      <c r="K18" s="18" t="str">
        <f aca="false">IF(AND(C18&gt;=UMK_Pekanbaru,F18&gt;=UMP_Padang),"OK","PERIKSA")</f>
        <v>OK</v>
      </c>
      <c r="L18" s="24" t="s">
        <v>214</v>
      </c>
    </row>
    <row r="19" customFormat="false" ht="23.85" hidden="false" customHeight="false" outlineLevel="0" collapsed="false">
      <c r="A19" s="11" t="s">
        <v>215</v>
      </c>
      <c r="B19" s="32" t="s">
        <v>194</v>
      </c>
      <c r="C19" s="33" t="n">
        <v>4000000</v>
      </c>
      <c r="D19" s="19" t="n">
        <f aca="false">(C19+E19)/2</f>
        <v>5250000</v>
      </c>
      <c r="E19" s="33" t="n">
        <v>6500000</v>
      </c>
      <c r="F19" s="33" t="n">
        <v>3200000</v>
      </c>
      <c r="G19" s="19" t="n">
        <f aca="false">(F19+H19)/2</f>
        <v>4350000</v>
      </c>
      <c r="H19" s="33" t="n">
        <v>5500000</v>
      </c>
      <c r="I19" s="34" t="n">
        <f aca="false">D19/UMK_Pekanbaru</f>
        <v>1.31309763669288</v>
      </c>
      <c r="J19" s="34" t="n">
        <f aca="false">G19/UMP_Padang</f>
        <v>1.36665457098828</v>
      </c>
      <c r="K19" s="18" t="str">
        <f aca="false">IF(AND(C19&gt;=UMK_Pekanbaru,F19&gt;=UMP_Padang),"OK","PERIKSA")</f>
        <v>OK</v>
      </c>
      <c r="L19" s="24" t="s">
        <v>216</v>
      </c>
    </row>
    <row r="20" customFormat="false" ht="15" hidden="false" customHeight="false" outlineLevel="0" collapsed="false">
      <c r="A20" s="11" t="s">
        <v>217</v>
      </c>
      <c r="B20" s="32" t="s">
        <v>194</v>
      </c>
      <c r="C20" s="33" t="n">
        <v>5000000</v>
      </c>
      <c r="D20" s="19" t="n">
        <f aca="false">(C20+E20)/2</f>
        <v>6500000</v>
      </c>
      <c r="E20" s="33" t="n">
        <v>8000000</v>
      </c>
      <c r="F20" s="33" t="n">
        <v>4000000</v>
      </c>
      <c r="G20" s="19" t="n">
        <f aca="false">(F20+H20)/2</f>
        <v>5500000</v>
      </c>
      <c r="H20" s="33" t="n">
        <v>7000000</v>
      </c>
      <c r="I20" s="34" t="n">
        <f aca="false">D20/UMK_Pekanbaru</f>
        <v>1.62573993114356</v>
      </c>
      <c r="J20" s="34" t="n">
        <f aca="false">G20/UMP_Padang</f>
        <v>1.72795405527254</v>
      </c>
      <c r="K20" s="18" t="str">
        <f aca="false">IF(AND(C20&gt;=UMK_Pekanbaru,F20&gt;=UMP_Padang),"OK","PERIKSA")</f>
        <v>OK</v>
      </c>
      <c r="L20" s="24" t="s">
        <v>218</v>
      </c>
    </row>
    <row r="21" customFormat="false" ht="15" hidden="false" customHeight="false" outlineLevel="0" collapsed="false">
      <c r="A21" s="11" t="s">
        <v>154</v>
      </c>
      <c r="B21" s="32" t="s">
        <v>194</v>
      </c>
      <c r="C21" s="33" t="n">
        <v>20000000</v>
      </c>
      <c r="D21" s="19" t="n">
        <f aca="false">(C21+E21)/2</f>
        <v>30000000</v>
      </c>
      <c r="E21" s="33" t="n">
        <v>40000000</v>
      </c>
      <c r="F21" s="33" t="n">
        <v>20000000</v>
      </c>
      <c r="G21" s="19" t="n">
        <f aca="false">(F21+H21)/2</f>
        <v>30000000</v>
      </c>
      <c r="H21" s="33" t="n">
        <v>40000000</v>
      </c>
      <c r="I21" s="34" t="n">
        <f aca="false">D21/UMK_Pekanbaru</f>
        <v>7.50341506681644</v>
      </c>
      <c r="J21" s="34" t="n">
        <f aca="false">G21/UMP_Padang</f>
        <v>9.4252039378502</v>
      </c>
      <c r="K21" s="18" t="str">
        <f aca="false">IF(AND(C21&gt;=UMK_Pekanbaru,F21&gt;=UMP_Padang),"OK","PERIKSA")</f>
        <v>OK</v>
      </c>
      <c r="L21" s="24" t="s">
        <v>219</v>
      </c>
    </row>
    <row r="22" customFormat="false" ht="15" hidden="false" customHeight="false" outlineLevel="0" collapsed="false">
      <c r="A22" s="11" t="s">
        <v>220</v>
      </c>
      <c r="B22" s="32" t="s">
        <v>194</v>
      </c>
      <c r="C22" s="33" t="n">
        <v>9000000</v>
      </c>
      <c r="D22" s="19" t="n">
        <f aca="false">(C22+E22)/2</f>
        <v>13500000</v>
      </c>
      <c r="E22" s="33" t="n">
        <v>18000000</v>
      </c>
      <c r="F22" s="33" t="n">
        <v>9000000</v>
      </c>
      <c r="G22" s="19" t="n">
        <f aca="false">(F22+H22)/2</f>
        <v>13500000</v>
      </c>
      <c r="H22" s="33" t="n">
        <v>18000000</v>
      </c>
      <c r="I22" s="34" t="n">
        <f aca="false">D22/UMK_Pekanbaru</f>
        <v>3.3765367800674</v>
      </c>
      <c r="J22" s="34" t="n">
        <f aca="false">G22/UMP_Padang</f>
        <v>4.24134177203259</v>
      </c>
      <c r="K22" s="18" t="str">
        <f aca="false">IF(AND(C22&gt;=UMK_Pekanbaru,F22&gt;=UMP_Padang),"OK","PERIKSA")</f>
        <v>OK</v>
      </c>
      <c r="L22" s="24" t="s">
        <v>219</v>
      </c>
    </row>
    <row r="23" customFormat="false" ht="15" hidden="false" customHeight="false" outlineLevel="0" collapsed="false">
      <c r="A23" s="11" t="s">
        <v>221</v>
      </c>
      <c r="B23" s="32" t="s">
        <v>194</v>
      </c>
      <c r="C23" s="33" t="n">
        <v>15000000</v>
      </c>
      <c r="D23" s="19" t="n">
        <f aca="false">(C23+E23)/2</f>
        <v>21500000</v>
      </c>
      <c r="E23" s="33" t="n">
        <v>28000000</v>
      </c>
      <c r="F23" s="33" t="n">
        <v>15000000</v>
      </c>
      <c r="G23" s="19" t="n">
        <f aca="false">(F23+H23)/2</f>
        <v>21500000</v>
      </c>
      <c r="H23" s="33" t="n">
        <v>28000000</v>
      </c>
      <c r="I23" s="34" t="n">
        <f aca="false">D23/UMK_Pekanbaru</f>
        <v>5.37744746455178</v>
      </c>
      <c r="J23" s="34" t="n">
        <f aca="false">G23/UMP_Padang</f>
        <v>6.75472948879265</v>
      </c>
      <c r="K23" s="18" t="str">
        <f aca="false">IF(AND(C23&gt;=UMK_Pekanbaru,F23&gt;=UMP_Padang),"OK","PERIKSA")</f>
        <v>OK</v>
      </c>
      <c r="L23" s="24" t="s">
        <v>219</v>
      </c>
    </row>
    <row r="24" customFormat="false" ht="15" hidden="false" customHeight="false" outlineLevel="0" collapsed="false">
      <c r="A24" s="11" t="s">
        <v>222</v>
      </c>
      <c r="B24" s="32" t="s">
        <v>194</v>
      </c>
      <c r="C24" s="33" t="n">
        <v>5000000</v>
      </c>
      <c r="D24" s="19" t="n">
        <f aca="false">(C24+E24)/2</f>
        <v>7000000</v>
      </c>
      <c r="E24" s="33" t="n">
        <v>9000000</v>
      </c>
      <c r="F24" s="33" t="n">
        <v>4500000</v>
      </c>
      <c r="G24" s="19" t="n">
        <f aca="false">(F24+H24)/2</f>
        <v>6250000</v>
      </c>
      <c r="H24" s="33" t="n">
        <v>8000000</v>
      </c>
      <c r="I24" s="34" t="n">
        <f aca="false">D24/UMK_Pekanbaru</f>
        <v>1.75079684892384</v>
      </c>
      <c r="J24" s="34" t="n">
        <f aca="false">G24/UMP_Padang</f>
        <v>1.96358415371879</v>
      </c>
      <c r="K24" s="18" t="str">
        <f aca="false">IF(AND(C24&gt;=UMK_Pekanbaru,F24&gt;=UMP_Padang),"OK","PERIKSA")</f>
        <v>OK</v>
      </c>
      <c r="L24" s="24" t="s">
        <v>223</v>
      </c>
    </row>
    <row r="25" customFormat="false" ht="15" hidden="false" customHeight="false" outlineLevel="0" collapsed="false">
      <c r="A25" s="11" t="s">
        <v>224</v>
      </c>
      <c r="B25" s="32" t="s">
        <v>194</v>
      </c>
      <c r="C25" s="33" t="n">
        <v>6000000</v>
      </c>
      <c r="D25" s="19" t="n">
        <f aca="false">(C25+E25)/2</f>
        <v>8500000</v>
      </c>
      <c r="E25" s="33" t="n">
        <v>11000000</v>
      </c>
      <c r="F25" s="33" t="n">
        <v>5000000</v>
      </c>
      <c r="G25" s="19" t="n">
        <f aca="false">(F25+H25)/2</f>
        <v>7500000</v>
      </c>
      <c r="H25" s="33" t="n">
        <v>10000000</v>
      </c>
      <c r="I25" s="34" t="n">
        <f aca="false">D25/UMK_Pekanbaru</f>
        <v>2.12596760226466</v>
      </c>
      <c r="J25" s="34" t="n">
        <f aca="false">G25/UMP_Padang</f>
        <v>2.35630098446255</v>
      </c>
      <c r="K25" s="18" t="str">
        <f aca="false">IF(AND(C25&gt;=UMK_Pekanbaru,F25&gt;=UMP_Padang),"OK","PERIKSA")</f>
        <v>OK</v>
      </c>
      <c r="L25" s="24" t="s">
        <v>225</v>
      </c>
    </row>
    <row r="26" customFormat="false" ht="23.85" hidden="false" customHeight="false" outlineLevel="0" collapsed="false">
      <c r="A26" s="11" t="s">
        <v>133</v>
      </c>
      <c r="B26" s="35" t="s">
        <v>226</v>
      </c>
      <c r="C26" s="33" t="n">
        <v>10000000</v>
      </c>
      <c r="D26" s="19" t="n">
        <f aca="false">(C26+E26)/2</f>
        <v>14000000</v>
      </c>
      <c r="E26" s="33" t="n">
        <v>18000000</v>
      </c>
      <c r="F26" s="33" t="n">
        <v>9000000</v>
      </c>
      <c r="G26" s="19" t="n">
        <f aca="false">(F26+H26)/2</f>
        <v>12500000</v>
      </c>
      <c r="H26" s="33" t="n">
        <v>16000000</v>
      </c>
      <c r="I26" s="34" t="n">
        <f aca="false">D26/UMK_Pekanbaru</f>
        <v>3.50159369784767</v>
      </c>
      <c r="J26" s="34" t="n">
        <f aca="false">G26/UMP_Padang</f>
        <v>3.92716830743759</v>
      </c>
      <c r="K26" s="18" t="str">
        <f aca="false">IF(AND(C26&gt;=UMK_Pekanbaru,F26&gt;=UMP_Padang),"OK","PERIKSA")</f>
        <v>OK</v>
      </c>
      <c r="L26" s="24" t="s">
        <v>227</v>
      </c>
    </row>
    <row r="27" customFormat="false" ht="15" hidden="false" customHeight="false" outlineLevel="0" collapsed="false">
      <c r="A27" s="11" t="s">
        <v>138</v>
      </c>
      <c r="B27" s="35" t="s">
        <v>226</v>
      </c>
      <c r="C27" s="33" t="n">
        <v>7000000</v>
      </c>
      <c r="D27" s="19" t="n">
        <f aca="false">(C27+E27)/2</f>
        <v>9500000</v>
      </c>
      <c r="E27" s="33" t="n">
        <v>12000000</v>
      </c>
      <c r="F27" s="33" t="n">
        <v>6000000</v>
      </c>
      <c r="G27" s="19" t="n">
        <f aca="false">(F27+H27)/2</f>
        <v>8000000</v>
      </c>
      <c r="H27" s="33" t="n">
        <v>10000000</v>
      </c>
      <c r="I27" s="34" t="n">
        <f aca="false">D27/UMK_Pekanbaru</f>
        <v>2.3760814378252</v>
      </c>
      <c r="J27" s="34" t="n">
        <f aca="false">G27/UMP_Padang</f>
        <v>2.51338771676005</v>
      </c>
      <c r="K27" s="18" t="str">
        <f aca="false">IF(AND(C27&gt;=UMK_Pekanbaru,F27&gt;=UMP_Padang),"OK","PERIKSA")</f>
        <v>OK</v>
      </c>
      <c r="L27" s="24" t="s">
        <v>228</v>
      </c>
    </row>
    <row r="28" customFormat="false" ht="15" hidden="false" customHeight="false" outlineLevel="0" collapsed="false">
      <c r="A28" s="11" t="s">
        <v>229</v>
      </c>
      <c r="B28" s="35" t="s">
        <v>226</v>
      </c>
      <c r="C28" s="33" t="n">
        <v>6250000</v>
      </c>
      <c r="D28" s="19" t="n">
        <f aca="false">(C28+E28)/2</f>
        <v>8125000</v>
      </c>
      <c r="E28" s="33" t="n">
        <v>10000000</v>
      </c>
      <c r="F28" s="33" t="n">
        <v>5000000</v>
      </c>
      <c r="G28" s="19" t="n">
        <f aca="false">(F28+H28)/2</f>
        <v>6875000</v>
      </c>
      <c r="H28" s="33" t="n">
        <v>8750000</v>
      </c>
      <c r="I28" s="34" t="n">
        <f aca="false">D28/UMK_Pekanbaru</f>
        <v>2.03217491392945</v>
      </c>
      <c r="J28" s="34" t="n">
        <f aca="false">G28/UMP_Padang</f>
        <v>2.15994256909067</v>
      </c>
      <c r="K28" s="18" t="str">
        <f aca="false">IF(AND(C28&gt;=UMK_Pekanbaru,F28&gt;=UMP_Padang),"OK","PERIKSA")</f>
        <v>OK</v>
      </c>
      <c r="L28" s="24" t="s">
        <v>230</v>
      </c>
    </row>
    <row r="30" customFormat="false" ht="15" hidden="false" customHeight="false" outlineLevel="0" collapsed="false">
      <c r="A30" s="36" t="s">
        <v>231</v>
      </c>
    </row>
    <row r="31" customFormat="false" ht="15" hidden="false" customHeight="false" outlineLevel="0" collapsed="false">
      <c r="A31" s="27" t="s">
        <v>232</v>
      </c>
      <c r="D31" s="29" t="n">
        <f aca="false">COUNTIF(K6:K28,"PERIKSA")</f>
        <v>0</v>
      </c>
    </row>
    <row r="33" customFormat="false" ht="15" hidden="false" customHeight="false" outlineLevel="0" collapsed="false">
      <c r="A33" s="22" t="s">
        <v>233</v>
      </c>
    </row>
    <row r="34" customFormat="false" ht="15" hidden="false" customHeight="false" outlineLevel="0" collapsed="false">
      <c r="A34" s="22" t="s">
        <v>234</v>
      </c>
    </row>
    <row r="35" customFormat="false" ht="15" hidden="false" customHeight="false" outlineLevel="0" collapsed="false">
      <c r="A35" s="22" t="s">
        <v>235</v>
      </c>
    </row>
  </sheetData>
  <mergeCells count="4">
    <mergeCell ref="A1:L1"/>
    <mergeCell ref="A2:L2"/>
    <mergeCell ref="C4:E4"/>
    <mergeCell ref="F4:H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7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25" topLeftCell="D26" activePane="bottomRight" state="frozen"/>
      <selection pane="topLeft" activeCell="A1" activeCellId="0" sqref="A1"/>
      <selection pane="topRight" activeCell="D1" activeCellId="0" sqref="D1"/>
      <selection pane="bottomLeft" activeCell="A26" activeCellId="0" sqref="A26"/>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2"/>
    <col collapsed="false" customWidth="true" hidden="false" outlineLevel="0" max="3" min="3" style="0" width="42"/>
    <col collapsed="false" customWidth="true" hidden="false" outlineLevel="0" max="5" min="4" style="0" width="13"/>
    <col collapsed="false" customWidth="true" hidden="false" outlineLevel="0" max="6" min="6" style="0" width="12"/>
    <col collapsed="false" customWidth="true" hidden="false" outlineLevel="0" max="7" min="7" style="0" width="30"/>
    <col collapsed="false" customWidth="true" hidden="false" outlineLevel="0" max="8" min="8" style="0" width="13"/>
    <col collapsed="false" customWidth="true" hidden="false" outlineLevel="0" max="9" min="9" style="0" width="9"/>
    <col collapsed="false" customWidth="true" hidden="false" outlineLevel="0" max="10" min="10" style="0" width="10"/>
    <col collapsed="false" customWidth="true" hidden="false" outlineLevel="0" max="11" min="11" style="0" width="16"/>
    <col collapsed="false" customWidth="true" hidden="false" outlineLevel="0" max="12" min="12" style="0" width="15"/>
    <col collapsed="false" customWidth="true" hidden="false" outlineLevel="0" max="13" min="13" style="0" width="17"/>
    <col collapsed="false" customWidth="true" hidden="false" outlineLevel="0" max="17" min="14" style="0" width="14"/>
    <col collapsed="false" customWidth="true" hidden="false" outlineLevel="0" max="18" min="18" style="0" width="16"/>
    <col collapsed="false" customWidth="true" hidden="false" outlineLevel="0" max="19" min="19" style="0" width="14"/>
    <col collapsed="false" customWidth="true" hidden="false" outlineLevel="0" max="20" min="20" style="0" width="19"/>
    <col collapsed="false" customWidth="true" hidden="false" outlineLevel="0" max="21" min="21" style="0" width="11"/>
    <col collapsed="false" customWidth="true" hidden="false" outlineLevel="0" max="24" min="22" style="0" width="9"/>
    <col collapsed="false" customWidth="true" hidden="false" outlineLevel="0" max="27" min="25" style="0" width="17"/>
    <col collapsed="false" customWidth="true" hidden="false" outlineLevel="0" max="28" min="28" style="0" width="3"/>
    <col collapsed="false" customWidth="true" hidden="false" outlineLevel="0" max="31" min="29" style="0" width="14"/>
    <col collapsed="false" customWidth="true" hidden="false" outlineLevel="0" max="32" min="32" style="0" width="15"/>
    <col collapsed="false" customWidth="true" hidden="false" outlineLevel="0" max="35" min="33" style="0" width="16"/>
    <col collapsed="false" customWidth="true" hidden="false" outlineLevel="0" max="37" min="36" style="0" width="13"/>
    <col collapsed="false" customWidth="true" hidden="false" outlineLevel="0" max="38" min="38" style="0" width="14"/>
  </cols>
  <sheetData>
    <row r="1" customFormat="false" ht="25.5" hidden="false" customHeight="true" outlineLevel="0" collapsed="false">
      <c r="A1" s="1" t="s">
        <v>236</v>
      </c>
      <c r="B1" s="1"/>
      <c r="C1" s="1"/>
      <c r="D1" s="1"/>
      <c r="E1" s="1"/>
      <c r="F1" s="1"/>
      <c r="G1" s="1"/>
      <c r="H1" s="1"/>
      <c r="I1" s="1"/>
      <c r="J1" s="1"/>
      <c r="K1" s="1"/>
      <c r="L1" s="1"/>
      <c r="M1" s="1"/>
      <c r="N1" s="1"/>
      <c r="O1" s="1"/>
      <c r="P1" s="1"/>
      <c r="Q1" s="1"/>
      <c r="R1" s="1"/>
      <c r="S1" s="1"/>
      <c r="T1" s="1"/>
    </row>
    <row r="2" customFormat="false" ht="15" hidden="false" customHeight="false" outlineLevel="0" collapsed="false">
      <c r="A2" s="2" t="s">
        <v>237</v>
      </c>
      <c r="B2" s="2"/>
      <c r="C2" s="2"/>
      <c r="D2" s="2"/>
      <c r="E2" s="2"/>
      <c r="F2" s="2"/>
      <c r="G2" s="2"/>
      <c r="H2" s="2"/>
      <c r="I2" s="2"/>
      <c r="J2" s="2"/>
      <c r="K2" s="2"/>
      <c r="L2" s="2"/>
      <c r="M2" s="2"/>
      <c r="N2" s="2"/>
      <c r="O2" s="2"/>
      <c r="P2" s="2"/>
      <c r="Q2" s="2"/>
      <c r="R2" s="2"/>
      <c r="S2" s="2"/>
      <c r="T2" s="2"/>
    </row>
    <row r="4" customFormat="false" ht="15" hidden="false" customHeight="false" outlineLevel="0" collapsed="false">
      <c r="A4" s="4" t="s">
        <v>238</v>
      </c>
      <c r="B4" s="4"/>
      <c r="C4" s="4"/>
      <c r="D4" s="4"/>
      <c r="E4" s="4"/>
    </row>
    <row r="5" customFormat="false" ht="15" hidden="false" customHeight="false" outlineLevel="0" collapsed="false">
      <c r="A5" s="27" t="s">
        <v>239</v>
      </c>
      <c r="D5" s="27" t="s">
        <v>240</v>
      </c>
      <c r="E5" s="27" t="s">
        <v>241</v>
      </c>
    </row>
    <row r="6" customFormat="false" ht="15" hidden="false" customHeight="false" outlineLevel="0" collapsed="false">
      <c r="A6" s="37" t="s">
        <v>242</v>
      </c>
      <c r="D6" s="38" t="n">
        <v>3998179.46</v>
      </c>
      <c r="E6" s="22" t="s">
        <v>243</v>
      </c>
    </row>
    <row r="7" customFormat="false" ht="15" hidden="false" customHeight="false" outlineLevel="0" collapsed="false">
      <c r="A7" s="37" t="s">
        <v>244</v>
      </c>
      <c r="D7" s="38" t="n">
        <v>3182955</v>
      </c>
      <c r="E7" s="22" t="s">
        <v>245</v>
      </c>
    </row>
    <row r="8" customFormat="false" ht="15" hidden="false" customHeight="false" outlineLevel="0" collapsed="false">
      <c r="A8" s="37" t="s">
        <v>246</v>
      </c>
      <c r="D8" s="39" t="n">
        <v>0.1</v>
      </c>
      <c r="E8" s="22" t="s">
        <v>247</v>
      </c>
    </row>
    <row r="9" customFormat="false" ht="15" hidden="false" customHeight="false" outlineLevel="0" collapsed="false">
      <c r="A9" s="37" t="s">
        <v>248</v>
      </c>
      <c r="D9" s="39" t="n">
        <v>0.0054</v>
      </c>
      <c r="E9" s="22" t="s">
        <v>249</v>
      </c>
    </row>
    <row r="10" customFormat="false" ht="15" hidden="false" customHeight="false" outlineLevel="0" collapsed="false">
      <c r="A10" s="37" t="s">
        <v>250</v>
      </c>
      <c r="D10" s="39" t="n">
        <v>0.0089</v>
      </c>
      <c r="E10" s="22" t="s">
        <v>251</v>
      </c>
    </row>
    <row r="11" customFormat="false" ht="15" hidden="false" customHeight="false" outlineLevel="0" collapsed="false">
      <c r="A11" s="37" t="s">
        <v>252</v>
      </c>
      <c r="D11" s="40" t="n">
        <v>0.003</v>
      </c>
      <c r="E11" s="22" t="s">
        <v>253</v>
      </c>
    </row>
    <row r="12" customFormat="false" ht="15" hidden="false" customHeight="false" outlineLevel="0" collapsed="false">
      <c r="A12" s="37" t="s">
        <v>254</v>
      </c>
      <c r="D12" s="40" t="n">
        <v>0.037</v>
      </c>
      <c r="E12" s="22" t="s">
        <v>255</v>
      </c>
    </row>
    <row r="13" customFormat="false" ht="15" hidden="false" customHeight="false" outlineLevel="0" collapsed="false">
      <c r="A13" s="37" t="s">
        <v>256</v>
      </c>
      <c r="D13" s="40" t="n">
        <v>0.02</v>
      </c>
      <c r="E13" s="22" t="s">
        <v>257</v>
      </c>
    </row>
    <row r="14" customFormat="false" ht="15" hidden="false" customHeight="false" outlineLevel="0" collapsed="false">
      <c r="A14" s="37" t="s">
        <v>258</v>
      </c>
      <c r="D14" s="38" t="n">
        <v>11086300</v>
      </c>
      <c r="E14" s="22" t="s">
        <v>259</v>
      </c>
    </row>
    <row r="15" customFormat="false" ht="15" hidden="false" customHeight="false" outlineLevel="0" collapsed="false">
      <c r="A15" s="37" t="s">
        <v>260</v>
      </c>
      <c r="D15" s="40" t="n">
        <v>0.04</v>
      </c>
      <c r="E15" s="22" t="s">
        <v>261</v>
      </c>
    </row>
    <row r="16" customFormat="false" ht="15" hidden="false" customHeight="false" outlineLevel="0" collapsed="false">
      <c r="A16" s="37" t="s">
        <v>262</v>
      </c>
      <c r="D16" s="38" t="n">
        <v>12000000</v>
      </c>
      <c r="E16" s="22" t="s">
        <v>263</v>
      </c>
    </row>
    <row r="17" customFormat="false" ht="15" hidden="false" customHeight="false" outlineLevel="0" collapsed="false">
      <c r="A17" s="37" t="s">
        <v>264</v>
      </c>
      <c r="D17" s="40" t="n">
        <v>0.0833</v>
      </c>
      <c r="E17" s="22" t="s">
        <v>265</v>
      </c>
    </row>
    <row r="18" customFormat="false" ht="15" hidden="false" customHeight="false" outlineLevel="0" collapsed="false">
      <c r="A18" s="37" t="s">
        <v>266</v>
      </c>
      <c r="D18" s="41" t="s">
        <v>55</v>
      </c>
      <c r="E18" s="22" t="s">
        <v>267</v>
      </c>
    </row>
    <row r="19" customFormat="false" ht="15" hidden="false" customHeight="false" outlineLevel="0" collapsed="false">
      <c r="A19" s="37" t="s">
        <v>268</v>
      </c>
      <c r="D19" s="41" t="s">
        <v>52</v>
      </c>
      <c r="E19" s="22" t="s">
        <v>269</v>
      </c>
    </row>
    <row r="21" customFormat="false" ht="15" hidden="false" customHeight="false" outlineLevel="0" collapsed="false">
      <c r="A21" s="36" t="s">
        <v>270</v>
      </c>
    </row>
    <row r="22" customFormat="false" ht="15" hidden="false" customHeight="false" outlineLevel="0" collapsed="false">
      <c r="A22" s="36" t="s">
        <v>271</v>
      </c>
    </row>
    <row r="24" customFormat="false" ht="15" hidden="false" customHeight="false" outlineLevel="0" collapsed="false">
      <c r="AC24" s="42" t="s">
        <v>272</v>
      </c>
    </row>
    <row r="25" customFormat="false" ht="31.5" hidden="false" customHeight="true" outlineLevel="0" collapsed="false">
      <c r="A25" s="5" t="s">
        <v>72</v>
      </c>
      <c r="B25" s="5" t="s">
        <v>73</v>
      </c>
      <c r="C25" s="5" t="s">
        <v>74</v>
      </c>
      <c r="D25" s="5" t="s">
        <v>75</v>
      </c>
      <c r="E25" s="5" t="s">
        <v>76</v>
      </c>
      <c r="F25" s="5" t="s">
        <v>77</v>
      </c>
      <c r="G25" s="5" t="s">
        <v>273</v>
      </c>
      <c r="H25" s="5" t="s">
        <v>274</v>
      </c>
      <c r="I25" s="5" t="s">
        <v>78</v>
      </c>
      <c r="J25" s="5" t="s">
        <v>275</v>
      </c>
      <c r="K25" s="5" t="s">
        <v>276</v>
      </c>
      <c r="L25" s="5" t="s">
        <v>277</v>
      </c>
      <c r="M25" s="5" t="s">
        <v>278</v>
      </c>
      <c r="N25" s="5" t="s">
        <v>279</v>
      </c>
      <c r="O25" s="5" t="s">
        <v>280</v>
      </c>
      <c r="P25" s="5" t="s">
        <v>281</v>
      </c>
      <c r="Q25" s="5" t="s">
        <v>282</v>
      </c>
      <c r="R25" s="5" t="s">
        <v>283</v>
      </c>
      <c r="S25" s="5" t="s">
        <v>284</v>
      </c>
      <c r="T25" s="5" t="s">
        <v>285</v>
      </c>
      <c r="U25" s="5" t="s">
        <v>286</v>
      </c>
      <c r="V25" s="5" t="s">
        <v>287</v>
      </c>
      <c r="W25" s="5" t="s">
        <v>288</v>
      </c>
      <c r="X25" s="5" t="s">
        <v>289</v>
      </c>
      <c r="Y25" s="5" t="s">
        <v>290</v>
      </c>
      <c r="Z25" s="5" t="s">
        <v>291</v>
      </c>
      <c r="AA25" s="5" t="s">
        <v>292</v>
      </c>
      <c r="AB25" s="5"/>
      <c r="AC25" s="5" t="s">
        <v>293</v>
      </c>
      <c r="AD25" s="5" t="s">
        <v>294</v>
      </c>
      <c r="AE25" s="5" t="s">
        <v>295</v>
      </c>
      <c r="AF25" s="5" t="s">
        <v>296</v>
      </c>
      <c r="AG25" s="5" t="s">
        <v>297</v>
      </c>
      <c r="AH25" s="5" t="s">
        <v>298</v>
      </c>
      <c r="AI25" s="5" t="s">
        <v>299</v>
      </c>
      <c r="AJ25" s="5" t="s">
        <v>300</v>
      </c>
      <c r="AK25" s="5" t="s">
        <v>301</v>
      </c>
      <c r="AL25" s="5" t="s">
        <v>302</v>
      </c>
    </row>
    <row r="26" customFormat="false" ht="15" hidden="false" customHeight="false" outlineLevel="0" collapsed="false">
      <c r="A26" s="18" t="n">
        <v>1</v>
      </c>
      <c r="B26" s="11" t="s">
        <v>83</v>
      </c>
      <c r="C26" s="11" t="s">
        <v>84</v>
      </c>
      <c r="D26" s="18" t="s">
        <v>85</v>
      </c>
      <c r="E26" s="18" t="s">
        <v>85</v>
      </c>
      <c r="F26" s="18" t="s">
        <v>86</v>
      </c>
      <c r="G26" s="43" t="s">
        <v>193</v>
      </c>
      <c r="H26" s="18" t="s">
        <v>303</v>
      </c>
      <c r="I26" s="18" t="n">
        <v>1</v>
      </c>
      <c r="J26" s="18" t="str">
        <f aca="false">IF($F26="C-Level",Pita_CLevel,Pita_Aktif)</f>
        <v>P25</v>
      </c>
      <c r="K26" s="19" t="n">
        <f aca="false">IF($J26="P25",$AC26,IF($J26="P50",$AD26,$AE26))</f>
        <v>35000000</v>
      </c>
      <c r="L26" s="19" t="n">
        <f aca="false">$K26*Tunjangan_Pct</f>
        <v>3500000</v>
      </c>
      <c r="M26" s="19" t="n">
        <f aca="false">$K26+$L26</f>
        <v>38500000</v>
      </c>
      <c r="N26" s="19" t="n">
        <f aca="false">$M26*IF($H26="Lapangan",Tarif_JKK_Lapangan,Tarif_JKK_Kantor)</f>
        <v>207900</v>
      </c>
      <c r="O26" s="19" t="n">
        <f aca="false">$M26*Tarif_JKM</f>
        <v>115500</v>
      </c>
      <c r="P26" s="19" t="n">
        <f aca="false">$M26*Tarif_JHT</f>
        <v>1424500</v>
      </c>
      <c r="Q26" s="19" t="n">
        <f aca="false">MIN($M26,Plafon_JP)*Tarif_JP</f>
        <v>221726</v>
      </c>
      <c r="R26" s="19" t="n">
        <f aca="false">MIN(MAX($M26,IF($E26="Padang",UMP_Padang,UMK_Pekanbaru)),Plafon_JKN)*Tarif_JKN</f>
        <v>480000</v>
      </c>
      <c r="S26" s="19" t="n">
        <f aca="false">$M26*Tarif_THR</f>
        <v>3207050</v>
      </c>
      <c r="T26" s="44" t="n">
        <f aca="false">SUM($M26:$S26)</f>
        <v>44156676</v>
      </c>
      <c r="U26" s="34" t="n">
        <f aca="false">$T26/$K26</f>
        <v>1.26161931428571</v>
      </c>
      <c r="V26" s="18" t="n">
        <v>1</v>
      </c>
      <c r="W26" s="18" t="n">
        <v>1</v>
      </c>
      <c r="X26" s="18" t="n">
        <v>1</v>
      </c>
      <c r="Y26" s="45" t="n">
        <f aca="false">$T26*$V26</f>
        <v>44156676</v>
      </c>
      <c r="Z26" s="45" t="n">
        <f aca="false">$T26*$W26</f>
        <v>44156676</v>
      </c>
      <c r="AA26" s="45" t="n">
        <f aca="false">$T26*$X26</f>
        <v>44156676</v>
      </c>
      <c r="AC26" s="46" t="n">
        <f aca="false">IF($E26="Padang",INDEX('Pita Gaji'!$F$6:$F$28,MATCH($G26,'Pita Gaji'!$A$6:$A$28,0)),INDEX('Pita Gaji'!$C$6:$C$28,MATCH($G26,'Pita Gaji'!$A$6:$A$28,0)))</f>
        <v>35000000</v>
      </c>
      <c r="AD26" s="46" t="n">
        <f aca="false">IF($E26="Padang",INDEX('Pita Gaji'!$G$6:$G$28,MATCH($G26,'Pita Gaji'!$A$6:$A$28,0)),INDEX('Pita Gaji'!$D$6:$D$28,MATCH($G26,'Pita Gaji'!$A$6:$A$28,0)))</f>
        <v>47500000</v>
      </c>
      <c r="AE26" s="46" t="n">
        <f aca="false">IF($E26="Padang",INDEX('Pita Gaji'!$H$6:$H$28,MATCH($G26,'Pita Gaji'!$A$6:$A$28,0)),INDEX('Pita Gaji'!$E$6:$E$28,MATCH($G26,'Pita Gaji'!$A$6:$A$28,0)))</f>
        <v>60000000</v>
      </c>
      <c r="AF26" s="46" t="n">
        <f aca="false">IF(Pita_CLevel="P25",$AC26,IF(Pita_CLevel="P50",$AD26,$AE26))</f>
        <v>35000000</v>
      </c>
      <c r="AG26" s="46" t="n">
        <f aca="false">(IF($F26="C-Level",$AF26,$AC26)*(1+Tunjangan_Pct))*(1+IF($H26="Lapangan",Tarif_JKK_Lapangan,Tarif_JKK_Kantor)+Tarif_JKM+Tarif_JHT+Tarif_THR)+MIN((IF($F26="C-Level",$AF26,$AC26)*(1+Tunjangan_Pct)),Plafon_JP)*Tarif_JP+MIN(MAX((IF($F26="C-Level",$AF26,$AC26)*(1+Tunjangan_Pct)),IF($E26="Padang",UMP_Padang,UMK_Pekanbaru)),Plafon_JKN)*Tarif_JKN</f>
        <v>44156676</v>
      </c>
      <c r="AH26" s="46" t="n">
        <f aca="false">(IF($F26="C-Level",$AF26,$AD26)*(1+Tunjangan_Pct))*(1+IF($H26="Lapangan",Tarif_JKK_Lapangan,Tarif_JKK_Kantor)+Tarif_JKM+Tarif_JHT+Tarif_THR)+MIN((IF($F26="C-Level",$AF26,$AD26)*(1+Tunjangan_Pct)),Plafon_JP)*Tarif_JP+MIN(MAX((IF($F26="C-Level",$AF26,$AD26)*(1+Tunjangan_Pct)),IF($E26="Padang",UMP_Padang,UMK_Pekanbaru)),Plafon_JKN)*Tarif_JKN</f>
        <v>44156676</v>
      </c>
      <c r="AI26" s="46" t="n">
        <f aca="false">(IF($F26="C-Level",$AF26,$AE26)*(1+Tunjangan_Pct))*(1+IF($H26="Lapangan",Tarif_JKK_Lapangan,Tarif_JKK_Kantor)+Tarif_JKM+Tarif_JHT+Tarif_THR)+MIN((IF($F26="C-Level",$AF26,$AE26)*(1+Tunjangan_Pct)),Plafon_JP)*Tarif_JP+MIN(MAX((IF($F26="C-Level",$AF26,$AE26)*(1+Tunjangan_Pct)),IF($E26="Padang",UMP_Padang,UMK_Pekanbaru)),Plafon_JKN)*Tarif_JKN</f>
        <v>44156676</v>
      </c>
      <c r="AJ26" s="47" t="n">
        <f aca="false">$V26*MAX(0,MIN(3,4-$I26))+$W26*MAX(0,MIN(9,13-MAX($I26,4)))</f>
        <v>12</v>
      </c>
      <c r="AK26" s="47" t="n">
        <f aca="false">$AJ26+$X26*MAX(0,MIN(12,25-MAX($I26,13)))</f>
        <v>24</v>
      </c>
      <c r="AL26" s="48" t="str">
        <f aca="false">IF($M26&gt;=IF($E26="Padang",UMP_Padang,UMK_Pekanbaru),"OK","DI BAWAH UMK")</f>
        <v>OK</v>
      </c>
    </row>
    <row r="27" customFormat="false" ht="15" hidden="false" customHeight="false" outlineLevel="0" collapsed="false">
      <c r="A27" s="18" t="n">
        <v>2</v>
      </c>
      <c r="B27" s="11" t="s">
        <v>83</v>
      </c>
      <c r="C27" s="11" t="s">
        <v>88</v>
      </c>
      <c r="D27" s="18" t="s">
        <v>85</v>
      </c>
      <c r="E27" s="18" t="s">
        <v>85</v>
      </c>
      <c r="F27" s="18" t="s">
        <v>89</v>
      </c>
      <c r="G27" s="43" t="s">
        <v>224</v>
      </c>
      <c r="H27" s="18" t="s">
        <v>303</v>
      </c>
      <c r="I27" s="18" t="n">
        <v>3</v>
      </c>
      <c r="J27" s="18" t="str">
        <f aca="false">IF($F27="C-Level",Pita_CLevel,Pita_Aktif)</f>
        <v>P50</v>
      </c>
      <c r="K27" s="19" t="n">
        <f aca="false">IF($J27="P25",$AC27,IF($J27="P50",$AD27,$AE27))</f>
        <v>8500000</v>
      </c>
      <c r="L27" s="19" t="n">
        <f aca="false">$K27*Tunjangan_Pct</f>
        <v>850000</v>
      </c>
      <c r="M27" s="19" t="n">
        <f aca="false">$K27+$L27</f>
        <v>9350000</v>
      </c>
      <c r="N27" s="19" t="n">
        <f aca="false">$M27*IF($H27="Lapangan",Tarif_JKK_Lapangan,Tarif_JKK_Kantor)</f>
        <v>50490</v>
      </c>
      <c r="O27" s="19" t="n">
        <f aca="false">$M27*Tarif_JKM</f>
        <v>28050</v>
      </c>
      <c r="P27" s="19" t="n">
        <f aca="false">$M27*Tarif_JHT</f>
        <v>345950</v>
      </c>
      <c r="Q27" s="19" t="n">
        <f aca="false">MIN($M27,Plafon_JP)*Tarif_JP</f>
        <v>187000</v>
      </c>
      <c r="R27" s="19" t="n">
        <f aca="false">MIN(MAX($M27,IF($E27="Padang",UMP_Padang,UMK_Pekanbaru)),Plafon_JKN)*Tarif_JKN</f>
        <v>374000</v>
      </c>
      <c r="S27" s="19" t="n">
        <f aca="false">$M27*Tarif_THR</f>
        <v>778855</v>
      </c>
      <c r="T27" s="44" t="n">
        <f aca="false">SUM($M27:$S27)</f>
        <v>11114345</v>
      </c>
      <c r="U27" s="34" t="n">
        <f aca="false">$T27/$K27</f>
        <v>1.30757</v>
      </c>
      <c r="V27" s="18" t="n">
        <v>1</v>
      </c>
      <c r="W27" s="18" t="n">
        <v>1</v>
      </c>
      <c r="X27" s="18" t="n">
        <v>1</v>
      </c>
      <c r="Y27" s="45" t="n">
        <f aca="false">$T27*$V27</f>
        <v>11114345</v>
      </c>
      <c r="Z27" s="45" t="n">
        <f aca="false">$T27*$W27</f>
        <v>11114345</v>
      </c>
      <c r="AA27" s="45" t="n">
        <f aca="false">$T27*$X27</f>
        <v>11114345</v>
      </c>
      <c r="AC27" s="46" t="n">
        <f aca="false">IF($E27="Padang",INDEX('Pita Gaji'!$F$6:$F$28,MATCH($G27,'Pita Gaji'!$A$6:$A$28,0)),INDEX('Pita Gaji'!$C$6:$C$28,MATCH($G27,'Pita Gaji'!$A$6:$A$28,0)))</f>
        <v>6000000</v>
      </c>
      <c r="AD27" s="46" t="n">
        <f aca="false">IF($E27="Padang",INDEX('Pita Gaji'!$G$6:$G$28,MATCH($G27,'Pita Gaji'!$A$6:$A$28,0)),INDEX('Pita Gaji'!$D$6:$D$28,MATCH($G27,'Pita Gaji'!$A$6:$A$28,0)))</f>
        <v>8500000</v>
      </c>
      <c r="AE27" s="46" t="n">
        <f aca="false">IF($E27="Padang",INDEX('Pita Gaji'!$H$6:$H$28,MATCH($G27,'Pita Gaji'!$A$6:$A$28,0)),INDEX('Pita Gaji'!$E$6:$E$28,MATCH($G27,'Pita Gaji'!$A$6:$A$28,0)))</f>
        <v>11000000</v>
      </c>
      <c r="AF27" s="46" t="n">
        <f aca="false">IF(Pita_CLevel="P25",$AC27,IF(Pita_CLevel="P50",$AD27,$AE27))</f>
        <v>6000000</v>
      </c>
      <c r="AG27" s="46" t="n">
        <f aca="false">(IF($F27="C-Level",$AF27,$AC27)*(1+Tunjangan_Pct))*(1+IF($H27="Lapangan",Tarif_JKK_Lapangan,Tarif_JKK_Kantor)+Tarif_JKM+Tarif_JHT+Tarif_THR)+MIN((IF($F27="C-Level",$AF27,$AC27)*(1+Tunjangan_Pct)),Plafon_JP)*Tarif_JP+MIN(MAX((IF($F27="C-Level",$AF27,$AC27)*(1+Tunjangan_Pct)),IF($E27="Padang",UMP_Padang,UMK_Pekanbaru)),Plafon_JKN)*Tarif_JKN</f>
        <v>7845420</v>
      </c>
      <c r="AH27" s="46" t="n">
        <f aca="false">(IF($F27="C-Level",$AF27,$AD27)*(1+Tunjangan_Pct))*(1+IF($H27="Lapangan",Tarif_JKK_Lapangan,Tarif_JKK_Kantor)+Tarif_JKM+Tarif_JHT+Tarif_THR)+MIN((IF($F27="C-Level",$AF27,$AD27)*(1+Tunjangan_Pct)),Plafon_JP)*Tarif_JP+MIN(MAX((IF($F27="C-Level",$AF27,$AD27)*(1+Tunjangan_Pct)),IF($E27="Padang",UMP_Padang,UMK_Pekanbaru)),Plafon_JKN)*Tarif_JKN</f>
        <v>11114345</v>
      </c>
      <c r="AI27" s="46" t="n">
        <f aca="false">(IF($F27="C-Level",$AF27,$AE27)*(1+Tunjangan_Pct))*(1+IF($H27="Lapangan",Tarif_JKK_Lapangan,Tarif_JKK_Kantor)+Tarif_JKM+Tarif_JHT+Tarif_THR)+MIN((IF($F27="C-Level",$AF27,$AE27)*(1+Tunjangan_Pct)),Plafon_JP)*Tarif_JP+MIN(MAX((IF($F27="C-Level",$AF27,$AE27)*(1+Tunjangan_Pct)),IF($E27="Padang",UMP_Padang,UMK_Pekanbaru)),Plafon_JKN)*Tarif_JKN</f>
        <v>14358996</v>
      </c>
      <c r="AJ27" s="47" t="n">
        <f aca="false">$V27*MAX(0,MIN(3,4-$I27))+$W27*MAX(0,MIN(9,13-MAX($I27,4)))</f>
        <v>10</v>
      </c>
      <c r="AK27" s="47" t="n">
        <f aca="false">$AJ27+$X27*MAX(0,MIN(12,25-MAX($I27,13)))</f>
        <v>22</v>
      </c>
      <c r="AL27" s="48" t="str">
        <f aca="false">IF($M27&gt;=IF($E27="Padang",UMP_Padang,UMK_Pekanbaru),"OK","DI BAWAH UMK")</f>
        <v>OK</v>
      </c>
    </row>
    <row r="28" customFormat="false" ht="15" hidden="false" customHeight="false" outlineLevel="0" collapsed="false">
      <c r="A28" s="18" t="n">
        <v>3</v>
      </c>
      <c r="B28" s="11" t="s">
        <v>91</v>
      </c>
      <c r="C28" s="11" t="s">
        <v>92</v>
      </c>
      <c r="D28" s="18" t="s">
        <v>85</v>
      </c>
      <c r="E28" s="18" t="s">
        <v>85</v>
      </c>
      <c r="F28" s="18" t="s">
        <v>86</v>
      </c>
      <c r="G28" s="43" t="s">
        <v>196</v>
      </c>
      <c r="H28" s="18" t="s">
        <v>303</v>
      </c>
      <c r="I28" s="18" t="n">
        <v>1</v>
      </c>
      <c r="J28" s="18" t="str">
        <f aca="false">IF($F28="C-Level",Pita_CLevel,Pita_Aktif)</f>
        <v>P25</v>
      </c>
      <c r="K28" s="19" t="n">
        <f aca="false">IF($J28="P25",$AC28,IF($J28="P50",$AD28,$AE28))</f>
        <v>30000000</v>
      </c>
      <c r="L28" s="19" t="n">
        <f aca="false">$K28*Tunjangan_Pct</f>
        <v>3000000</v>
      </c>
      <c r="M28" s="19" t="n">
        <f aca="false">$K28+$L28</f>
        <v>33000000</v>
      </c>
      <c r="N28" s="19" t="n">
        <f aca="false">$M28*IF($H28="Lapangan",Tarif_JKK_Lapangan,Tarif_JKK_Kantor)</f>
        <v>178200</v>
      </c>
      <c r="O28" s="19" t="n">
        <f aca="false">$M28*Tarif_JKM</f>
        <v>99000</v>
      </c>
      <c r="P28" s="19" t="n">
        <f aca="false">$M28*Tarif_JHT</f>
        <v>1221000</v>
      </c>
      <c r="Q28" s="19" t="n">
        <f aca="false">MIN($M28,Plafon_JP)*Tarif_JP</f>
        <v>221726</v>
      </c>
      <c r="R28" s="19" t="n">
        <f aca="false">MIN(MAX($M28,IF($E28="Padang",UMP_Padang,UMK_Pekanbaru)),Plafon_JKN)*Tarif_JKN</f>
        <v>480000</v>
      </c>
      <c r="S28" s="19" t="n">
        <f aca="false">$M28*Tarif_THR</f>
        <v>2748900</v>
      </c>
      <c r="T28" s="44" t="n">
        <f aca="false">SUM($M28:$S28)</f>
        <v>37948826</v>
      </c>
      <c r="U28" s="34" t="n">
        <f aca="false">$T28/$K28</f>
        <v>1.26496086666667</v>
      </c>
      <c r="V28" s="18" t="n">
        <v>1</v>
      </c>
      <c r="W28" s="18" t="n">
        <v>1</v>
      </c>
      <c r="X28" s="18" t="n">
        <v>1</v>
      </c>
      <c r="Y28" s="45" t="n">
        <f aca="false">$T28*$V28</f>
        <v>37948826</v>
      </c>
      <c r="Z28" s="45" t="n">
        <f aca="false">$T28*$W28</f>
        <v>37948826</v>
      </c>
      <c r="AA28" s="45" t="n">
        <f aca="false">$T28*$X28</f>
        <v>37948826</v>
      </c>
      <c r="AC28" s="46" t="n">
        <f aca="false">IF($E28="Padang",INDEX('Pita Gaji'!$F$6:$F$28,MATCH($G28,'Pita Gaji'!$A$6:$A$28,0)),INDEX('Pita Gaji'!$C$6:$C$28,MATCH($G28,'Pita Gaji'!$A$6:$A$28,0)))</f>
        <v>30000000</v>
      </c>
      <c r="AD28" s="46" t="n">
        <f aca="false">IF($E28="Padang",INDEX('Pita Gaji'!$G$6:$G$28,MATCH($G28,'Pita Gaji'!$A$6:$A$28,0)),INDEX('Pita Gaji'!$D$6:$D$28,MATCH($G28,'Pita Gaji'!$A$6:$A$28,0)))</f>
        <v>42500000</v>
      </c>
      <c r="AE28" s="46" t="n">
        <f aca="false">IF($E28="Padang",INDEX('Pita Gaji'!$H$6:$H$28,MATCH($G28,'Pita Gaji'!$A$6:$A$28,0)),INDEX('Pita Gaji'!$E$6:$E$28,MATCH($G28,'Pita Gaji'!$A$6:$A$28,0)))</f>
        <v>55000000</v>
      </c>
      <c r="AF28" s="46" t="n">
        <f aca="false">IF(Pita_CLevel="P25",$AC28,IF(Pita_CLevel="P50",$AD28,$AE28))</f>
        <v>30000000</v>
      </c>
      <c r="AG28" s="46" t="n">
        <f aca="false">(IF($F28="C-Level",$AF28,$AC28)*(1+Tunjangan_Pct))*(1+IF($H28="Lapangan",Tarif_JKK_Lapangan,Tarif_JKK_Kantor)+Tarif_JKM+Tarif_JHT+Tarif_THR)+MIN((IF($F28="C-Level",$AF28,$AC28)*(1+Tunjangan_Pct)),Plafon_JP)*Tarif_JP+MIN(MAX((IF($F28="C-Level",$AF28,$AC28)*(1+Tunjangan_Pct)),IF($E28="Padang",UMP_Padang,UMK_Pekanbaru)),Plafon_JKN)*Tarif_JKN</f>
        <v>37948826</v>
      </c>
      <c r="AH28" s="46" t="n">
        <f aca="false">(IF($F28="C-Level",$AF28,$AD28)*(1+Tunjangan_Pct))*(1+IF($H28="Lapangan",Tarif_JKK_Lapangan,Tarif_JKK_Kantor)+Tarif_JKM+Tarif_JHT+Tarif_THR)+MIN((IF($F28="C-Level",$AF28,$AD28)*(1+Tunjangan_Pct)),Plafon_JP)*Tarif_JP+MIN(MAX((IF($F28="C-Level",$AF28,$AD28)*(1+Tunjangan_Pct)),IF($E28="Padang",UMP_Padang,UMK_Pekanbaru)),Plafon_JKN)*Tarif_JKN</f>
        <v>37948826</v>
      </c>
      <c r="AI28" s="46" t="n">
        <f aca="false">(IF($F28="C-Level",$AF28,$AE28)*(1+Tunjangan_Pct))*(1+IF($H28="Lapangan",Tarif_JKK_Lapangan,Tarif_JKK_Kantor)+Tarif_JKM+Tarif_JHT+Tarif_THR)+MIN((IF($F28="C-Level",$AF28,$AE28)*(1+Tunjangan_Pct)),Plafon_JP)*Tarif_JP+MIN(MAX((IF($F28="C-Level",$AF28,$AE28)*(1+Tunjangan_Pct)),IF($E28="Padang",UMP_Padang,UMK_Pekanbaru)),Plafon_JKN)*Tarif_JKN</f>
        <v>37948826</v>
      </c>
      <c r="AJ28" s="47" t="n">
        <f aca="false">$V28*MAX(0,MIN(3,4-$I28))+$W28*MAX(0,MIN(9,13-MAX($I28,4)))</f>
        <v>12</v>
      </c>
      <c r="AK28" s="47" t="n">
        <f aca="false">$AJ28+$X28*MAX(0,MIN(12,25-MAX($I28,13)))</f>
        <v>24</v>
      </c>
      <c r="AL28" s="48" t="str">
        <f aca="false">IF($M28&gt;=IF($E28="Padang",UMP_Padang,UMK_Pekanbaru),"OK","DI BAWAH UMK")</f>
        <v>OK</v>
      </c>
    </row>
    <row r="29" customFormat="false" ht="15" hidden="false" customHeight="false" outlineLevel="0" collapsed="false">
      <c r="A29" s="18" t="n">
        <v>4</v>
      </c>
      <c r="B29" s="11" t="s">
        <v>91</v>
      </c>
      <c r="C29" s="11" t="s">
        <v>94</v>
      </c>
      <c r="D29" s="18" t="s">
        <v>95</v>
      </c>
      <c r="E29" s="18" t="s">
        <v>85</v>
      </c>
      <c r="F29" s="18" t="s">
        <v>96</v>
      </c>
      <c r="G29" s="43" t="s">
        <v>94</v>
      </c>
      <c r="H29" s="18" t="s">
        <v>303</v>
      </c>
      <c r="I29" s="18" t="n">
        <v>4</v>
      </c>
      <c r="J29" s="18" t="str">
        <f aca="false">IF($F29="C-Level",Pita_CLevel,Pita_Aktif)</f>
        <v>P50</v>
      </c>
      <c r="K29" s="19" t="n">
        <f aca="false">IF($J29="P25",$AC29,IF($J29="P50",$AD29,$AE29))</f>
        <v>27500000</v>
      </c>
      <c r="L29" s="19" t="n">
        <f aca="false">$K29*Tunjangan_Pct</f>
        <v>2750000</v>
      </c>
      <c r="M29" s="19" t="n">
        <f aca="false">$K29+$L29</f>
        <v>30250000</v>
      </c>
      <c r="N29" s="19" t="n">
        <f aca="false">$M29*IF($H29="Lapangan",Tarif_JKK_Lapangan,Tarif_JKK_Kantor)</f>
        <v>163350</v>
      </c>
      <c r="O29" s="19" t="n">
        <f aca="false">$M29*Tarif_JKM</f>
        <v>90750</v>
      </c>
      <c r="P29" s="19" t="n">
        <f aca="false">$M29*Tarif_JHT</f>
        <v>1119250</v>
      </c>
      <c r="Q29" s="19" t="n">
        <f aca="false">MIN($M29,Plafon_JP)*Tarif_JP</f>
        <v>221726</v>
      </c>
      <c r="R29" s="19" t="n">
        <f aca="false">MIN(MAX($M29,IF($E29="Padang",UMP_Padang,UMK_Pekanbaru)),Plafon_JKN)*Tarif_JKN</f>
        <v>480000</v>
      </c>
      <c r="S29" s="19" t="n">
        <f aca="false">$M29*Tarif_THR</f>
        <v>2519825</v>
      </c>
      <c r="T29" s="44" t="n">
        <f aca="false">SUM($M29:$S29)</f>
        <v>34844901</v>
      </c>
      <c r="U29" s="34" t="n">
        <f aca="false">$T29/$K29</f>
        <v>1.26708730909091</v>
      </c>
      <c r="V29" s="18" t="n">
        <v>0</v>
      </c>
      <c r="W29" s="18" t="n">
        <v>1</v>
      </c>
      <c r="X29" s="18" t="n">
        <v>1</v>
      </c>
      <c r="Y29" s="45" t="n">
        <f aca="false">$T29*$V29</f>
        <v>0</v>
      </c>
      <c r="Z29" s="45" t="n">
        <f aca="false">$T29*$W29</f>
        <v>34844901</v>
      </c>
      <c r="AA29" s="45" t="n">
        <f aca="false">$T29*$X29</f>
        <v>34844901</v>
      </c>
      <c r="AC29" s="46" t="n">
        <f aca="false">IF($E29="Padang",INDEX('Pita Gaji'!$F$6:$F$28,MATCH($G29,'Pita Gaji'!$A$6:$A$28,0)),INDEX('Pita Gaji'!$C$6:$C$28,MATCH($G29,'Pita Gaji'!$A$6:$A$28,0)))</f>
        <v>20000000</v>
      </c>
      <c r="AD29" s="46" t="n">
        <f aca="false">IF($E29="Padang",INDEX('Pita Gaji'!$G$6:$G$28,MATCH($G29,'Pita Gaji'!$A$6:$A$28,0)),INDEX('Pita Gaji'!$D$6:$D$28,MATCH($G29,'Pita Gaji'!$A$6:$A$28,0)))</f>
        <v>27500000</v>
      </c>
      <c r="AE29" s="46" t="n">
        <f aca="false">IF($E29="Padang",INDEX('Pita Gaji'!$H$6:$H$28,MATCH($G29,'Pita Gaji'!$A$6:$A$28,0)),INDEX('Pita Gaji'!$E$6:$E$28,MATCH($G29,'Pita Gaji'!$A$6:$A$28,0)))</f>
        <v>35000000</v>
      </c>
      <c r="AF29" s="46" t="n">
        <f aca="false">IF(Pita_CLevel="P25",$AC29,IF(Pita_CLevel="P50",$AD29,$AE29))</f>
        <v>20000000</v>
      </c>
      <c r="AG29" s="46" t="n">
        <f aca="false">(IF($F29="C-Level",$AF29,$AC29)*(1+Tunjangan_Pct))*(1+IF($H29="Lapangan",Tarif_JKK_Lapangan,Tarif_JKK_Kantor)+Tarif_JKM+Tarif_JHT+Tarif_THR)+MIN((IF($F29="C-Level",$AF29,$AC29)*(1+Tunjangan_Pct)),Plafon_JP)*Tarif_JP+MIN(MAX((IF($F29="C-Level",$AF29,$AC29)*(1+Tunjangan_Pct)),IF($E29="Padang",UMP_Padang,UMK_Pekanbaru)),Plafon_JKN)*Tarif_JKN</f>
        <v>25533126</v>
      </c>
      <c r="AH29" s="46" t="n">
        <f aca="false">(IF($F29="C-Level",$AF29,$AD29)*(1+Tunjangan_Pct))*(1+IF($H29="Lapangan",Tarif_JKK_Lapangan,Tarif_JKK_Kantor)+Tarif_JKM+Tarif_JHT+Tarif_THR)+MIN((IF($F29="C-Level",$AF29,$AD29)*(1+Tunjangan_Pct)),Plafon_JP)*Tarif_JP+MIN(MAX((IF($F29="C-Level",$AF29,$AD29)*(1+Tunjangan_Pct)),IF($E29="Padang",UMP_Padang,UMK_Pekanbaru)),Plafon_JKN)*Tarif_JKN</f>
        <v>34844901</v>
      </c>
      <c r="AI29" s="46" t="n">
        <f aca="false">(IF($F29="C-Level",$AF29,$AE29)*(1+Tunjangan_Pct))*(1+IF($H29="Lapangan",Tarif_JKK_Lapangan,Tarif_JKK_Kantor)+Tarif_JKM+Tarif_JHT+Tarif_THR)+MIN((IF($F29="C-Level",$AF29,$AE29)*(1+Tunjangan_Pct)),Plafon_JP)*Tarif_JP+MIN(MAX((IF($F29="C-Level",$AF29,$AE29)*(1+Tunjangan_Pct)),IF($E29="Padang",UMP_Padang,UMK_Pekanbaru)),Plafon_JKN)*Tarif_JKN</f>
        <v>44156676</v>
      </c>
      <c r="AJ29" s="47" t="n">
        <f aca="false">$V29*MAX(0,MIN(3,4-$I29))+$W29*MAX(0,MIN(9,13-MAX($I29,4)))</f>
        <v>9</v>
      </c>
      <c r="AK29" s="47" t="n">
        <f aca="false">$AJ29+$X29*MAX(0,MIN(12,25-MAX($I29,13)))</f>
        <v>21</v>
      </c>
      <c r="AL29" s="48" t="str">
        <f aca="false">IF($M29&gt;=IF($E29="Padang",UMP_Padang,UMK_Pekanbaru),"OK","DI BAWAH UMK")</f>
        <v>OK</v>
      </c>
    </row>
    <row r="30" customFormat="false" ht="15" hidden="false" customHeight="false" outlineLevel="0" collapsed="false">
      <c r="A30" s="18" t="n">
        <v>5</v>
      </c>
      <c r="B30" s="11" t="s">
        <v>91</v>
      </c>
      <c r="C30" s="11" t="s">
        <v>98</v>
      </c>
      <c r="D30" s="18" t="s">
        <v>85</v>
      </c>
      <c r="E30" s="18" t="s">
        <v>85</v>
      </c>
      <c r="F30" s="18" t="s">
        <v>99</v>
      </c>
      <c r="G30" s="43" t="s">
        <v>199</v>
      </c>
      <c r="H30" s="18" t="s">
        <v>303</v>
      </c>
      <c r="I30" s="18" t="n">
        <v>1</v>
      </c>
      <c r="J30" s="18" t="str">
        <f aca="false">IF($F30="C-Level",Pita_CLevel,Pita_Aktif)</f>
        <v>P50</v>
      </c>
      <c r="K30" s="19" t="n">
        <f aca="false">IF($J30="P25",$AC30,IF($J30="P50",$AD30,$AE30))</f>
        <v>20000000</v>
      </c>
      <c r="L30" s="19" t="n">
        <f aca="false">$K30*Tunjangan_Pct</f>
        <v>2000000</v>
      </c>
      <c r="M30" s="19" t="n">
        <f aca="false">$K30+$L30</f>
        <v>22000000</v>
      </c>
      <c r="N30" s="19" t="n">
        <f aca="false">$M30*IF($H30="Lapangan",Tarif_JKK_Lapangan,Tarif_JKK_Kantor)</f>
        <v>118800</v>
      </c>
      <c r="O30" s="19" t="n">
        <f aca="false">$M30*Tarif_JKM</f>
        <v>66000</v>
      </c>
      <c r="P30" s="19" t="n">
        <f aca="false">$M30*Tarif_JHT</f>
        <v>814000</v>
      </c>
      <c r="Q30" s="19" t="n">
        <f aca="false">MIN($M30,Plafon_JP)*Tarif_JP</f>
        <v>221726</v>
      </c>
      <c r="R30" s="19" t="n">
        <f aca="false">MIN(MAX($M30,IF($E30="Padang",UMP_Padang,UMK_Pekanbaru)),Plafon_JKN)*Tarif_JKN</f>
        <v>480000</v>
      </c>
      <c r="S30" s="19" t="n">
        <f aca="false">$M30*Tarif_THR</f>
        <v>1832600</v>
      </c>
      <c r="T30" s="44" t="n">
        <f aca="false">SUM($M30:$S30)</f>
        <v>25533126</v>
      </c>
      <c r="U30" s="34" t="n">
        <f aca="false">$T30/$K30</f>
        <v>1.2766563</v>
      </c>
      <c r="V30" s="18" t="n">
        <v>1</v>
      </c>
      <c r="W30" s="18" t="n">
        <v>1</v>
      </c>
      <c r="X30" s="18" t="n">
        <v>1</v>
      </c>
      <c r="Y30" s="45" t="n">
        <f aca="false">$T30*$V30</f>
        <v>25533126</v>
      </c>
      <c r="Z30" s="45" t="n">
        <f aca="false">$T30*$W30</f>
        <v>25533126</v>
      </c>
      <c r="AA30" s="45" t="n">
        <f aca="false">$T30*$X30</f>
        <v>25533126</v>
      </c>
      <c r="AC30" s="46" t="n">
        <f aca="false">IF($E30="Padang",INDEX('Pita Gaji'!$F$6:$F$28,MATCH($G30,'Pita Gaji'!$A$6:$A$28,0)),INDEX('Pita Gaji'!$C$6:$C$28,MATCH($G30,'Pita Gaji'!$A$6:$A$28,0)))</f>
        <v>15000000</v>
      </c>
      <c r="AD30" s="46" t="n">
        <f aca="false">IF($E30="Padang",INDEX('Pita Gaji'!$G$6:$G$28,MATCH($G30,'Pita Gaji'!$A$6:$A$28,0)),INDEX('Pita Gaji'!$D$6:$D$28,MATCH($G30,'Pita Gaji'!$A$6:$A$28,0)))</f>
        <v>20000000</v>
      </c>
      <c r="AE30" s="46" t="n">
        <f aca="false">IF($E30="Padang",INDEX('Pita Gaji'!$H$6:$H$28,MATCH($G30,'Pita Gaji'!$A$6:$A$28,0)),INDEX('Pita Gaji'!$E$6:$E$28,MATCH($G30,'Pita Gaji'!$A$6:$A$28,0)))</f>
        <v>25000000</v>
      </c>
      <c r="AF30" s="46" t="n">
        <f aca="false">IF(Pita_CLevel="P25",$AC30,IF(Pita_CLevel="P50",$AD30,$AE30))</f>
        <v>15000000</v>
      </c>
      <c r="AG30" s="46" t="n">
        <f aca="false">(IF($F30="C-Level",$AF30,$AC30)*(1+Tunjangan_Pct))*(1+IF($H30="Lapangan",Tarif_JKK_Lapangan,Tarif_JKK_Kantor)+Tarif_JKM+Tarif_JHT+Tarif_THR)+MIN((IF($F30="C-Level",$AF30,$AC30)*(1+Tunjangan_Pct)),Plafon_JP)*Tarif_JP+MIN(MAX((IF($F30="C-Level",$AF30,$AC30)*(1+Tunjangan_Pct)),IF($E30="Padang",UMP_Padang,UMK_Pekanbaru)),Plafon_JKN)*Tarif_JKN</f>
        <v>19325276</v>
      </c>
      <c r="AH30" s="46" t="n">
        <f aca="false">(IF($F30="C-Level",$AF30,$AD30)*(1+Tunjangan_Pct))*(1+IF($H30="Lapangan",Tarif_JKK_Lapangan,Tarif_JKK_Kantor)+Tarif_JKM+Tarif_JHT+Tarif_THR)+MIN((IF($F30="C-Level",$AF30,$AD30)*(1+Tunjangan_Pct)),Plafon_JP)*Tarif_JP+MIN(MAX((IF($F30="C-Level",$AF30,$AD30)*(1+Tunjangan_Pct)),IF($E30="Padang",UMP_Padang,UMK_Pekanbaru)),Plafon_JKN)*Tarif_JKN</f>
        <v>25533126</v>
      </c>
      <c r="AI30" s="46" t="n">
        <f aca="false">(IF($F30="C-Level",$AF30,$AE30)*(1+Tunjangan_Pct))*(1+IF($H30="Lapangan",Tarif_JKK_Lapangan,Tarif_JKK_Kantor)+Tarif_JKM+Tarif_JHT+Tarif_THR)+MIN((IF($F30="C-Level",$AF30,$AE30)*(1+Tunjangan_Pct)),Plafon_JP)*Tarif_JP+MIN(MAX((IF($F30="C-Level",$AF30,$AE30)*(1+Tunjangan_Pct)),IF($E30="Padang",UMP_Padang,UMK_Pekanbaru)),Plafon_JKN)*Tarif_JKN</f>
        <v>31740976</v>
      </c>
      <c r="AJ30" s="47" t="n">
        <f aca="false">$V30*MAX(0,MIN(3,4-$I30))+$W30*MAX(0,MIN(9,13-MAX($I30,4)))</f>
        <v>12</v>
      </c>
      <c r="AK30" s="47" t="n">
        <f aca="false">$AJ30+$X30*MAX(0,MIN(12,25-MAX($I30,13)))</f>
        <v>24</v>
      </c>
      <c r="AL30" s="48" t="str">
        <f aca="false">IF($M30&gt;=IF($E30="Padang",UMP_Padang,UMK_Pekanbaru),"OK","DI BAWAH UMK")</f>
        <v>OK</v>
      </c>
    </row>
    <row r="31" customFormat="false" ht="15" hidden="false" customHeight="false" outlineLevel="0" collapsed="false">
      <c r="A31" s="18" t="n">
        <v>6</v>
      </c>
      <c r="B31" s="11" t="s">
        <v>91</v>
      </c>
      <c r="C31" s="11" t="s">
        <v>101</v>
      </c>
      <c r="D31" s="18" t="s">
        <v>95</v>
      </c>
      <c r="E31" s="18" t="s">
        <v>85</v>
      </c>
      <c r="F31" s="18" t="s">
        <v>102</v>
      </c>
      <c r="G31" s="43" t="s">
        <v>201</v>
      </c>
      <c r="H31" s="18" t="s">
        <v>303</v>
      </c>
      <c r="I31" s="18" t="n">
        <v>5</v>
      </c>
      <c r="J31" s="18" t="str">
        <f aca="false">IF($F31="C-Level",Pita_CLevel,Pita_Aktif)</f>
        <v>P50</v>
      </c>
      <c r="K31" s="19" t="n">
        <f aca="false">IF($J31="P25",$AC31,IF($J31="P50",$AD31,$AE31))</f>
        <v>12000000</v>
      </c>
      <c r="L31" s="19" t="n">
        <f aca="false">$K31*Tunjangan_Pct</f>
        <v>1200000</v>
      </c>
      <c r="M31" s="19" t="n">
        <f aca="false">$K31+$L31</f>
        <v>13200000</v>
      </c>
      <c r="N31" s="19" t="n">
        <f aca="false">$M31*IF($H31="Lapangan",Tarif_JKK_Lapangan,Tarif_JKK_Kantor)</f>
        <v>71280</v>
      </c>
      <c r="O31" s="19" t="n">
        <f aca="false">$M31*Tarif_JKM</f>
        <v>39600</v>
      </c>
      <c r="P31" s="19" t="n">
        <f aca="false">$M31*Tarif_JHT</f>
        <v>488400</v>
      </c>
      <c r="Q31" s="19" t="n">
        <f aca="false">MIN($M31,Plafon_JP)*Tarif_JP</f>
        <v>221726</v>
      </c>
      <c r="R31" s="19" t="n">
        <f aca="false">MIN(MAX($M31,IF($E31="Padang",UMP_Padang,UMK_Pekanbaru)),Plafon_JKN)*Tarif_JKN</f>
        <v>480000</v>
      </c>
      <c r="S31" s="19" t="n">
        <f aca="false">$M31*Tarif_THR</f>
        <v>1099560</v>
      </c>
      <c r="T31" s="44" t="n">
        <f aca="false">SUM($M31:$S31)</f>
        <v>15600566</v>
      </c>
      <c r="U31" s="34" t="n">
        <f aca="false">$T31/$K31</f>
        <v>1.30004716666667</v>
      </c>
      <c r="V31" s="18" t="n">
        <v>0</v>
      </c>
      <c r="W31" s="18" t="n">
        <v>1</v>
      </c>
      <c r="X31" s="18" t="n">
        <v>1</v>
      </c>
      <c r="Y31" s="45" t="n">
        <f aca="false">$T31*$V31</f>
        <v>0</v>
      </c>
      <c r="Z31" s="45" t="n">
        <f aca="false">$T31*$W31</f>
        <v>15600566</v>
      </c>
      <c r="AA31" s="45" t="n">
        <f aca="false">$T31*$X31</f>
        <v>15600566</v>
      </c>
      <c r="AC31" s="46" t="n">
        <f aca="false">IF($E31="Padang",INDEX('Pita Gaji'!$F$6:$F$28,MATCH($G31,'Pita Gaji'!$A$6:$A$28,0)),INDEX('Pita Gaji'!$C$6:$C$28,MATCH($G31,'Pita Gaji'!$A$6:$A$28,0)))</f>
        <v>9000000</v>
      </c>
      <c r="AD31" s="46" t="n">
        <f aca="false">IF($E31="Padang",INDEX('Pita Gaji'!$G$6:$G$28,MATCH($G31,'Pita Gaji'!$A$6:$A$28,0)),INDEX('Pita Gaji'!$D$6:$D$28,MATCH($G31,'Pita Gaji'!$A$6:$A$28,0)))</f>
        <v>12000000</v>
      </c>
      <c r="AE31" s="46" t="n">
        <f aca="false">IF($E31="Padang",INDEX('Pita Gaji'!$H$6:$H$28,MATCH($G31,'Pita Gaji'!$A$6:$A$28,0)),INDEX('Pita Gaji'!$E$6:$E$28,MATCH($G31,'Pita Gaji'!$A$6:$A$28,0)))</f>
        <v>15000000</v>
      </c>
      <c r="AF31" s="46" t="n">
        <f aca="false">IF(Pita_CLevel="P25",$AC31,IF(Pita_CLevel="P50",$AD31,$AE31))</f>
        <v>9000000</v>
      </c>
      <c r="AG31" s="46" t="n">
        <f aca="false">(IF($F31="C-Level",$AF31,$AC31)*(1+Tunjangan_Pct))*(1+IF($H31="Lapangan",Tarif_JKK_Lapangan,Tarif_JKK_Kantor)+Tarif_JKM+Tarif_JHT+Tarif_THR)+MIN((IF($F31="C-Level",$AF31,$AC31)*(1+Tunjangan_Pct)),Plafon_JP)*Tarif_JP+MIN(MAX((IF($F31="C-Level",$AF31,$AC31)*(1+Tunjangan_Pct)),IF($E31="Padang",UMP_Padang,UMK_Pekanbaru)),Plafon_JKN)*Tarif_JKN</f>
        <v>11768130</v>
      </c>
      <c r="AH31" s="46" t="n">
        <f aca="false">(IF($F31="C-Level",$AF31,$AD31)*(1+Tunjangan_Pct))*(1+IF($H31="Lapangan",Tarif_JKK_Lapangan,Tarif_JKK_Kantor)+Tarif_JKM+Tarif_JHT+Tarif_THR)+MIN((IF($F31="C-Level",$AF31,$AD31)*(1+Tunjangan_Pct)),Plafon_JP)*Tarif_JP+MIN(MAX((IF($F31="C-Level",$AF31,$AD31)*(1+Tunjangan_Pct)),IF($E31="Padang",UMP_Padang,UMK_Pekanbaru)),Plafon_JKN)*Tarif_JKN</f>
        <v>15600566</v>
      </c>
      <c r="AI31" s="46" t="n">
        <f aca="false">(IF($F31="C-Level",$AF31,$AE31)*(1+Tunjangan_Pct))*(1+IF($H31="Lapangan",Tarif_JKK_Lapangan,Tarif_JKK_Kantor)+Tarif_JKM+Tarif_JHT+Tarif_THR)+MIN((IF($F31="C-Level",$AF31,$AE31)*(1+Tunjangan_Pct)),Plafon_JP)*Tarif_JP+MIN(MAX((IF($F31="C-Level",$AF31,$AE31)*(1+Tunjangan_Pct)),IF($E31="Padang",UMP_Padang,UMK_Pekanbaru)),Plafon_JKN)*Tarif_JKN</f>
        <v>19325276</v>
      </c>
      <c r="AJ31" s="47" t="n">
        <f aca="false">$V31*MAX(0,MIN(3,4-$I31))+$W31*MAX(0,MIN(9,13-MAX($I31,4)))</f>
        <v>8</v>
      </c>
      <c r="AK31" s="47" t="n">
        <f aca="false">$AJ31+$X31*MAX(0,MIN(12,25-MAX($I31,13)))</f>
        <v>20</v>
      </c>
      <c r="AL31" s="48" t="str">
        <f aca="false">IF($M31&gt;=IF($E31="Padang",UMP_Padang,UMK_Pekanbaru),"OK","DI BAWAH UMK")</f>
        <v>OK</v>
      </c>
    </row>
    <row r="32" customFormat="false" ht="15" hidden="false" customHeight="false" outlineLevel="0" collapsed="false">
      <c r="A32" s="18" t="n">
        <v>7</v>
      </c>
      <c r="B32" s="11" t="s">
        <v>91</v>
      </c>
      <c r="C32" s="11" t="s">
        <v>103</v>
      </c>
      <c r="D32" s="18" t="s">
        <v>95</v>
      </c>
      <c r="E32" s="18" t="s">
        <v>85</v>
      </c>
      <c r="F32" s="18" t="s">
        <v>102</v>
      </c>
      <c r="G32" s="43" t="s">
        <v>201</v>
      </c>
      <c r="H32" s="18" t="s">
        <v>303</v>
      </c>
      <c r="I32" s="18" t="n">
        <v>14</v>
      </c>
      <c r="J32" s="18" t="str">
        <f aca="false">IF($F32="C-Level",Pita_CLevel,Pita_Aktif)</f>
        <v>P50</v>
      </c>
      <c r="K32" s="19" t="n">
        <f aca="false">IF($J32="P25",$AC32,IF($J32="P50",$AD32,$AE32))</f>
        <v>12000000</v>
      </c>
      <c r="L32" s="19" t="n">
        <f aca="false">$K32*Tunjangan_Pct</f>
        <v>1200000</v>
      </c>
      <c r="M32" s="19" t="n">
        <f aca="false">$K32+$L32</f>
        <v>13200000</v>
      </c>
      <c r="N32" s="19" t="n">
        <f aca="false">$M32*IF($H32="Lapangan",Tarif_JKK_Lapangan,Tarif_JKK_Kantor)</f>
        <v>71280</v>
      </c>
      <c r="O32" s="19" t="n">
        <f aca="false">$M32*Tarif_JKM</f>
        <v>39600</v>
      </c>
      <c r="P32" s="19" t="n">
        <f aca="false">$M32*Tarif_JHT</f>
        <v>488400</v>
      </c>
      <c r="Q32" s="19" t="n">
        <f aca="false">MIN($M32,Plafon_JP)*Tarif_JP</f>
        <v>221726</v>
      </c>
      <c r="R32" s="19" t="n">
        <f aca="false">MIN(MAX($M32,IF($E32="Padang",UMP_Padang,UMK_Pekanbaru)),Plafon_JKN)*Tarif_JKN</f>
        <v>480000</v>
      </c>
      <c r="S32" s="19" t="n">
        <f aca="false">$M32*Tarif_THR</f>
        <v>1099560</v>
      </c>
      <c r="T32" s="44" t="n">
        <f aca="false">SUM($M32:$S32)</f>
        <v>15600566</v>
      </c>
      <c r="U32" s="34" t="n">
        <f aca="false">$T32/$K32</f>
        <v>1.30004716666667</v>
      </c>
      <c r="V32" s="18" t="n">
        <v>0</v>
      </c>
      <c r="W32" s="18" t="n">
        <v>0</v>
      </c>
      <c r="X32" s="18" t="n">
        <v>1</v>
      </c>
      <c r="Y32" s="45" t="n">
        <f aca="false">$T32*$V32</f>
        <v>0</v>
      </c>
      <c r="Z32" s="45" t="n">
        <f aca="false">$T32*$W32</f>
        <v>0</v>
      </c>
      <c r="AA32" s="45" t="n">
        <f aca="false">$T32*$X32</f>
        <v>15600566</v>
      </c>
      <c r="AC32" s="46" t="n">
        <f aca="false">IF($E32="Padang",INDEX('Pita Gaji'!$F$6:$F$28,MATCH($G32,'Pita Gaji'!$A$6:$A$28,0)),INDEX('Pita Gaji'!$C$6:$C$28,MATCH($G32,'Pita Gaji'!$A$6:$A$28,0)))</f>
        <v>9000000</v>
      </c>
      <c r="AD32" s="46" t="n">
        <f aca="false">IF($E32="Padang",INDEX('Pita Gaji'!$G$6:$G$28,MATCH($G32,'Pita Gaji'!$A$6:$A$28,0)),INDEX('Pita Gaji'!$D$6:$D$28,MATCH($G32,'Pita Gaji'!$A$6:$A$28,0)))</f>
        <v>12000000</v>
      </c>
      <c r="AE32" s="46" t="n">
        <f aca="false">IF($E32="Padang",INDEX('Pita Gaji'!$H$6:$H$28,MATCH($G32,'Pita Gaji'!$A$6:$A$28,0)),INDEX('Pita Gaji'!$E$6:$E$28,MATCH($G32,'Pita Gaji'!$A$6:$A$28,0)))</f>
        <v>15000000</v>
      </c>
      <c r="AF32" s="46" t="n">
        <f aca="false">IF(Pita_CLevel="P25",$AC32,IF(Pita_CLevel="P50",$AD32,$AE32))</f>
        <v>9000000</v>
      </c>
      <c r="AG32" s="46" t="n">
        <f aca="false">(IF($F32="C-Level",$AF32,$AC32)*(1+Tunjangan_Pct))*(1+IF($H32="Lapangan",Tarif_JKK_Lapangan,Tarif_JKK_Kantor)+Tarif_JKM+Tarif_JHT+Tarif_THR)+MIN((IF($F32="C-Level",$AF32,$AC32)*(1+Tunjangan_Pct)),Plafon_JP)*Tarif_JP+MIN(MAX((IF($F32="C-Level",$AF32,$AC32)*(1+Tunjangan_Pct)),IF($E32="Padang",UMP_Padang,UMK_Pekanbaru)),Plafon_JKN)*Tarif_JKN</f>
        <v>11768130</v>
      </c>
      <c r="AH32" s="46" t="n">
        <f aca="false">(IF($F32="C-Level",$AF32,$AD32)*(1+Tunjangan_Pct))*(1+IF($H32="Lapangan",Tarif_JKK_Lapangan,Tarif_JKK_Kantor)+Tarif_JKM+Tarif_JHT+Tarif_THR)+MIN((IF($F32="C-Level",$AF32,$AD32)*(1+Tunjangan_Pct)),Plafon_JP)*Tarif_JP+MIN(MAX((IF($F32="C-Level",$AF32,$AD32)*(1+Tunjangan_Pct)),IF($E32="Padang",UMP_Padang,UMK_Pekanbaru)),Plafon_JKN)*Tarif_JKN</f>
        <v>15600566</v>
      </c>
      <c r="AI32" s="46" t="n">
        <f aca="false">(IF($F32="C-Level",$AF32,$AE32)*(1+Tunjangan_Pct))*(1+IF($H32="Lapangan",Tarif_JKK_Lapangan,Tarif_JKK_Kantor)+Tarif_JKM+Tarif_JHT+Tarif_THR)+MIN((IF($F32="C-Level",$AF32,$AE32)*(1+Tunjangan_Pct)),Plafon_JP)*Tarif_JP+MIN(MAX((IF($F32="C-Level",$AF32,$AE32)*(1+Tunjangan_Pct)),IF($E32="Padang",UMP_Padang,UMK_Pekanbaru)),Plafon_JKN)*Tarif_JKN</f>
        <v>19325276</v>
      </c>
      <c r="AJ32" s="47" t="n">
        <f aca="false">$V32*MAX(0,MIN(3,4-$I32))+$W32*MAX(0,MIN(9,13-MAX($I32,4)))</f>
        <v>0</v>
      </c>
      <c r="AK32" s="47" t="n">
        <f aca="false">$AJ32+$X32*MAX(0,MIN(12,25-MAX($I32,13)))</f>
        <v>11</v>
      </c>
      <c r="AL32" s="48" t="str">
        <f aca="false">IF($M32&gt;=IF($E32="Padang",UMP_Padang,UMK_Pekanbaru),"OK","DI BAWAH UMK")</f>
        <v>OK</v>
      </c>
    </row>
    <row r="33" customFormat="false" ht="15" hidden="false" customHeight="false" outlineLevel="0" collapsed="false">
      <c r="A33" s="18" t="n">
        <v>8</v>
      </c>
      <c r="B33" s="11" t="s">
        <v>91</v>
      </c>
      <c r="C33" s="11" t="s">
        <v>105</v>
      </c>
      <c r="D33" s="18" t="s">
        <v>85</v>
      </c>
      <c r="E33" s="18" t="s">
        <v>85</v>
      </c>
      <c r="F33" s="18" t="s">
        <v>99</v>
      </c>
      <c r="G33" s="43" t="s">
        <v>199</v>
      </c>
      <c r="H33" s="18" t="s">
        <v>303</v>
      </c>
      <c r="I33" s="18" t="n">
        <v>1</v>
      </c>
      <c r="J33" s="18" t="str">
        <f aca="false">IF($F33="C-Level",Pita_CLevel,Pita_Aktif)</f>
        <v>P50</v>
      </c>
      <c r="K33" s="19" t="n">
        <f aca="false">IF($J33="P25",$AC33,IF($J33="P50",$AD33,$AE33))</f>
        <v>20000000</v>
      </c>
      <c r="L33" s="19" t="n">
        <f aca="false">$K33*Tunjangan_Pct</f>
        <v>2000000</v>
      </c>
      <c r="M33" s="19" t="n">
        <f aca="false">$K33+$L33</f>
        <v>22000000</v>
      </c>
      <c r="N33" s="19" t="n">
        <f aca="false">$M33*IF($H33="Lapangan",Tarif_JKK_Lapangan,Tarif_JKK_Kantor)</f>
        <v>118800</v>
      </c>
      <c r="O33" s="19" t="n">
        <f aca="false">$M33*Tarif_JKM</f>
        <v>66000</v>
      </c>
      <c r="P33" s="19" t="n">
        <f aca="false">$M33*Tarif_JHT</f>
        <v>814000</v>
      </c>
      <c r="Q33" s="19" t="n">
        <f aca="false">MIN($M33,Plafon_JP)*Tarif_JP</f>
        <v>221726</v>
      </c>
      <c r="R33" s="19" t="n">
        <f aca="false">MIN(MAX($M33,IF($E33="Padang",UMP_Padang,UMK_Pekanbaru)),Plafon_JKN)*Tarif_JKN</f>
        <v>480000</v>
      </c>
      <c r="S33" s="19" t="n">
        <f aca="false">$M33*Tarif_THR</f>
        <v>1832600</v>
      </c>
      <c r="T33" s="44" t="n">
        <f aca="false">SUM($M33:$S33)</f>
        <v>25533126</v>
      </c>
      <c r="U33" s="34" t="n">
        <f aca="false">$T33/$K33</f>
        <v>1.2766563</v>
      </c>
      <c r="V33" s="18" t="n">
        <v>1</v>
      </c>
      <c r="W33" s="18" t="n">
        <v>1</v>
      </c>
      <c r="X33" s="18" t="n">
        <v>1</v>
      </c>
      <c r="Y33" s="45" t="n">
        <f aca="false">$T33*$V33</f>
        <v>25533126</v>
      </c>
      <c r="Z33" s="45" t="n">
        <f aca="false">$T33*$W33</f>
        <v>25533126</v>
      </c>
      <c r="AA33" s="45" t="n">
        <f aca="false">$T33*$X33</f>
        <v>25533126</v>
      </c>
      <c r="AC33" s="46" t="n">
        <f aca="false">IF($E33="Padang",INDEX('Pita Gaji'!$F$6:$F$28,MATCH($G33,'Pita Gaji'!$A$6:$A$28,0)),INDEX('Pita Gaji'!$C$6:$C$28,MATCH($G33,'Pita Gaji'!$A$6:$A$28,0)))</f>
        <v>15000000</v>
      </c>
      <c r="AD33" s="46" t="n">
        <f aca="false">IF($E33="Padang",INDEX('Pita Gaji'!$G$6:$G$28,MATCH($G33,'Pita Gaji'!$A$6:$A$28,0)),INDEX('Pita Gaji'!$D$6:$D$28,MATCH($G33,'Pita Gaji'!$A$6:$A$28,0)))</f>
        <v>20000000</v>
      </c>
      <c r="AE33" s="46" t="n">
        <f aca="false">IF($E33="Padang",INDEX('Pita Gaji'!$H$6:$H$28,MATCH($G33,'Pita Gaji'!$A$6:$A$28,0)),INDEX('Pita Gaji'!$E$6:$E$28,MATCH($G33,'Pita Gaji'!$A$6:$A$28,0)))</f>
        <v>25000000</v>
      </c>
      <c r="AF33" s="46" t="n">
        <f aca="false">IF(Pita_CLevel="P25",$AC33,IF(Pita_CLevel="P50",$AD33,$AE33))</f>
        <v>15000000</v>
      </c>
      <c r="AG33" s="46" t="n">
        <f aca="false">(IF($F33="C-Level",$AF33,$AC33)*(1+Tunjangan_Pct))*(1+IF($H33="Lapangan",Tarif_JKK_Lapangan,Tarif_JKK_Kantor)+Tarif_JKM+Tarif_JHT+Tarif_THR)+MIN((IF($F33="C-Level",$AF33,$AC33)*(1+Tunjangan_Pct)),Plafon_JP)*Tarif_JP+MIN(MAX((IF($F33="C-Level",$AF33,$AC33)*(1+Tunjangan_Pct)),IF($E33="Padang",UMP_Padang,UMK_Pekanbaru)),Plafon_JKN)*Tarif_JKN</f>
        <v>19325276</v>
      </c>
      <c r="AH33" s="46" t="n">
        <f aca="false">(IF($F33="C-Level",$AF33,$AD33)*(1+Tunjangan_Pct))*(1+IF($H33="Lapangan",Tarif_JKK_Lapangan,Tarif_JKK_Kantor)+Tarif_JKM+Tarif_JHT+Tarif_THR)+MIN((IF($F33="C-Level",$AF33,$AD33)*(1+Tunjangan_Pct)),Plafon_JP)*Tarif_JP+MIN(MAX((IF($F33="C-Level",$AF33,$AD33)*(1+Tunjangan_Pct)),IF($E33="Padang",UMP_Padang,UMK_Pekanbaru)),Plafon_JKN)*Tarif_JKN</f>
        <v>25533126</v>
      </c>
      <c r="AI33" s="46" t="n">
        <f aca="false">(IF($F33="C-Level",$AF33,$AE33)*(1+Tunjangan_Pct))*(1+IF($H33="Lapangan",Tarif_JKK_Lapangan,Tarif_JKK_Kantor)+Tarif_JKM+Tarif_JHT+Tarif_THR)+MIN((IF($F33="C-Level",$AF33,$AE33)*(1+Tunjangan_Pct)),Plafon_JP)*Tarif_JP+MIN(MAX((IF($F33="C-Level",$AF33,$AE33)*(1+Tunjangan_Pct)),IF($E33="Padang",UMP_Padang,UMK_Pekanbaru)),Plafon_JKN)*Tarif_JKN</f>
        <v>31740976</v>
      </c>
      <c r="AJ33" s="47" t="n">
        <f aca="false">$V33*MAX(0,MIN(3,4-$I33))+$W33*MAX(0,MIN(9,13-MAX($I33,4)))</f>
        <v>12</v>
      </c>
      <c r="AK33" s="47" t="n">
        <f aca="false">$AJ33+$X33*MAX(0,MIN(12,25-MAX($I33,13)))</f>
        <v>24</v>
      </c>
      <c r="AL33" s="48" t="str">
        <f aca="false">IF($M33&gt;=IF($E33="Padang",UMP_Padang,UMK_Pekanbaru),"OK","DI BAWAH UMK")</f>
        <v>OK</v>
      </c>
    </row>
    <row r="34" customFormat="false" ht="15" hidden="false" customHeight="false" outlineLevel="0" collapsed="false">
      <c r="A34" s="18" t="n">
        <v>9</v>
      </c>
      <c r="B34" s="11" t="s">
        <v>91</v>
      </c>
      <c r="C34" s="11" t="s">
        <v>107</v>
      </c>
      <c r="D34" s="18" t="s">
        <v>95</v>
      </c>
      <c r="E34" s="18" t="s">
        <v>85</v>
      </c>
      <c r="F34" s="18" t="s">
        <v>99</v>
      </c>
      <c r="G34" s="43" t="s">
        <v>199</v>
      </c>
      <c r="H34" s="18" t="s">
        <v>303</v>
      </c>
      <c r="I34" s="18" t="n">
        <v>19</v>
      </c>
      <c r="J34" s="18" t="str">
        <f aca="false">IF($F34="C-Level",Pita_CLevel,Pita_Aktif)</f>
        <v>P50</v>
      </c>
      <c r="K34" s="19" t="n">
        <f aca="false">IF($J34="P25",$AC34,IF($J34="P50",$AD34,$AE34))</f>
        <v>20000000</v>
      </c>
      <c r="L34" s="19" t="n">
        <f aca="false">$K34*Tunjangan_Pct</f>
        <v>2000000</v>
      </c>
      <c r="M34" s="19" t="n">
        <f aca="false">$K34+$L34</f>
        <v>22000000</v>
      </c>
      <c r="N34" s="19" t="n">
        <f aca="false">$M34*IF($H34="Lapangan",Tarif_JKK_Lapangan,Tarif_JKK_Kantor)</f>
        <v>118800</v>
      </c>
      <c r="O34" s="19" t="n">
        <f aca="false">$M34*Tarif_JKM</f>
        <v>66000</v>
      </c>
      <c r="P34" s="19" t="n">
        <f aca="false">$M34*Tarif_JHT</f>
        <v>814000</v>
      </c>
      <c r="Q34" s="19" t="n">
        <f aca="false">MIN($M34,Plafon_JP)*Tarif_JP</f>
        <v>221726</v>
      </c>
      <c r="R34" s="19" t="n">
        <f aca="false">MIN(MAX($M34,IF($E34="Padang",UMP_Padang,UMK_Pekanbaru)),Plafon_JKN)*Tarif_JKN</f>
        <v>480000</v>
      </c>
      <c r="S34" s="19" t="n">
        <f aca="false">$M34*Tarif_THR</f>
        <v>1832600</v>
      </c>
      <c r="T34" s="44" t="n">
        <f aca="false">SUM($M34:$S34)</f>
        <v>25533126</v>
      </c>
      <c r="U34" s="34" t="n">
        <f aca="false">$T34/$K34</f>
        <v>1.2766563</v>
      </c>
      <c r="V34" s="18" t="n">
        <v>0</v>
      </c>
      <c r="W34" s="18" t="n">
        <v>0</v>
      </c>
      <c r="X34" s="18" t="n">
        <v>1</v>
      </c>
      <c r="Y34" s="45" t="n">
        <f aca="false">$T34*$V34</f>
        <v>0</v>
      </c>
      <c r="Z34" s="45" t="n">
        <f aca="false">$T34*$W34</f>
        <v>0</v>
      </c>
      <c r="AA34" s="45" t="n">
        <f aca="false">$T34*$X34</f>
        <v>25533126</v>
      </c>
      <c r="AC34" s="46" t="n">
        <f aca="false">IF($E34="Padang",INDEX('Pita Gaji'!$F$6:$F$28,MATCH($G34,'Pita Gaji'!$A$6:$A$28,0)),INDEX('Pita Gaji'!$C$6:$C$28,MATCH($G34,'Pita Gaji'!$A$6:$A$28,0)))</f>
        <v>15000000</v>
      </c>
      <c r="AD34" s="46" t="n">
        <f aca="false">IF($E34="Padang",INDEX('Pita Gaji'!$G$6:$G$28,MATCH($G34,'Pita Gaji'!$A$6:$A$28,0)),INDEX('Pita Gaji'!$D$6:$D$28,MATCH($G34,'Pita Gaji'!$A$6:$A$28,0)))</f>
        <v>20000000</v>
      </c>
      <c r="AE34" s="46" t="n">
        <f aca="false">IF($E34="Padang",INDEX('Pita Gaji'!$H$6:$H$28,MATCH($G34,'Pita Gaji'!$A$6:$A$28,0)),INDEX('Pita Gaji'!$E$6:$E$28,MATCH($G34,'Pita Gaji'!$A$6:$A$28,0)))</f>
        <v>25000000</v>
      </c>
      <c r="AF34" s="46" t="n">
        <f aca="false">IF(Pita_CLevel="P25",$AC34,IF(Pita_CLevel="P50",$AD34,$AE34))</f>
        <v>15000000</v>
      </c>
      <c r="AG34" s="46" t="n">
        <f aca="false">(IF($F34="C-Level",$AF34,$AC34)*(1+Tunjangan_Pct))*(1+IF($H34="Lapangan",Tarif_JKK_Lapangan,Tarif_JKK_Kantor)+Tarif_JKM+Tarif_JHT+Tarif_THR)+MIN((IF($F34="C-Level",$AF34,$AC34)*(1+Tunjangan_Pct)),Plafon_JP)*Tarif_JP+MIN(MAX((IF($F34="C-Level",$AF34,$AC34)*(1+Tunjangan_Pct)),IF($E34="Padang",UMP_Padang,UMK_Pekanbaru)),Plafon_JKN)*Tarif_JKN</f>
        <v>19325276</v>
      </c>
      <c r="AH34" s="46" t="n">
        <f aca="false">(IF($F34="C-Level",$AF34,$AD34)*(1+Tunjangan_Pct))*(1+IF($H34="Lapangan",Tarif_JKK_Lapangan,Tarif_JKK_Kantor)+Tarif_JKM+Tarif_JHT+Tarif_THR)+MIN((IF($F34="C-Level",$AF34,$AD34)*(1+Tunjangan_Pct)),Plafon_JP)*Tarif_JP+MIN(MAX((IF($F34="C-Level",$AF34,$AD34)*(1+Tunjangan_Pct)),IF($E34="Padang",UMP_Padang,UMK_Pekanbaru)),Plafon_JKN)*Tarif_JKN</f>
        <v>25533126</v>
      </c>
      <c r="AI34" s="46" t="n">
        <f aca="false">(IF($F34="C-Level",$AF34,$AE34)*(1+Tunjangan_Pct))*(1+IF($H34="Lapangan",Tarif_JKK_Lapangan,Tarif_JKK_Kantor)+Tarif_JKM+Tarif_JHT+Tarif_THR)+MIN((IF($F34="C-Level",$AF34,$AE34)*(1+Tunjangan_Pct)),Plafon_JP)*Tarif_JP+MIN(MAX((IF($F34="C-Level",$AF34,$AE34)*(1+Tunjangan_Pct)),IF($E34="Padang",UMP_Padang,UMK_Pekanbaru)),Plafon_JKN)*Tarif_JKN</f>
        <v>31740976</v>
      </c>
      <c r="AJ34" s="47" t="n">
        <f aca="false">$V34*MAX(0,MIN(3,4-$I34))+$W34*MAX(0,MIN(9,13-MAX($I34,4)))</f>
        <v>0</v>
      </c>
      <c r="AK34" s="47" t="n">
        <f aca="false">$AJ34+$X34*MAX(0,MIN(12,25-MAX($I34,13)))</f>
        <v>6</v>
      </c>
      <c r="AL34" s="48" t="str">
        <f aca="false">IF($M34&gt;=IF($E34="Padang",UMP_Padang,UMK_Pekanbaru),"OK","DI BAWAH UMK")</f>
        <v>OK</v>
      </c>
    </row>
    <row r="35" customFormat="false" ht="15" hidden="false" customHeight="false" outlineLevel="0" collapsed="false">
      <c r="A35" s="18" t="n">
        <v>10</v>
      </c>
      <c r="B35" s="11" t="s">
        <v>91</v>
      </c>
      <c r="C35" s="11" t="s">
        <v>108</v>
      </c>
      <c r="D35" s="18" t="s">
        <v>95</v>
      </c>
      <c r="E35" s="18" t="s">
        <v>85</v>
      </c>
      <c r="F35" s="18" t="s">
        <v>102</v>
      </c>
      <c r="G35" s="43" t="s">
        <v>201</v>
      </c>
      <c r="H35" s="18" t="s">
        <v>303</v>
      </c>
      <c r="I35" s="18" t="n">
        <v>4</v>
      </c>
      <c r="J35" s="18" t="str">
        <f aca="false">IF($F35="C-Level",Pita_CLevel,Pita_Aktif)</f>
        <v>P50</v>
      </c>
      <c r="K35" s="19" t="n">
        <f aca="false">IF($J35="P25",$AC35,IF($J35="P50",$AD35,$AE35))</f>
        <v>12000000</v>
      </c>
      <c r="L35" s="19" t="n">
        <f aca="false">$K35*Tunjangan_Pct</f>
        <v>1200000</v>
      </c>
      <c r="M35" s="19" t="n">
        <f aca="false">$K35+$L35</f>
        <v>13200000</v>
      </c>
      <c r="N35" s="19" t="n">
        <f aca="false">$M35*IF($H35="Lapangan",Tarif_JKK_Lapangan,Tarif_JKK_Kantor)</f>
        <v>71280</v>
      </c>
      <c r="O35" s="19" t="n">
        <f aca="false">$M35*Tarif_JKM</f>
        <v>39600</v>
      </c>
      <c r="P35" s="19" t="n">
        <f aca="false">$M35*Tarif_JHT</f>
        <v>488400</v>
      </c>
      <c r="Q35" s="19" t="n">
        <f aca="false">MIN($M35,Plafon_JP)*Tarif_JP</f>
        <v>221726</v>
      </c>
      <c r="R35" s="19" t="n">
        <f aca="false">MIN(MAX($M35,IF($E35="Padang",UMP_Padang,UMK_Pekanbaru)),Plafon_JKN)*Tarif_JKN</f>
        <v>480000</v>
      </c>
      <c r="S35" s="19" t="n">
        <f aca="false">$M35*Tarif_THR</f>
        <v>1099560</v>
      </c>
      <c r="T35" s="44" t="n">
        <f aca="false">SUM($M35:$S35)</f>
        <v>15600566</v>
      </c>
      <c r="U35" s="34" t="n">
        <f aca="false">$T35/$K35</f>
        <v>1.30004716666667</v>
      </c>
      <c r="V35" s="18" t="n">
        <v>0</v>
      </c>
      <c r="W35" s="18" t="n">
        <v>1</v>
      </c>
      <c r="X35" s="18" t="n">
        <v>1</v>
      </c>
      <c r="Y35" s="45" t="n">
        <f aca="false">$T35*$V35</f>
        <v>0</v>
      </c>
      <c r="Z35" s="45" t="n">
        <f aca="false">$T35*$W35</f>
        <v>15600566</v>
      </c>
      <c r="AA35" s="45" t="n">
        <f aca="false">$T35*$X35</f>
        <v>15600566</v>
      </c>
      <c r="AC35" s="46" t="n">
        <f aca="false">IF($E35="Padang",INDEX('Pita Gaji'!$F$6:$F$28,MATCH($G35,'Pita Gaji'!$A$6:$A$28,0)),INDEX('Pita Gaji'!$C$6:$C$28,MATCH($G35,'Pita Gaji'!$A$6:$A$28,0)))</f>
        <v>9000000</v>
      </c>
      <c r="AD35" s="46" t="n">
        <f aca="false">IF($E35="Padang",INDEX('Pita Gaji'!$G$6:$G$28,MATCH($G35,'Pita Gaji'!$A$6:$A$28,0)),INDEX('Pita Gaji'!$D$6:$D$28,MATCH($G35,'Pita Gaji'!$A$6:$A$28,0)))</f>
        <v>12000000</v>
      </c>
      <c r="AE35" s="46" t="n">
        <f aca="false">IF($E35="Padang",INDEX('Pita Gaji'!$H$6:$H$28,MATCH($G35,'Pita Gaji'!$A$6:$A$28,0)),INDEX('Pita Gaji'!$E$6:$E$28,MATCH($G35,'Pita Gaji'!$A$6:$A$28,0)))</f>
        <v>15000000</v>
      </c>
      <c r="AF35" s="46" t="n">
        <f aca="false">IF(Pita_CLevel="P25",$AC35,IF(Pita_CLevel="P50",$AD35,$AE35))</f>
        <v>9000000</v>
      </c>
      <c r="AG35" s="46" t="n">
        <f aca="false">(IF($F35="C-Level",$AF35,$AC35)*(1+Tunjangan_Pct))*(1+IF($H35="Lapangan",Tarif_JKK_Lapangan,Tarif_JKK_Kantor)+Tarif_JKM+Tarif_JHT+Tarif_THR)+MIN((IF($F35="C-Level",$AF35,$AC35)*(1+Tunjangan_Pct)),Plafon_JP)*Tarif_JP+MIN(MAX((IF($F35="C-Level",$AF35,$AC35)*(1+Tunjangan_Pct)),IF($E35="Padang",UMP_Padang,UMK_Pekanbaru)),Plafon_JKN)*Tarif_JKN</f>
        <v>11768130</v>
      </c>
      <c r="AH35" s="46" t="n">
        <f aca="false">(IF($F35="C-Level",$AF35,$AD35)*(1+Tunjangan_Pct))*(1+IF($H35="Lapangan",Tarif_JKK_Lapangan,Tarif_JKK_Kantor)+Tarif_JKM+Tarif_JHT+Tarif_THR)+MIN((IF($F35="C-Level",$AF35,$AD35)*(1+Tunjangan_Pct)),Plafon_JP)*Tarif_JP+MIN(MAX((IF($F35="C-Level",$AF35,$AD35)*(1+Tunjangan_Pct)),IF($E35="Padang",UMP_Padang,UMK_Pekanbaru)),Plafon_JKN)*Tarif_JKN</f>
        <v>15600566</v>
      </c>
      <c r="AI35" s="46" t="n">
        <f aca="false">(IF($F35="C-Level",$AF35,$AE35)*(1+Tunjangan_Pct))*(1+IF($H35="Lapangan",Tarif_JKK_Lapangan,Tarif_JKK_Kantor)+Tarif_JKM+Tarif_JHT+Tarif_THR)+MIN((IF($F35="C-Level",$AF35,$AE35)*(1+Tunjangan_Pct)),Plafon_JP)*Tarif_JP+MIN(MAX((IF($F35="C-Level",$AF35,$AE35)*(1+Tunjangan_Pct)),IF($E35="Padang",UMP_Padang,UMK_Pekanbaru)),Plafon_JKN)*Tarif_JKN</f>
        <v>19325276</v>
      </c>
      <c r="AJ35" s="47" t="n">
        <f aca="false">$V35*MAX(0,MIN(3,4-$I35))+$W35*MAX(0,MIN(9,13-MAX($I35,4)))</f>
        <v>9</v>
      </c>
      <c r="AK35" s="47" t="n">
        <f aca="false">$AJ35+$X35*MAX(0,MIN(12,25-MAX($I35,13)))</f>
        <v>21</v>
      </c>
      <c r="AL35" s="48" t="str">
        <f aca="false">IF($M35&gt;=IF($E35="Padang",UMP_Padang,UMK_Pekanbaru),"OK","DI BAWAH UMK")</f>
        <v>OK</v>
      </c>
    </row>
    <row r="36" customFormat="false" ht="15" hidden="false" customHeight="false" outlineLevel="0" collapsed="false">
      <c r="A36" s="18" t="n">
        <v>11</v>
      </c>
      <c r="B36" s="11" t="s">
        <v>91</v>
      </c>
      <c r="C36" s="11" t="s">
        <v>109</v>
      </c>
      <c r="D36" s="18" t="s">
        <v>95</v>
      </c>
      <c r="E36" s="18" t="s">
        <v>85</v>
      </c>
      <c r="F36" s="18" t="s">
        <v>102</v>
      </c>
      <c r="G36" s="43" t="s">
        <v>201</v>
      </c>
      <c r="H36" s="18" t="s">
        <v>303</v>
      </c>
      <c r="I36" s="18" t="n">
        <v>13</v>
      </c>
      <c r="J36" s="18" t="str">
        <f aca="false">IF($F36="C-Level",Pita_CLevel,Pita_Aktif)</f>
        <v>P50</v>
      </c>
      <c r="K36" s="19" t="n">
        <f aca="false">IF($J36="P25",$AC36,IF($J36="P50",$AD36,$AE36))</f>
        <v>12000000</v>
      </c>
      <c r="L36" s="19" t="n">
        <f aca="false">$K36*Tunjangan_Pct</f>
        <v>1200000</v>
      </c>
      <c r="M36" s="19" t="n">
        <f aca="false">$K36+$L36</f>
        <v>13200000</v>
      </c>
      <c r="N36" s="19" t="n">
        <f aca="false">$M36*IF($H36="Lapangan",Tarif_JKK_Lapangan,Tarif_JKK_Kantor)</f>
        <v>71280</v>
      </c>
      <c r="O36" s="19" t="n">
        <f aca="false">$M36*Tarif_JKM</f>
        <v>39600</v>
      </c>
      <c r="P36" s="19" t="n">
        <f aca="false">$M36*Tarif_JHT</f>
        <v>488400</v>
      </c>
      <c r="Q36" s="19" t="n">
        <f aca="false">MIN($M36,Plafon_JP)*Tarif_JP</f>
        <v>221726</v>
      </c>
      <c r="R36" s="19" t="n">
        <f aca="false">MIN(MAX($M36,IF($E36="Padang",UMP_Padang,UMK_Pekanbaru)),Plafon_JKN)*Tarif_JKN</f>
        <v>480000</v>
      </c>
      <c r="S36" s="19" t="n">
        <f aca="false">$M36*Tarif_THR</f>
        <v>1099560</v>
      </c>
      <c r="T36" s="44" t="n">
        <f aca="false">SUM($M36:$S36)</f>
        <v>15600566</v>
      </c>
      <c r="U36" s="34" t="n">
        <f aca="false">$T36/$K36</f>
        <v>1.30004716666667</v>
      </c>
      <c r="V36" s="18" t="n">
        <v>0</v>
      </c>
      <c r="W36" s="18" t="n">
        <v>0</v>
      </c>
      <c r="X36" s="18" t="n">
        <v>1</v>
      </c>
      <c r="Y36" s="45" t="n">
        <f aca="false">$T36*$V36</f>
        <v>0</v>
      </c>
      <c r="Z36" s="45" t="n">
        <f aca="false">$T36*$W36</f>
        <v>0</v>
      </c>
      <c r="AA36" s="45" t="n">
        <f aca="false">$T36*$X36</f>
        <v>15600566</v>
      </c>
      <c r="AC36" s="46" t="n">
        <f aca="false">IF($E36="Padang",INDEX('Pita Gaji'!$F$6:$F$28,MATCH($G36,'Pita Gaji'!$A$6:$A$28,0)),INDEX('Pita Gaji'!$C$6:$C$28,MATCH($G36,'Pita Gaji'!$A$6:$A$28,0)))</f>
        <v>9000000</v>
      </c>
      <c r="AD36" s="46" t="n">
        <f aca="false">IF($E36="Padang",INDEX('Pita Gaji'!$G$6:$G$28,MATCH($G36,'Pita Gaji'!$A$6:$A$28,0)),INDEX('Pita Gaji'!$D$6:$D$28,MATCH($G36,'Pita Gaji'!$A$6:$A$28,0)))</f>
        <v>12000000</v>
      </c>
      <c r="AE36" s="46" t="n">
        <f aca="false">IF($E36="Padang",INDEX('Pita Gaji'!$H$6:$H$28,MATCH($G36,'Pita Gaji'!$A$6:$A$28,0)),INDEX('Pita Gaji'!$E$6:$E$28,MATCH($G36,'Pita Gaji'!$A$6:$A$28,0)))</f>
        <v>15000000</v>
      </c>
      <c r="AF36" s="46" t="n">
        <f aca="false">IF(Pita_CLevel="P25",$AC36,IF(Pita_CLevel="P50",$AD36,$AE36))</f>
        <v>9000000</v>
      </c>
      <c r="AG36" s="46" t="n">
        <f aca="false">(IF($F36="C-Level",$AF36,$AC36)*(1+Tunjangan_Pct))*(1+IF($H36="Lapangan",Tarif_JKK_Lapangan,Tarif_JKK_Kantor)+Tarif_JKM+Tarif_JHT+Tarif_THR)+MIN((IF($F36="C-Level",$AF36,$AC36)*(1+Tunjangan_Pct)),Plafon_JP)*Tarif_JP+MIN(MAX((IF($F36="C-Level",$AF36,$AC36)*(1+Tunjangan_Pct)),IF($E36="Padang",UMP_Padang,UMK_Pekanbaru)),Plafon_JKN)*Tarif_JKN</f>
        <v>11768130</v>
      </c>
      <c r="AH36" s="46" t="n">
        <f aca="false">(IF($F36="C-Level",$AF36,$AD36)*(1+Tunjangan_Pct))*(1+IF($H36="Lapangan",Tarif_JKK_Lapangan,Tarif_JKK_Kantor)+Tarif_JKM+Tarif_JHT+Tarif_THR)+MIN((IF($F36="C-Level",$AF36,$AD36)*(1+Tunjangan_Pct)),Plafon_JP)*Tarif_JP+MIN(MAX((IF($F36="C-Level",$AF36,$AD36)*(1+Tunjangan_Pct)),IF($E36="Padang",UMP_Padang,UMK_Pekanbaru)),Plafon_JKN)*Tarif_JKN</f>
        <v>15600566</v>
      </c>
      <c r="AI36" s="46" t="n">
        <f aca="false">(IF($F36="C-Level",$AF36,$AE36)*(1+Tunjangan_Pct))*(1+IF($H36="Lapangan",Tarif_JKK_Lapangan,Tarif_JKK_Kantor)+Tarif_JKM+Tarif_JHT+Tarif_THR)+MIN((IF($F36="C-Level",$AF36,$AE36)*(1+Tunjangan_Pct)),Plafon_JP)*Tarif_JP+MIN(MAX((IF($F36="C-Level",$AF36,$AE36)*(1+Tunjangan_Pct)),IF($E36="Padang",UMP_Padang,UMK_Pekanbaru)),Plafon_JKN)*Tarif_JKN</f>
        <v>19325276</v>
      </c>
      <c r="AJ36" s="47" t="n">
        <f aca="false">$V36*MAX(0,MIN(3,4-$I36))+$W36*MAX(0,MIN(9,13-MAX($I36,4)))</f>
        <v>0</v>
      </c>
      <c r="AK36" s="47" t="n">
        <f aca="false">$AJ36+$X36*MAX(0,MIN(12,25-MAX($I36,13)))</f>
        <v>12</v>
      </c>
      <c r="AL36" s="48" t="str">
        <f aca="false">IF($M36&gt;=IF($E36="Padang",UMP_Padang,UMK_Pekanbaru),"OK","DI BAWAH UMK")</f>
        <v>OK</v>
      </c>
    </row>
    <row r="37" customFormat="false" ht="15" hidden="false" customHeight="false" outlineLevel="0" collapsed="false">
      <c r="A37" s="18" t="n">
        <v>12</v>
      </c>
      <c r="B37" s="11" t="s">
        <v>91</v>
      </c>
      <c r="C37" s="11" t="s">
        <v>110</v>
      </c>
      <c r="D37" s="18" t="s">
        <v>85</v>
      </c>
      <c r="E37" s="18" t="s">
        <v>85</v>
      </c>
      <c r="F37" s="18" t="s">
        <v>102</v>
      </c>
      <c r="G37" s="43" t="s">
        <v>110</v>
      </c>
      <c r="H37" s="18" t="s">
        <v>303</v>
      </c>
      <c r="I37" s="18" t="n">
        <v>6</v>
      </c>
      <c r="J37" s="18" t="str">
        <f aca="false">IF($F37="C-Level",Pita_CLevel,Pita_Aktif)</f>
        <v>P50</v>
      </c>
      <c r="K37" s="19" t="n">
        <f aca="false">IF($J37="P25",$AC37,IF($J37="P50",$AD37,$AE37))</f>
        <v>10000000</v>
      </c>
      <c r="L37" s="19" t="n">
        <f aca="false">$K37*Tunjangan_Pct</f>
        <v>1000000</v>
      </c>
      <c r="M37" s="19" t="n">
        <f aca="false">$K37+$L37</f>
        <v>11000000</v>
      </c>
      <c r="N37" s="19" t="n">
        <f aca="false">$M37*IF($H37="Lapangan",Tarif_JKK_Lapangan,Tarif_JKK_Kantor)</f>
        <v>59400</v>
      </c>
      <c r="O37" s="19" t="n">
        <f aca="false">$M37*Tarif_JKM</f>
        <v>33000</v>
      </c>
      <c r="P37" s="19" t="n">
        <f aca="false">$M37*Tarif_JHT</f>
        <v>407000</v>
      </c>
      <c r="Q37" s="19" t="n">
        <f aca="false">MIN($M37,Plafon_JP)*Tarif_JP</f>
        <v>220000</v>
      </c>
      <c r="R37" s="19" t="n">
        <f aca="false">MIN(MAX($M37,IF($E37="Padang",UMP_Padang,UMK_Pekanbaru)),Plafon_JKN)*Tarif_JKN</f>
        <v>440000</v>
      </c>
      <c r="S37" s="19" t="n">
        <f aca="false">$M37*Tarif_THR</f>
        <v>916300</v>
      </c>
      <c r="T37" s="44" t="n">
        <f aca="false">SUM($M37:$S37)</f>
        <v>13075700</v>
      </c>
      <c r="U37" s="34" t="n">
        <f aca="false">$T37/$K37</f>
        <v>1.30757</v>
      </c>
      <c r="V37" s="18" t="n">
        <v>0</v>
      </c>
      <c r="W37" s="18" t="n">
        <v>1</v>
      </c>
      <c r="X37" s="18" t="n">
        <v>1</v>
      </c>
      <c r="Y37" s="45" t="n">
        <f aca="false">$T37*$V37</f>
        <v>0</v>
      </c>
      <c r="Z37" s="45" t="n">
        <f aca="false">$T37*$W37</f>
        <v>13075700</v>
      </c>
      <c r="AA37" s="45" t="n">
        <f aca="false">$T37*$X37</f>
        <v>13075700</v>
      </c>
      <c r="AC37" s="46" t="n">
        <f aca="false">IF($E37="Padang",INDEX('Pita Gaji'!$F$6:$F$28,MATCH($G37,'Pita Gaji'!$A$6:$A$28,0)),INDEX('Pita Gaji'!$C$6:$C$28,MATCH($G37,'Pita Gaji'!$A$6:$A$28,0)))</f>
        <v>7000000</v>
      </c>
      <c r="AD37" s="46" t="n">
        <f aca="false">IF($E37="Padang",INDEX('Pita Gaji'!$G$6:$G$28,MATCH($G37,'Pita Gaji'!$A$6:$A$28,0)),INDEX('Pita Gaji'!$D$6:$D$28,MATCH($G37,'Pita Gaji'!$A$6:$A$28,0)))</f>
        <v>10000000</v>
      </c>
      <c r="AE37" s="46" t="n">
        <f aca="false">IF($E37="Padang",INDEX('Pita Gaji'!$H$6:$H$28,MATCH($G37,'Pita Gaji'!$A$6:$A$28,0)),INDEX('Pita Gaji'!$E$6:$E$28,MATCH($G37,'Pita Gaji'!$A$6:$A$28,0)))</f>
        <v>13000000</v>
      </c>
      <c r="AF37" s="46" t="n">
        <f aca="false">IF(Pita_CLevel="P25",$AC37,IF(Pita_CLevel="P50",$AD37,$AE37))</f>
        <v>7000000</v>
      </c>
      <c r="AG37" s="46" t="n">
        <f aca="false">(IF($F37="C-Level",$AF37,$AC37)*(1+Tunjangan_Pct))*(1+IF($H37="Lapangan",Tarif_JKK_Lapangan,Tarif_JKK_Kantor)+Tarif_JKM+Tarif_JHT+Tarif_THR)+MIN((IF($F37="C-Level",$AF37,$AC37)*(1+Tunjangan_Pct)),Plafon_JP)*Tarif_JP+MIN(MAX((IF($F37="C-Level",$AF37,$AC37)*(1+Tunjangan_Pct)),IF($E37="Padang",UMP_Padang,UMK_Pekanbaru)),Plafon_JKN)*Tarif_JKN</f>
        <v>9152990</v>
      </c>
      <c r="AH37" s="46" t="n">
        <f aca="false">(IF($F37="C-Level",$AF37,$AD37)*(1+Tunjangan_Pct))*(1+IF($H37="Lapangan",Tarif_JKK_Lapangan,Tarif_JKK_Kantor)+Tarif_JKM+Tarif_JHT+Tarif_THR)+MIN((IF($F37="C-Level",$AF37,$AD37)*(1+Tunjangan_Pct)),Plafon_JP)*Tarif_JP+MIN(MAX((IF($F37="C-Level",$AF37,$AD37)*(1+Tunjangan_Pct)),IF($E37="Padang",UMP_Padang,UMK_Pekanbaru)),Plafon_JKN)*Tarif_JKN</f>
        <v>13075700</v>
      </c>
      <c r="AI37" s="46" t="n">
        <f aca="false">(IF($F37="C-Level",$AF37,$AE37)*(1+Tunjangan_Pct))*(1+IF($H37="Lapangan",Tarif_JKK_Lapangan,Tarif_JKK_Kantor)+Tarif_JKM+Tarif_JHT+Tarif_THR)+MIN((IF($F37="C-Level",$AF37,$AE37)*(1+Tunjangan_Pct)),Plafon_JP)*Tarif_JP+MIN(MAX((IF($F37="C-Level",$AF37,$AE37)*(1+Tunjangan_Pct)),IF($E37="Padang",UMP_Padang,UMK_Pekanbaru)),Plafon_JKN)*Tarif_JKN</f>
        <v>16842136</v>
      </c>
      <c r="AJ37" s="47" t="n">
        <f aca="false">$V37*MAX(0,MIN(3,4-$I37))+$W37*MAX(0,MIN(9,13-MAX($I37,4)))</f>
        <v>7</v>
      </c>
      <c r="AK37" s="47" t="n">
        <f aca="false">$AJ37+$X37*MAX(0,MIN(12,25-MAX($I37,13)))</f>
        <v>19</v>
      </c>
      <c r="AL37" s="48" t="str">
        <f aca="false">IF($M37&gt;=IF($E37="Padang",UMP_Padang,UMK_Pekanbaru),"OK","DI BAWAH UMK")</f>
        <v>OK</v>
      </c>
    </row>
    <row r="38" customFormat="false" ht="15" hidden="false" customHeight="false" outlineLevel="0" collapsed="false">
      <c r="A38" s="18" t="n">
        <v>13</v>
      </c>
      <c r="B38" s="11" t="s">
        <v>91</v>
      </c>
      <c r="C38" s="11" t="s">
        <v>112</v>
      </c>
      <c r="D38" s="18" t="s">
        <v>95</v>
      </c>
      <c r="E38" s="18" t="s">
        <v>85</v>
      </c>
      <c r="F38" s="18" t="s">
        <v>102</v>
      </c>
      <c r="G38" s="43" t="s">
        <v>110</v>
      </c>
      <c r="H38" s="18" t="s">
        <v>303</v>
      </c>
      <c r="I38" s="18" t="n">
        <v>15</v>
      </c>
      <c r="J38" s="18" t="str">
        <f aca="false">IF($F38="C-Level",Pita_CLevel,Pita_Aktif)</f>
        <v>P50</v>
      </c>
      <c r="K38" s="19" t="n">
        <f aca="false">IF($J38="P25",$AC38,IF($J38="P50",$AD38,$AE38))</f>
        <v>10000000</v>
      </c>
      <c r="L38" s="19" t="n">
        <f aca="false">$K38*Tunjangan_Pct</f>
        <v>1000000</v>
      </c>
      <c r="M38" s="19" t="n">
        <f aca="false">$K38+$L38</f>
        <v>11000000</v>
      </c>
      <c r="N38" s="19" t="n">
        <f aca="false">$M38*IF($H38="Lapangan",Tarif_JKK_Lapangan,Tarif_JKK_Kantor)</f>
        <v>59400</v>
      </c>
      <c r="O38" s="19" t="n">
        <f aca="false">$M38*Tarif_JKM</f>
        <v>33000</v>
      </c>
      <c r="P38" s="19" t="n">
        <f aca="false">$M38*Tarif_JHT</f>
        <v>407000</v>
      </c>
      <c r="Q38" s="19" t="n">
        <f aca="false">MIN($M38,Plafon_JP)*Tarif_JP</f>
        <v>220000</v>
      </c>
      <c r="R38" s="19" t="n">
        <f aca="false">MIN(MAX($M38,IF($E38="Padang",UMP_Padang,UMK_Pekanbaru)),Plafon_JKN)*Tarif_JKN</f>
        <v>440000</v>
      </c>
      <c r="S38" s="19" t="n">
        <f aca="false">$M38*Tarif_THR</f>
        <v>916300</v>
      </c>
      <c r="T38" s="44" t="n">
        <f aca="false">SUM($M38:$S38)</f>
        <v>13075700</v>
      </c>
      <c r="U38" s="34" t="n">
        <f aca="false">$T38/$K38</f>
        <v>1.30757</v>
      </c>
      <c r="V38" s="18" t="n">
        <v>0</v>
      </c>
      <c r="W38" s="18" t="n">
        <v>0</v>
      </c>
      <c r="X38" s="18" t="n">
        <v>1</v>
      </c>
      <c r="Y38" s="45" t="n">
        <f aca="false">$T38*$V38</f>
        <v>0</v>
      </c>
      <c r="Z38" s="45" t="n">
        <f aca="false">$T38*$W38</f>
        <v>0</v>
      </c>
      <c r="AA38" s="45" t="n">
        <f aca="false">$T38*$X38</f>
        <v>13075700</v>
      </c>
      <c r="AC38" s="46" t="n">
        <f aca="false">IF($E38="Padang",INDEX('Pita Gaji'!$F$6:$F$28,MATCH($G38,'Pita Gaji'!$A$6:$A$28,0)),INDEX('Pita Gaji'!$C$6:$C$28,MATCH($G38,'Pita Gaji'!$A$6:$A$28,0)))</f>
        <v>7000000</v>
      </c>
      <c r="AD38" s="46" t="n">
        <f aca="false">IF($E38="Padang",INDEX('Pita Gaji'!$G$6:$G$28,MATCH($G38,'Pita Gaji'!$A$6:$A$28,0)),INDEX('Pita Gaji'!$D$6:$D$28,MATCH($G38,'Pita Gaji'!$A$6:$A$28,0)))</f>
        <v>10000000</v>
      </c>
      <c r="AE38" s="46" t="n">
        <f aca="false">IF($E38="Padang",INDEX('Pita Gaji'!$H$6:$H$28,MATCH($G38,'Pita Gaji'!$A$6:$A$28,0)),INDEX('Pita Gaji'!$E$6:$E$28,MATCH($G38,'Pita Gaji'!$A$6:$A$28,0)))</f>
        <v>13000000</v>
      </c>
      <c r="AF38" s="46" t="n">
        <f aca="false">IF(Pita_CLevel="P25",$AC38,IF(Pita_CLevel="P50",$AD38,$AE38))</f>
        <v>7000000</v>
      </c>
      <c r="AG38" s="46" t="n">
        <f aca="false">(IF($F38="C-Level",$AF38,$AC38)*(1+Tunjangan_Pct))*(1+IF($H38="Lapangan",Tarif_JKK_Lapangan,Tarif_JKK_Kantor)+Tarif_JKM+Tarif_JHT+Tarif_THR)+MIN((IF($F38="C-Level",$AF38,$AC38)*(1+Tunjangan_Pct)),Plafon_JP)*Tarif_JP+MIN(MAX((IF($F38="C-Level",$AF38,$AC38)*(1+Tunjangan_Pct)),IF($E38="Padang",UMP_Padang,UMK_Pekanbaru)),Plafon_JKN)*Tarif_JKN</f>
        <v>9152990</v>
      </c>
      <c r="AH38" s="46" t="n">
        <f aca="false">(IF($F38="C-Level",$AF38,$AD38)*(1+Tunjangan_Pct))*(1+IF($H38="Lapangan",Tarif_JKK_Lapangan,Tarif_JKK_Kantor)+Tarif_JKM+Tarif_JHT+Tarif_THR)+MIN((IF($F38="C-Level",$AF38,$AD38)*(1+Tunjangan_Pct)),Plafon_JP)*Tarif_JP+MIN(MAX((IF($F38="C-Level",$AF38,$AD38)*(1+Tunjangan_Pct)),IF($E38="Padang",UMP_Padang,UMK_Pekanbaru)),Plafon_JKN)*Tarif_JKN</f>
        <v>13075700</v>
      </c>
      <c r="AI38" s="46" t="n">
        <f aca="false">(IF($F38="C-Level",$AF38,$AE38)*(1+Tunjangan_Pct))*(1+IF($H38="Lapangan",Tarif_JKK_Lapangan,Tarif_JKK_Kantor)+Tarif_JKM+Tarif_JHT+Tarif_THR)+MIN((IF($F38="C-Level",$AF38,$AE38)*(1+Tunjangan_Pct)),Plafon_JP)*Tarif_JP+MIN(MAX((IF($F38="C-Level",$AF38,$AE38)*(1+Tunjangan_Pct)),IF($E38="Padang",UMP_Padang,UMK_Pekanbaru)),Plafon_JKN)*Tarif_JKN</f>
        <v>16842136</v>
      </c>
      <c r="AJ38" s="47" t="n">
        <f aca="false">$V38*MAX(0,MIN(3,4-$I38))+$W38*MAX(0,MIN(9,13-MAX($I38,4)))</f>
        <v>0</v>
      </c>
      <c r="AK38" s="47" t="n">
        <f aca="false">$AJ38+$X38*MAX(0,MIN(12,25-MAX($I38,13)))</f>
        <v>10</v>
      </c>
      <c r="AL38" s="48" t="str">
        <f aca="false">IF($M38&gt;=IF($E38="Padang",UMP_Padang,UMK_Pekanbaru),"OK","DI BAWAH UMK")</f>
        <v>OK</v>
      </c>
    </row>
    <row r="39" customFormat="false" ht="15" hidden="false" customHeight="false" outlineLevel="0" collapsed="false">
      <c r="A39" s="18" t="n">
        <v>14</v>
      </c>
      <c r="B39" s="11" t="s">
        <v>91</v>
      </c>
      <c r="C39" s="11" t="s">
        <v>113</v>
      </c>
      <c r="D39" s="18" t="s">
        <v>85</v>
      </c>
      <c r="E39" s="18" t="s">
        <v>85</v>
      </c>
      <c r="F39" s="18" t="s">
        <v>114</v>
      </c>
      <c r="G39" s="43" t="s">
        <v>113</v>
      </c>
      <c r="H39" s="18" t="s">
        <v>303</v>
      </c>
      <c r="I39" s="18" t="n">
        <v>16</v>
      </c>
      <c r="J39" s="18" t="str">
        <f aca="false">IF($F39="C-Level",Pita_CLevel,Pita_Aktif)</f>
        <v>P50</v>
      </c>
      <c r="K39" s="19" t="n">
        <f aca="false">IF($J39="P25",$AC39,IF($J39="P50",$AD39,$AE39))</f>
        <v>7500000</v>
      </c>
      <c r="L39" s="19" t="n">
        <f aca="false">$K39*Tunjangan_Pct</f>
        <v>750000</v>
      </c>
      <c r="M39" s="19" t="n">
        <f aca="false">$K39+$L39</f>
        <v>8250000</v>
      </c>
      <c r="N39" s="19" t="n">
        <f aca="false">$M39*IF($H39="Lapangan",Tarif_JKK_Lapangan,Tarif_JKK_Kantor)</f>
        <v>44550</v>
      </c>
      <c r="O39" s="19" t="n">
        <f aca="false">$M39*Tarif_JKM</f>
        <v>24750</v>
      </c>
      <c r="P39" s="19" t="n">
        <f aca="false">$M39*Tarif_JHT</f>
        <v>305250</v>
      </c>
      <c r="Q39" s="19" t="n">
        <f aca="false">MIN($M39,Plafon_JP)*Tarif_JP</f>
        <v>165000</v>
      </c>
      <c r="R39" s="19" t="n">
        <f aca="false">MIN(MAX($M39,IF($E39="Padang",UMP_Padang,UMK_Pekanbaru)),Plafon_JKN)*Tarif_JKN</f>
        <v>330000</v>
      </c>
      <c r="S39" s="19" t="n">
        <f aca="false">$M39*Tarif_THR</f>
        <v>687225</v>
      </c>
      <c r="T39" s="44" t="n">
        <f aca="false">SUM($M39:$S39)</f>
        <v>9806775</v>
      </c>
      <c r="U39" s="34" t="n">
        <f aca="false">$T39/$K39</f>
        <v>1.30757</v>
      </c>
      <c r="V39" s="18" t="n">
        <v>0</v>
      </c>
      <c r="W39" s="18" t="n">
        <v>0</v>
      </c>
      <c r="X39" s="18" t="n">
        <v>1</v>
      </c>
      <c r="Y39" s="45" t="n">
        <f aca="false">$T39*$V39</f>
        <v>0</v>
      </c>
      <c r="Z39" s="45" t="n">
        <f aca="false">$T39*$W39</f>
        <v>0</v>
      </c>
      <c r="AA39" s="45" t="n">
        <f aca="false">$T39*$X39</f>
        <v>9806775</v>
      </c>
      <c r="AC39" s="46" t="n">
        <f aca="false">IF($E39="Padang",INDEX('Pita Gaji'!$F$6:$F$28,MATCH($G39,'Pita Gaji'!$A$6:$A$28,0)),INDEX('Pita Gaji'!$C$6:$C$28,MATCH($G39,'Pita Gaji'!$A$6:$A$28,0)))</f>
        <v>6000000</v>
      </c>
      <c r="AD39" s="46" t="n">
        <f aca="false">IF($E39="Padang",INDEX('Pita Gaji'!$G$6:$G$28,MATCH($G39,'Pita Gaji'!$A$6:$A$28,0)),INDEX('Pita Gaji'!$D$6:$D$28,MATCH($G39,'Pita Gaji'!$A$6:$A$28,0)))</f>
        <v>7500000</v>
      </c>
      <c r="AE39" s="46" t="n">
        <f aca="false">IF($E39="Padang",INDEX('Pita Gaji'!$H$6:$H$28,MATCH($G39,'Pita Gaji'!$A$6:$A$28,0)),INDEX('Pita Gaji'!$E$6:$E$28,MATCH($G39,'Pita Gaji'!$A$6:$A$28,0)))</f>
        <v>9000000</v>
      </c>
      <c r="AF39" s="46" t="n">
        <f aca="false">IF(Pita_CLevel="P25",$AC39,IF(Pita_CLevel="P50",$AD39,$AE39))</f>
        <v>6000000</v>
      </c>
      <c r="AG39" s="46" t="n">
        <f aca="false">(IF($F39="C-Level",$AF39,$AC39)*(1+Tunjangan_Pct))*(1+IF($H39="Lapangan",Tarif_JKK_Lapangan,Tarif_JKK_Kantor)+Tarif_JKM+Tarif_JHT+Tarif_THR)+MIN((IF($F39="C-Level",$AF39,$AC39)*(1+Tunjangan_Pct)),Plafon_JP)*Tarif_JP+MIN(MAX((IF($F39="C-Level",$AF39,$AC39)*(1+Tunjangan_Pct)),IF($E39="Padang",UMP_Padang,UMK_Pekanbaru)),Plafon_JKN)*Tarif_JKN</f>
        <v>7845420</v>
      </c>
      <c r="AH39" s="46" t="n">
        <f aca="false">(IF($F39="C-Level",$AF39,$AD39)*(1+Tunjangan_Pct))*(1+IF($H39="Lapangan",Tarif_JKK_Lapangan,Tarif_JKK_Kantor)+Tarif_JKM+Tarif_JHT+Tarif_THR)+MIN((IF($F39="C-Level",$AF39,$AD39)*(1+Tunjangan_Pct)),Plafon_JP)*Tarif_JP+MIN(MAX((IF($F39="C-Level",$AF39,$AD39)*(1+Tunjangan_Pct)),IF($E39="Padang",UMP_Padang,UMK_Pekanbaru)),Plafon_JKN)*Tarif_JKN</f>
        <v>9806775</v>
      </c>
      <c r="AI39" s="46" t="n">
        <f aca="false">(IF($F39="C-Level",$AF39,$AE39)*(1+Tunjangan_Pct))*(1+IF($H39="Lapangan",Tarif_JKK_Lapangan,Tarif_JKK_Kantor)+Tarif_JKM+Tarif_JHT+Tarif_THR)+MIN((IF($F39="C-Level",$AF39,$AE39)*(1+Tunjangan_Pct)),Plafon_JP)*Tarif_JP+MIN(MAX((IF($F39="C-Level",$AF39,$AE39)*(1+Tunjangan_Pct)),IF($E39="Padang",UMP_Padang,UMK_Pekanbaru)),Plafon_JKN)*Tarif_JKN</f>
        <v>11768130</v>
      </c>
      <c r="AJ39" s="47" t="n">
        <f aca="false">$V39*MAX(0,MIN(3,4-$I39))+$W39*MAX(0,MIN(9,13-MAX($I39,4)))</f>
        <v>0</v>
      </c>
      <c r="AK39" s="47" t="n">
        <f aca="false">$AJ39+$X39*MAX(0,MIN(12,25-MAX($I39,13)))</f>
        <v>9</v>
      </c>
      <c r="AL39" s="48" t="str">
        <f aca="false">IF($M39&gt;=IF($E39="Padang",UMP_Padang,UMK_Pekanbaru),"OK","DI BAWAH UMK")</f>
        <v>OK</v>
      </c>
    </row>
    <row r="40" customFormat="false" ht="15" hidden="false" customHeight="false" outlineLevel="0" collapsed="false">
      <c r="A40" s="18" t="n">
        <v>15</v>
      </c>
      <c r="B40" s="11" t="s">
        <v>91</v>
      </c>
      <c r="C40" s="11" t="s">
        <v>116</v>
      </c>
      <c r="D40" s="18" t="s">
        <v>117</v>
      </c>
      <c r="E40" s="18" t="s">
        <v>117</v>
      </c>
      <c r="F40" s="18" t="s">
        <v>114</v>
      </c>
      <c r="G40" s="43" t="s">
        <v>113</v>
      </c>
      <c r="H40" s="18" t="s">
        <v>303</v>
      </c>
      <c r="I40" s="18" t="n">
        <v>18</v>
      </c>
      <c r="J40" s="18" t="str">
        <f aca="false">IF($F40="C-Level",Pita_CLevel,Pita_Aktif)</f>
        <v>P50</v>
      </c>
      <c r="K40" s="19" t="n">
        <f aca="false">IF($J40="P25",$AC40,IF($J40="P50",$AD40,$AE40))</f>
        <v>7000000</v>
      </c>
      <c r="L40" s="19" t="n">
        <f aca="false">$K40*Tunjangan_Pct</f>
        <v>700000</v>
      </c>
      <c r="M40" s="19" t="n">
        <f aca="false">$K40+$L40</f>
        <v>7700000</v>
      </c>
      <c r="N40" s="19" t="n">
        <f aca="false">$M40*IF($H40="Lapangan",Tarif_JKK_Lapangan,Tarif_JKK_Kantor)</f>
        <v>41580</v>
      </c>
      <c r="O40" s="19" t="n">
        <f aca="false">$M40*Tarif_JKM</f>
        <v>23100</v>
      </c>
      <c r="P40" s="19" t="n">
        <f aca="false">$M40*Tarif_JHT</f>
        <v>284900</v>
      </c>
      <c r="Q40" s="19" t="n">
        <f aca="false">MIN($M40,Plafon_JP)*Tarif_JP</f>
        <v>154000</v>
      </c>
      <c r="R40" s="19" t="n">
        <f aca="false">MIN(MAX($M40,IF($E40="Padang",UMP_Padang,UMK_Pekanbaru)),Plafon_JKN)*Tarif_JKN</f>
        <v>308000</v>
      </c>
      <c r="S40" s="19" t="n">
        <f aca="false">$M40*Tarif_THR</f>
        <v>641410</v>
      </c>
      <c r="T40" s="44" t="n">
        <f aca="false">SUM($M40:$S40)</f>
        <v>9152990</v>
      </c>
      <c r="U40" s="34" t="n">
        <f aca="false">$T40/$K40</f>
        <v>1.30757</v>
      </c>
      <c r="V40" s="18" t="n">
        <v>0</v>
      </c>
      <c r="W40" s="18" t="n">
        <v>0</v>
      </c>
      <c r="X40" s="18" t="n">
        <v>1</v>
      </c>
      <c r="Y40" s="45" t="n">
        <f aca="false">$T40*$V40</f>
        <v>0</v>
      </c>
      <c r="Z40" s="45" t="n">
        <f aca="false">$T40*$W40</f>
        <v>0</v>
      </c>
      <c r="AA40" s="45" t="n">
        <f aca="false">$T40*$X40</f>
        <v>9152990</v>
      </c>
      <c r="AC40" s="46" t="n">
        <f aca="false">IF($E40="Padang",INDEX('Pita Gaji'!$F$6:$F$28,MATCH($G40,'Pita Gaji'!$A$6:$A$28,0)),INDEX('Pita Gaji'!$C$6:$C$28,MATCH($G40,'Pita Gaji'!$A$6:$A$28,0)))</f>
        <v>5500000</v>
      </c>
      <c r="AD40" s="46" t="n">
        <f aca="false">IF($E40="Padang",INDEX('Pita Gaji'!$G$6:$G$28,MATCH($G40,'Pita Gaji'!$A$6:$A$28,0)),INDEX('Pita Gaji'!$D$6:$D$28,MATCH($G40,'Pita Gaji'!$A$6:$A$28,0)))</f>
        <v>7000000</v>
      </c>
      <c r="AE40" s="46" t="n">
        <f aca="false">IF($E40="Padang",INDEX('Pita Gaji'!$H$6:$H$28,MATCH($G40,'Pita Gaji'!$A$6:$A$28,0)),INDEX('Pita Gaji'!$E$6:$E$28,MATCH($G40,'Pita Gaji'!$A$6:$A$28,0)))</f>
        <v>8500000</v>
      </c>
      <c r="AF40" s="46" t="n">
        <f aca="false">IF(Pita_CLevel="P25",$AC40,IF(Pita_CLevel="P50",$AD40,$AE40))</f>
        <v>5500000</v>
      </c>
      <c r="AG40" s="46" t="n">
        <f aca="false">(IF($F40="C-Level",$AF40,$AC40)*(1+Tunjangan_Pct))*(1+IF($H40="Lapangan",Tarif_JKK_Lapangan,Tarif_JKK_Kantor)+Tarif_JKM+Tarif_JHT+Tarif_THR)+MIN((IF($F40="C-Level",$AF40,$AC40)*(1+Tunjangan_Pct)),Plafon_JP)*Tarif_JP+MIN(MAX((IF($F40="C-Level",$AF40,$AC40)*(1+Tunjangan_Pct)),IF($E40="Padang",UMP_Padang,UMK_Pekanbaru)),Plafon_JKN)*Tarif_JKN</f>
        <v>7191635</v>
      </c>
      <c r="AH40" s="46" t="n">
        <f aca="false">(IF($F40="C-Level",$AF40,$AD40)*(1+Tunjangan_Pct))*(1+IF($H40="Lapangan",Tarif_JKK_Lapangan,Tarif_JKK_Kantor)+Tarif_JKM+Tarif_JHT+Tarif_THR)+MIN((IF($F40="C-Level",$AF40,$AD40)*(1+Tunjangan_Pct)),Plafon_JP)*Tarif_JP+MIN(MAX((IF($F40="C-Level",$AF40,$AD40)*(1+Tunjangan_Pct)),IF($E40="Padang",UMP_Padang,UMK_Pekanbaru)),Plafon_JKN)*Tarif_JKN</f>
        <v>9152990</v>
      </c>
      <c r="AI40" s="46" t="n">
        <f aca="false">(IF($F40="C-Level",$AF40,$AE40)*(1+Tunjangan_Pct))*(1+IF($H40="Lapangan",Tarif_JKK_Lapangan,Tarif_JKK_Kantor)+Tarif_JKM+Tarif_JHT+Tarif_THR)+MIN((IF($F40="C-Level",$AF40,$AE40)*(1+Tunjangan_Pct)),Plafon_JP)*Tarif_JP+MIN(MAX((IF($F40="C-Level",$AF40,$AE40)*(1+Tunjangan_Pct)),IF($E40="Padang",UMP_Padang,UMK_Pekanbaru)),Plafon_JKN)*Tarif_JKN</f>
        <v>11114345</v>
      </c>
      <c r="AJ40" s="47" t="n">
        <f aca="false">$V40*MAX(0,MIN(3,4-$I40))+$W40*MAX(0,MIN(9,13-MAX($I40,4)))</f>
        <v>0</v>
      </c>
      <c r="AK40" s="47" t="n">
        <f aca="false">$AJ40+$X40*MAX(0,MIN(12,25-MAX($I40,13)))</f>
        <v>7</v>
      </c>
      <c r="AL40" s="48" t="str">
        <f aca="false">IF($M40&gt;=IF($E40="Padang",UMP_Padang,UMK_Pekanbaru),"OK","DI BAWAH UMK")</f>
        <v>OK</v>
      </c>
    </row>
    <row r="41" customFormat="false" ht="15" hidden="false" customHeight="false" outlineLevel="0" collapsed="false">
      <c r="A41" s="18" t="n">
        <v>16</v>
      </c>
      <c r="B41" s="11" t="s">
        <v>91</v>
      </c>
      <c r="C41" s="11" t="s">
        <v>119</v>
      </c>
      <c r="D41" s="18" t="s">
        <v>85</v>
      </c>
      <c r="E41" s="18" t="s">
        <v>85</v>
      </c>
      <c r="F41" s="18" t="s">
        <v>102</v>
      </c>
      <c r="G41" s="43" t="s">
        <v>204</v>
      </c>
      <c r="H41" s="18" t="s">
        <v>303</v>
      </c>
      <c r="I41" s="18" t="n">
        <v>2</v>
      </c>
      <c r="J41" s="18" t="str">
        <f aca="false">IF($F41="C-Level",Pita_CLevel,Pita_Aktif)</f>
        <v>P50</v>
      </c>
      <c r="K41" s="19" t="n">
        <f aca="false">IF($J41="P25",$AC41,IF($J41="P50",$AD41,$AE41))</f>
        <v>13000000</v>
      </c>
      <c r="L41" s="19" t="n">
        <f aca="false">$K41*Tunjangan_Pct</f>
        <v>1300000</v>
      </c>
      <c r="M41" s="19" t="n">
        <f aca="false">$K41+$L41</f>
        <v>14300000</v>
      </c>
      <c r="N41" s="19" t="n">
        <f aca="false">$M41*IF($H41="Lapangan",Tarif_JKK_Lapangan,Tarif_JKK_Kantor)</f>
        <v>77220</v>
      </c>
      <c r="O41" s="19" t="n">
        <f aca="false">$M41*Tarif_JKM</f>
        <v>42900</v>
      </c>
      <c r="P41" s="19" t="n">
        <f aca="false">$M41*Tarif_JHT</f>
        <v>529100</v>
      </c>
      <c r="Q41" s="19" t="n">
        <f aca="false">MIN($M41,Plafon_JP)*Tarif_JP</f>
        <v>221726</v>
      </c>
      <c r="R41" s="19" t="n">
        <f aca="false">MIN(MAX($M41,IF($E41="Padang",UMP_Padang,UMK_Pekanbaru)),Plafon_JKN)*Tarif_JKN</f>
        <v>480000</v>
      </c>
      <c r="S41" s="19" t="n">
        <f aca="false">$M41*Tarif_THR</f>
        <v>1191190</v>
      </c>
      <c r="T41" s="44" t="n">
        <f aca="false">SUM($M41:$S41)</f>
        <v>16842136</v>
      </c>
      <c r="U41" s="34" t="n">
        <f aca="false">$T41/$K41</f>
        <v>1.29554892307692</v>
      </c>
      <c r="V41" s="18" t="n">
        <v>1</v>
      </c>
      <c r="W41" s="18" t="n">
        <v>1</v>
      </c>
      <c r="X41" s="18" t="n">
        <v>1</v>
      </c>
      <c r="Y41" s="45" t="n">
        <f aca="false">$T41*$V41</f>
        <v>16842136</v>
      </c>
      <c r="Z41" s="45" t="n">
        <f aca="false">$T41*$W41</f>
        <v>16842136</v>
      </c>
      <c r="AA41" s="45" t="n">
        <f aca="false">$T41*$X41</f>
        <v>16842136</v>
      </c>
      <c r="AC41" s="46" t="n">
        <f aca="false">IF($E41="Padang",INDEX('Pita Gaji'!$F$6:$F$28,MATCH($G41,'Pita Gaji'!$A$6:$A$28,0)),INDEX('Pita Gaji'!$C$6:$C$28,MATCH($G41,'Pita Gaji'!$A$6:$A$28,0)))</f>
        <v>8000000</v>
      </c>
      <c r="AD41" s="46" t="n">
        <f aca="false">IF($E41="Padang",INDEX('Pita Gaji'!$G$6:$G$28,MATCH($G41,'Pita Gaji'!$A$6:$A$28,0)),INDEX('Pita Gaji'!$D$6:$D$28,MATCH($G41,'Pita Gaji'!$A$6:$A$28,0)))</f>
        <v>13000000</v>
      </c>
      <c r="AE41" s="46" t="n">
        <f aca="false">IF($E41="Padang",INDEX('Pita Gaji'!$H$6:$H$28,MATCH($G41,'Pita Gaji'!$A$6:$A$28,0)),INDEX('Pita Gaji'!$E$6:$E$28,MATCH($G41,'Pita Gaji'!$A$6:$A$28,0)))</f>
        <v>18000000</v>
      </c>
      <c r="AF41" s="46" t="n">
        <f aca="false">IF(Pita_CLevel="P25",$AC41,IF(Pita_CLevel="P50",$AD41,$AE41))</f>
        <v>8000000</v>
      </c>
      <c r="AG41" s="46" t="n">
        <f aca="false">(IF($F41="C-Level",$AF41,$AC41)*(1+Tunjangan_Pct))*(1+IF($H41="Lapangan",Tarif_JKK_Lapangan,Tarif_JKK_Kantor)+Tarif_JKM+Tarif_JHT+Tarif_THR)+MIN((IF($F41="C-Level",$AF41,$AC41)*(1+Tunjangan_Pct)),Plafon_JP)*Tarif_JP+MIN(MAX((IF($F41="C-Level",$AF41,$AC41)*(1+Tunjangan_Pct)),IF($E41="Padang",UMP_Padang,UMK_Pekanbaru)),Plafon_JKN)*Tarif_JKN</f>
        <v>10460560</v>
      </c>
      <c r="AH41" s="46" t="n">
        <f aca="false">(IF($F41="C-Level",$AF41,$AD41)*(1+Tunjangan_Pct))*(1+IF($H41="Lapangan",Tarif_JKK_Lapangan,Tarif_JKK_Kantor)+Tarif_JKM+Tarif_JHT+Tarif_THR)+MIN((IF($F41="C-Level",$AF41,$AD41)*(1+Tunjangan_Pct)),Plafon_JP)*Tarif_JP+MIN(MAX((IF($F41="C-Level",$AF41,$AD41)*(1+Tunjangan_Pct)),IF($E41="Padang",UMP_Padang,UMK_Pekanbaru)),Plafon_JKN)*Tarif_JKN</f>
        <v>16842136</v>
      </c>
      <c r="AI41" s="46" t="n">
        <f aca="false">(IF($F41="C-Level",$AF41,$AE41)*(1+Tunjangan_Pct))*(1+IF($H41="Lapangan",Tarif_JKK_Lapangan,Tarif_JKK_Kantor)+Tarif_JKM+Tarif_JHT+Tarif_THR)+MIN((IF($F41="C-Level",$AF41,$AE41)*(1+Tunjangan_Pct)),Plafon_JP)*Tarif_JP+MIN(MAX((IF($F41="C-Level",$AF41,$AE41)*(1+Tunjangan_Pct)),IF($E41="Padang",UMP_Padang,UMK_Pekanbaru)),Plafon_JKN)*Tarif_JKN</f>
        <v>23049986</v>
      </c>
      <c r="AJ41" s="47" t="n">
        <f aca="false">$V41*MAX(0,MIN(3,4-$I41))+$W41*MAX(0,MIN(9,13-MAX($I41,4)))</f>
        <v>11</v>
      </c>
      <c r="AK41" s="47" t="n">
        <f aca="false">$AJ41+$X41*MAX(0,MIN(12,25-MAX($I41,13)))</f>
        <v>23</v>
      </c>
      <c r="AL41" s="48" t="str">
        <f aca="false">IF($M41&gt;=IF($E41="Padang",UMP_Padang,UMK_Pekanbaru),"OK","DI BAWAH UMK")</f>
        <v>OK</v>
      </c>
    </row>
    <row r="42" customFormat="false" ht="15" hidden="false" customHeight="false" outlineLevel="0" collapsed="false">
      <c r="A42" s="18" t="n">
        <v>17</v>
      </c>
      <c r="B42" s="11" t="s">
        <v>91</v>
      </c>
      <c r="C42" s="11" t="s">
        <v>120</v>
      </c>
      <c r="D42" s="18" t="s">
        <v>95</v>
      </c>
      <c r="E42" s="18" t="s">
        <v>85</v>
      </c>
      <c r="F42" s="18" t="s">
        <v>102</v>
      </c>
      <c r="G42" s="43" t="s">
        <v>204</v>
      </c>
      <c r="H42" s="18" t="s">
        <v>303</v>
      </c>
      <c r="I42" s="18" t="n">
        <v>17</v>
      </c>
      <c r="J42" s="18" t="str">
        <f aca="false">IF($F42="C-Level",Pita_CLevel,Pita_Aktif)</f>
        <v>P50</v>
      </c>
      <c r="K42" s="19" t="n">
        <f aca="false">IF($J42="P25",$AC42,IF($J42="P50",$AD42,$AE42))</f>
        <v>13000000</v>
      </c>
      <c r="L42" s="19" t="n">
        <f aca="false">$K42*Tunjangan_Pct</f>
        <v>1300000</v>
      </c>
      <c r="M42" s="19" t="n">
        <f aca="false">$K42+$L42</f>
        <v>14300000</v>
      </c>
      <c r="N42" s="19" t="n">
        <f aca="false">$M42*IF($H42="Lapangan",Tarif_JKK_Lapangan,Tarif_JKK_Kantor)</f>
        <v>77220</v>
      </c>
      <c r="O42" s="19" t="n">
        <f aca="false">$M42*Tarif_JKM</f>
        <v>42900</v>
      </c>
      <c r="P42" s="19" t="n">
        <f aca="false">$M42*Tarif_JHT</f>
        <v>529100</v>
      </c>
      <c r="Q42" s="19" t="n">
        <f aca="false">MIN($M42,Plafon_JP)*Tarif_JP</f>
        <v>221726</v>
      </c>
      <c r="R42" s="19" t="n">
        <f aca="false">MIN(MAX($M42,IF($E42="Padang",UMP_Padang,UMK_Pekanbaru)),Plafon_JKN)*Tarif_JKN</f>
        <v>480000</v>
      </c>
      <c r="S42" s="19" t="n">
        <f aca="false">$M42*Tarif_THR</f>
        <v>1191190</v>
      </c>
      <c r="T42" s="44" t="n">
        <f aca="false">SUM($M42:$S42)</f>
        <v>16842136</v>
      </c>
      <c r="U42" s="34" t="n">
        <f aca="false">$T42/$K42</f>
        <v>1.29554892307692</v>
      </c>
      <c r="V42" s="18" t="n">
        <v>0</v>
      </c>
      <c r="W42" s="18" t="n">
        <v>0</v>
      </c>
      <c r="X42" s="18" t="n">
        <v>1</v>
      </c>
      <c r="Y42" s="45" t="n">
        <f aca="false">$T42*$V42</f>
        <v>0</v>
      </c>
      <c r="Z42" s="45" t="n">
        <f aca="false">$T42*$W42</f>
        <v>0</v>
      </c>
      <c r="AA42" s="45" t="n">
        <f aca="false">$T42*$X42</f>
        <v>16842136</v>
      </c>
      <c r="AC42" s="46" t="n">
        <f aca="false">IF($E42="Padang",INDEX('Pita Gaji'!$F$6:$F$28,MATCH($G42,'Pita Gaji'!$A$6:$A$28,0)),INDEX('Pita Gaji'!$C$6:$C$28,MATCH($G42,'Pita Gaji'!$A$6:$A$28,0)))</f>
        <v>8000000</v>
      </c>
      <c r="AD42" s="46" t="n">
        <f aca="false">IF($E42="Padang",INDEX('Pita Gaji'!$G$6:$G$28,MATCH($G42,'Pita Gaji'!$A$6:$A$28,0)),INDEX('Pita Gaji'!$D$6:$D$28,MATCH($G42,'Pita Gaji'!$A$6:$A$28,0)))</f>
        <v>13000000</v>
      </c>
      <c r="AE42" s="46" t="n">
        <f aca="false">IF($E42="Padang",INDEX('Pita Gaji'!$H$6:$H$28,MATCH($G42,'Pita Gaji'!$A$6:$A$28,0)),INDEX('Pita Gaji'!$E$6:$E$28,MATCH($G42,'Pita Gaji'!$A$6:$A$28,0)))</f>
        <v>18000000</v>
      </c>
      <c r="AF42" s="46" t="n">
        <f aca="false">IF(Pita_CLevel="P25",$AC42,IF(Pita_CLevel="P50",$AD42,$AE42))</f>
        <v>8000000</v>
      </c>
      <c r="AG42" s="46" t="n">
        <f aca="false">(IF($F42="C-Level",$AF42,$AC42)*(1+Tunjangan_Pct))*(1+IF($H42="Lapangan",Tarif_JKK_Lapangan,Tarif_JKK_Kantor)+Tarif_JKM+Tarif_JHT+Tarif_THR)+MIN((IF($F42="C-Level",$AF42,$AC42)*(1+Tunjangan_Pct)),Plafon_JP)*Tarif_JP+MIN(MAX((IF($F42="C-Level",$AF42,$AC42)*(1+Tunjangan_Pct)),IF($E42="Padang",UMP_Padang,UMK_Pekanbaru)),Plafon_JKN)*Tarif_JKN</f>
        <v>10460560</v>
      </c>
      <c r="AH42" s="46" t="n">
        <f aca="false">(IF($F42="C-Level",$AF42,$AD42)*(1+Tunjangan_Pct))*(1+IF($H42="Lapangan",Tarif_JKK_Lapangan,Tarif_JKK_Kantor)+Tarif_JKM+Tarif_JHT+Tarif_THR)+MIN((IF($F42="C-Level",$AF42,$AD42)*(1+Tunjangan_Pct)),Plafon_JP)*Tarif_JP+MIN(MAX((IF($F42="C-Level",$AF42,$AD42)*(1+Tunjangan_Pct)),IF($E42="Padang",UMP_Padang,UMK_Pekanbaru)),Plafon_JKN)*Tarif_JKN</f>
        <v>16842136</v>
      </c>
      <c r="AI42" s="46" t="n">
        <f aca="false">(IF($F42="C-Level",$AF42,$AE42)*(1+Tunjangan_Pct))*(1+IF($H42="Lapangan",Tarif_JKK_Lapangan,Tarif_JKK_Kantor)+Tarif_JKM+Tarif_JHT+Tarif_THR)+MIN((IF($F42="C-Level",$AF42,$AE42)*(1+Tunjangan_Pct)),Plafon_JP)*Tarif_JP+MIN(MAX((IF($F42="C-Level",$AF42,$AE42)*(1+Tunjangan_Pct)),IF($E42="Padang",UMP_Padang,UMK_Pekanbaru)),Plafon_JKN)*Tarif_JKN</f>
        <v>23049986</v>
      </c>
      <c r="AJ42" s="47" t="n">
        <f aca="false">$V42*MAX(0,MIN(3,4-$I42))+$W42*MAX(0,MIN(9,13-MAX($I42,4)))</f>
        <v>0</v>
      </c>
      <c r="AK42" s="47" t="n">
        <f aca="false">$AJ42+$X42*MAX(0,MIN(12,25-MAX($I42,13)))</f>
        <v>8</v>
      </c>
      <c r="AL42" s="48" t="str">
        <f aca="false">IF($M42&gt;=IF($E42="Padang",UMP_Padang,UMK_Pekanbaru),"OK","DI BAWAH UMK")</f>
        <v>OK</v>
      </c>
    </row>
    <row r="43" customFormat="false" ht="15" hidden="false" customHeight="false" outlineLevel="0" collapsed="false">
      <c r="A43" s="18" t="n">
        <v>18</v>
      </c>
      <c r="B43" s="11" t="s">
        <v>91</v>
      </c>
      <c r="C43" s="11" t="s">
        <v>121</v>
      </c>
      <c r="D43" s="18" t="s">
        <v>85</v>
      </c>
      <c r="E43" s="18" t="s">
        <v>85</v>
      </c>
      <c r="F43" s="18" t="s">
        <v>102</v>
      </c>
      <c r="G43" s="43" t="s">
        <v>121</v>
      </c>
      <c r="H43" s="18" t="s">
        <v>303</v>
      </c>
      <c r="I43" s="18" t="n">
        <v>13</v>
      </c>
      <c r="J43" s="18" t="str">
        <f aca="false">IF($F43="C-Level",Pita_CLevel,Pita_Aktif)</f>
        <v>P50</v>
      </c>
      <c r="K43" s="19" t="n">
        <f aca="false">IF($J43="P25",$AC43,IF($J43="P50",$AD43,$AE43))</f>
        <v>11500000</v>
      </c>
      <c r="L43" s="19" t="n">
        <f aca="false">$K43*Tunjangan_Pct</f>
        <v>1150000</v>
      </c>
      <c r="M43" s="19" t="n">
        <f aca="false">$K43+$L43</f>
        <v>12650000</v>
      </c>
      <c r="N43" s="19" t="n">
        <f aca="false">$M43*IF($H43="Lapangan",Tarif_JKK_Lapangan,Tarif_JKK_Kantor)</f>
        <v>68310</v>
      </c>
      <c r="O43" s="19" t="n">
        <f aca="false">$M43*Tarif_JKM</f>
        <v>37950</v>
      </c>
      <c r="P43" s="19" t="n">
        <f aca="false">$M43*Tarif_JHT</f>
        <v>468050</v>
      </c>
      <c r="Q43" s="19" t="n">
        <f aca="false">MIN($M43,Plafon_JP)*Tarif_JP</f>
        <v>221726</v>
      </c>
      <c r="R43" s="19" t="n">
        <f aca="false">MIN(MAX($M43,IF($E43="Padang",UMP_Padang,UMK_Pekanbaru)),Plafon_JKN)*Tarif_JKN</f>
        <v>480000</v>
      </c>
      <c r="S43" s="19" t="n">
        <f aca="false">$M43*Tarif_THR</f>
        <v>1053745</v>
      </c>
      <c r="T43" s="44" t="n">
        <f aca="false">SUM($M43:$S43)</f>
        <v>14979781</v>
      </c>
      <c r="U43" s="34" t="n">
        <f aca="false">$T43/$K43</f>
        <v>1.30258965217391</v>
      </c>
      <c r="V43" s="18" t="n">
        <v>0</v>
      </c>
      <c r="W43" s="18" t="n">
        <v>0</v>
      </c>
      <c r="X43" s="18" t="n">
        <v>1</v>
      </c>
      <c r="Y43" s="45" t="n">
        <f aca="false">$T43*$V43</f>
        <v>0</v>
      </c>
      <c r="Z43" s="45" t="n">
        <f aca="false">$T43*$W43</f>
        <v>0</v>
      </c>
      <c r="AA43" s="45" t="n">
        <f aca="false">$T43*$X43</f>
        <v>14979781</v>
      </c>
      <c r="AC43" s="46" t="n">
        <f aca="false">IF($E43="Padang",INDEX('Pita Gaji'!$F$6:$F$28,MATCH($G43,'Pita Gaji'!$A$6:$A$28,0)),INDEX('Pita Gaji'!$C$6:$C$28,MATCH($G43,'Pita Gaji'!$A$6:$A$28,0)))</f>
        <v>8000000</v>
      </c>
      <c r="AD43" s="46" t="n">
        <f aca="false">IF($E43="Padang",INDEX('Pita Gaji'!$G$6:$G$28,MATCH($G43,'Pita Gaji'!$A$6:$A$28,0)),INDEX('Pita Gaji'!$D$6:$D$28,MATCH($G43,'Pita Gaji'!$A$6:$A$28,0)))</f>
        <v>11500000</v>
      </c>
      <c r="AE43" s="46" t="n">
        <f aca="false">IF($E43="Padang",INDEX('Pita Gaji'!$H$6:$H$28,MATCH($G43,'Pita Gaji'!$A$6:$A$28,0)),INDEX('Pita Gaji'!$E$6:$E$28,MATCH($G43,'Pita Gaji'!$A$6:$A$28,0)))</f>
        <v>15000000</v>
      </c>
      <c r="AF43" s="46" t="n">
        <f aca="false">IF(Pita_CLevel="P25",$AC43,IF(Pita_CLevel="P50",$AD43,$AE43))</f>
        <v>8000000</v>
      </c>
      <c r="AG43" s="46" t="n">
        <f aca="false">(IF($F43="C-Level",$AF43,$AC43)*(1+Tunjangan_Pct))*(1+IF($H43="Lapangan",Tarif_JKK_Lapangan,Tarif_JKK_Kantor)+Tarif_JKM+Tarif_JHT+Tarif_THR)+MIN((IF($F43="C-Level",$AF43,$AC43)*(1+Tunjangan_Pct)),Plafon_JP)*Tarif_JP+MIN(MAX((IF($F43="C-Level",$AF43,$AC43)*(1+Tunjangan_Pct)),IF($E43="Padang",UMP_Padang,UMK_Pekanbaru)),Plafon_JKN)*Tarif_JKN</f>
        <v>10460560</v>
      </c>
      <c r="AH43" s="46" t="n">
        <f aca="false">(IF($F43="C-Level",$AF43,$AD43)*(1+Tunjangan_Pct))*(1+IF($H43="Lapangan",Tarif_JKK_Lapangan,Tarif_JKK_Kantor)+Tarif_JKM+Tarif_JHT+Tarif_THR)+MIN((IF($F43="C-Level",$AF43,$AD43)*(1+Tunjangan_Pct)),Plafon_JP)*Tarif_JP+MIN(MAX((IF($F43="C-Level",$AF43,$AD43)*(1+Tunjangan_Pct)),IF($E43="Padang",UMP_Padang,UMK_Pekanbaru)),Plafon_JKN)*Tarif_JKN</f>
        <v>14979781</v>
      </c>
      <c r="AI43" s="46" t="n">
        <f aca="false">(IF($F43="C-Level",$AF43,$AE43)*(1+Tunjangan_Pct))*(1+IF($H43="Lapangan",Tarif_JKK_Lapangan,Tarif_JKK_Kantor)+Tarif_JKM+Tarif_JHT+Tarif_THR)+MIN((IF($F43="C-Level",$AF43,$AE43)*(1+Tunjangan_Pct)),Plafon_JP)*Tarif_JP+MIN(MAX((IF($F43="C-Level",$AF43,$AE43)*(1+Tunjangan_Pct)),IF($E43="Padang",UMP_Padang,UMK_Pekanbaru)),Plafon_JKN)*Tarif_JKN</f>
        <v>19325276</v>
      </c>
      <c r="AJ43" s="47" t="n">
        <f aca="false">$V43*MAX(0,MIN(3,4-$I43))+$W43*MAX(0,MIN(9,13-MAX($I43,4)))</f>
        <v>0</v>
      </c>
      <c r="AK43" s="47" t="n">
        <f aca="false">$AJ43+$X43*MAX(0,MIN(12,25-MAX($I43,13)))</f>
        <v>12</v>
      </c>
      <c r="AL43" s="48" t="str">
        <f aca="false">IF($M43&gt;=IF($E43="Padang",UMP_Padang,UMK_Pekanbaru),"OK","DI BAWAH UMK")</f>
        <v>OK</v>
      </c>
    </row>
    <row r="44" customFormat="false" ht="15" hidden="false" customHeight="false" outlineLevel="0" collapsed="false">
      <c r="A44" s="18" t="n">
        <v>19</v>
      </c>
      <c r="B44" s="11" t="s">
        <v>123</v>
      </c>
      <c r="C44" s="11" t="s">
        <v>124</v>
      </c>
      <c r="D44" s="18" t="s">
        <v>85</v>
      </c>
      <c r="E44" s="18" t="s">
        <v>85</v>
      </c>
      <c r="F44" s="18" t="s">
        <v>86</v>
      </c>
      <c r="G44" s="43" t="s">
        <v>208</v>
      </c>
      <c r="H44" s="18" t="s">
        <v>303</v>
      </c>
      <c r="I44" s="18" t="n">
        <v>1</v>
      </c>
      <c r="J44" s="18" t="str">
        <f aca="false">IF($F44="C-Level",Pita_CLevel,Pita_Aktif)</f>
        <v>P25</v>
      </c>
      <c r="K44" s="19" t="n">
        <f aca="false">IF($J44="P25",$AC44,IF($J44="P50",$AD44,$AE44))</f>
        <v>20000000</v>
      </c>
      <c r="L44" s="19" t="n">
        <f aca="false">$K44*Tunjangan_Pct</f>
        <v>2000000</v>
      </c>
      <c r="M44" s="19" t="n">
        <f aca="false">$K44+$L44</f>
        <v>22000000</v>
      </c>
      <c r="N44" s="19" t="n">
        <f aca="false">$M44*IF($H44="Lapangan",Tarif_JKK_Lapangan,Tarif_JKK_Kantor)</f>
        <v>118800</v>
      </c>
      <c r="O44" s="19" t="n">
        <f aca="false">$M44*Tarif_JKM</f>
        <v>66000</v>
      </c>
      <c r="P44" s="19" t="n">
        <f aca="false">$M44*Tarif_JHT</f>
        <v>814000</v>
      </c>
      <c r="Q44" s="19" t="n">
        <f aca="false">MIN($M44,Plafon_JP)*Tarif_JP</f>
        <v>221726</v>
      </c>
      <c r="R44" s="19" t="n">
        <f aca="false">MIN(MAX($M44,IF($E44="Padang",UMP_Padang,UMK_Pekanbaru)),Plafon_JKN)*Tarif_JKN</f>
        <v>480000</v>
      </c>
      <c r="S44" s="19" t="n">
        <f aca="false">$M44*Tarif_THR</f>
        <v>1832600</v>
      </c>
      <c r="T44" s="44" t="n">
        <f aca="false">SUM($M44:$S44)</f>
        <v>25533126</v>
      </c>
      <c r="U44" s="34" t="n">
        <f aca="false">$T44/$K44</f>
        <v>1.2766563</v>
      </c>
      <c r="V44" s="18" t="n">
        <v>1</v>
      </c>
      <c r="W44" s="18" t="n">
        <v>1</v>
      </c>
      <c r="X44" s="18" t="n">
        <v>1</v>
      </c>
      <c r="Y44" s="45" t="n">
        <f aca="false">$T44*$V44</f>
        <v>25533126</v>
      </c>
      <c r="Z44" s="45" t="n">
        <f aca="false">$T44*$W44</f>
        <v>25533126</v>
      </c>
      <c r="AA44" s="45" t="n">
        <f aca="false">$T44*$X44</f>
        <v>25533126</v>
      </c>
      <c r="AC44" s="46" t="n">
        <f aca="false">IF($E44="Padang",INDEX('Pita Gaji'!$F$6:$F$28,MATCH($G44,'Pita Gaji'!$A$6:$A$28,0)),INDEX('Pita Gaji'!$C$6:$C$28,MATCH($G44,'Pita Gaji'!$A$6:$A$28,0)))</f>
        <v>20000000</v>
      </c>
      <c r="AD44" s="46" t="n">
        <f aca="false">IF($E44="Padang",INDEX('Pita Gaji'!$G$6:$G$28,MATCH($G44,'Pita Gaji'!$A$6:$A$28,0)),INDEX('Pita Gaji'!$D$6:$D$28,MATCH($G44,'Pita Gaji'!$A$6:$A$28,0)))</f>
        <v>27500000</v>
      </c>
      <c r="AE44" s="46" t="n">
        <f aca="false">IF($E44="Padang",INDEX('Pita Gaji'!$H$6:$H$28,MATCH($G44,'Pita Gaji'!$A$6:$A$28,0)),INDEX('Pita Gaji'!$E$6:$E$28,MATCH($G44,'Pita Gaji'!$A$6:$A$28,0)))</f>
        <v>35000000</v>
      </c>
      <c r="AF44" s="46" t="n">
        <f aca="false">IF(Pita_CLevel="P25",$AC44,IF(Pita_CLevel="P50",$AD44,$AE44))</f>
        <v>20000000</v>
      </c>
      <c r="AG44" s="46" t="n">
        <f aca="false">(IF($F44="C-Level",$AF44,$AC44)*(1+Tunjangan_Pct))*(1+IF($H44="Lapangan",Tarif_JKK_Lapangan,Tarif_JKK_Kantor)+Tarif_JKM+Tarif_JHT+Tarif_THR)+MIN((IF($F44="C-Level",$AF44,$AC44)*(1+Tunjangan_Pct)),Plafon_JP)*Tarif_JP+MIN(MAX((IF($F44="C-Level",$AF44,$AC44)*(1+Tunjangan_Pct)),IF($E44="Padang",UMP_Padang,UMK_Pekanbaru)),Plafon_JKN)*Tarif_JKN</f>
        <v>25533126</v>
      </c>
      <c r="AH44" s="46" t="n">
        <f aca="false">(IF($F44="C-Level",$AF44,$AD44)*(1+Tunjangan_Pct))*(1+IF($H44="Lapangan",Tarif_JKK_Lapangan,Tarif_JKK_Kantor)+Tarif_JKM+Tarif_JHT+Tarif_THR)+MIN((IF($F44="C-Level",$AF44,$AD44)*(1+Tunjangan_Pct)),Plafon_JP)*Tarif_JP+MIN(MAX((IF($F44="C-Level",$AF44,$AD44)*(1+Tunjangan_Pct)),IF($E44="Padang",UMP_Padang,UMK_Pekanbaru)),Plafon_JKN)*Tarif_JKN</f>
        <v>25533126</v>
      </c>
      <c r="AI44" s="46" t="n">
        <f aca="false">(IF($F44="C-Level",$AF44,$AE44)*(1+Tunjangan_Pct))*(1+IF($H44="Lapangan",Tarif_JKK_Lapangan,Tarif_JKK_Kantor)+Tarif_JKM+Tarif_JHT+Tarif_THR)+MIN((IF($F44="C-Level",$AF44,$AE44)*(1+Tunjangan_Pct)),Plafon_JP)*Tarif_JP+MIN(MAX((IF($F44="C-Level",$AF44,$AE44)*(1+Tunjangan_Pct)),IF($E44="Padang",UMP_Padang,UMK_Pekanbaru)),Plafon_JKN)*Tarif_JKN</f>
        <v>25533126</v>
      </c>
      <c r="AJ44" s="47" t="n">
        <f aca="false">$V44*MAX(0,MIN(3,4-$I44))+$W44*MAX(0,MIN(9,13-MAX($I44,4)))</f>
        <v>12</v>
      </c>
      <c r="AK44" s="47" t="n">
        <f aca="false">$AJ44+$X44*MAX(0,MIN(12,25-MAX($I44,13)))</f>
        <v>24</v>
      </c>
      <c r="AL44" s="48" t="str">
        <f aca="false">IF($M44&gt;=IF($E44="Padang",UMP_Padang,UMK_Pekanbaru),"OK","DI BAWAH UMK")</f>
        <v>OK</v>
      </c>
    </row>
    <row r="45" customFormat="false" ht="15" hidden="false" customHeight="false" outlineLevel="0" collapsed="false">
      <c r="A45" s="18" t="n">
        <v>20</v>
      </c>
      <c r="B45" s="11" t="s">
        <v>123</v>
      </c>
      <c r="C45" s="11" t="s">
        <v>126</v>
      </c>
      <c r="D45" s="18" t="s">
        <v>85</v>
      </c>
      <c r="E45" s="18" t="s">
        <v>85</v>
      </c>
      <c r="F45" s="18" t="s">
        <v>96</v>
      </c>
      <c r="G45" s="43" t="s">
        <v>210</v>
      </c>
      <c r="H45" s="18" t="s">
        <v>304</v>
      </c>
      <c r="I45" s="18" t="n">
        <v>2</v>
      </c>
      <c r="J45" s="18" t="str">
        <f aca="false">IF($F45="C-Level",Pita_CLevel,Pita_Aktif)</f>
        <v>P50</v>
      </c>
      <c r="K45" s="19" t="n">
        <f aca="false">IF($J45="P25",$AC45,IF($J45="P50",$AD45,$AE45))</f>
        <v>14000000</v>
      </c>
      <c r="L45" s="19" t="n">
        <f aca="false">$K45*Tunjangan_Pct</f>
        <v>1400000</v>
      </c>
      <c r="M45" s="19" t="n">
        <f aca="false">$K45+$L45</f>
        <v>15400000</v>
      </c>
      <c r="N45" s="19" t="n">
        <f aca="false">$M45*IF($H45="Lapangan",Tarif_JKK_Lapangan,Tarif_JKK_Kantor)</f>
        <v>137060</v>
      </c>
      <c r="O45" s="19" t="n">
        <f aca="false">$M45*Tarif_JKM</f>
        <v>46200</v>
      </c>
      <c r="P45" s="19" t="n">
        <f aca="false">$M45*Tarif_JHT</f>
        <v>569800</v>
      </c>
      <c r="Q45" s="19" t="n">
        <f aca="false">MIN($M45,Plafon_JP)*Tarif_JP</f>
        <v>221726</v>
      </c>
      <c r="R45" s="19" t="n">
        <f aca="false">MIN(MAX($M45,IF($E45="Padang",UMP_Padang,UMK_Pekanbaru)),Plafon_JKN)*Tarif_JKN</f>
        <v>480000</v>
      </c>
      <c r="S45" s="19" t="n">
        <f aca="false">$M45*Tarif_THR</f>
        <v>1282820</v>
      </c>
      <c r="T45" s="44" t="n">
        <f aca="false">SUM($M45:$S45)</f>
        <v>18137606</v>
      </c>
      <c r="U45" s="34" t="n">
        <f aca="false">$T45/$K45</f>
        <v>1.29554328571429</v>
      </c>
      <c r="V45" s="18" t="n">
        <v>1</v>
      </c>
      <c r="W45" s="18" t="n">
        <v>1</v>
      </c>
      <c r="X45" s="18" t="n">
        <v>1</v>
      </c>
      <c r="Y45" s="45" t="n">
        <f aca="false">$T45*$V45</f>
        <v>18137606</v>
      </c>
      <c r="Z45" s="45" t="n">
        <f aca="false">$T45*$W45</f>
        <v>18137606</v>
      </c>
      <c r="AA45" s="45" t="n">
        <f aca="false">$T45*$X45</f>
        <v>18137606</v>
      </c>
      <c r="AC45" s="46" t="n">
        <f aca="false">IF($E45="Padang",INDEX('Pita Gaji'!$F$6:$F$28,MATCH($G45,'Pita Gaji'!$A$6:$A$28,0)),INDEX('Pita Gaji'!$C$6:$C$28,MATCH($G45,'Pita Gaji'!$A$6:$A$28,0)))</f>
        <v>10000000</v>
      </c>
      <c r="AD45" s="46" t="n">
        <f aca="false">IF($E45="Padang",INDEX('Pita Gaji'!$G$6:$G$28,MATCH($G45,'Pita Gaji'!$A$6:$A$28,0)),INDEX('Pita Gaji'!$D$6:$D$28,MATCH($G45,'Pita Gaji'!$A$6:$A$28,0)))</f>
        <v>14000000</v>
      </c>
      <c r="AE45" s="46" t="n">
        <f aca="false">IF($E45="Padang",INDEX('Pita Gaji'!$H$6:$H$28,MATCH($G45,'Pita Gaji'!$A$6:$A$28,0)),INDEX('Pita Gaji'!$E$6:$E$28,MATCH($G45,'Pita Gaji'!$A$6:$A$28,0)))</f>
        <v>18000000</v>
      </c>
      <c r="AF45" s="46" t="n">
        <f aca="false">IF(Pita_CLevel="P25",$AC45,IF(Pita_CLevel="P50",$AD45,$AE45))</f>
        <v>10000000</v>
      </c>
      <c r="AG45" s="46" t="n">
        <f aca="false">(IF($F45="C-Level",$AF45,$AC45)*(1+Tunjangan_Pct))*(1+IF($H45="Lapangan",Tarif_JKK_Lapangan,Tarif_JKK_Kantor)+Tarif_JKM+Tarif_JHT+Tarif_THR)+MIN((IF($F45="C-Level",$AF45,$AC45)*(1+Tunjangan_Pct)),Plafon_JP)*Tarif_JP+MIN(MAX((IF($F45="C-Level",$AF45,$AC45)*(1+Tunjangan_Pct)),IF($E45="Padang",UMP_Padang,UMK_Pekanbaru)),Plafon_JKN)*Tarif_JKN</f>
        <v>13114200</v>
      </c>
      <c r="AH45" s="46" t="n">
        <f aca="false">(IF($F45="C-Level",$AF45,$AD45)*(1+Tunjangan_Pct))*(1+IF($H45="Lapangan",Tarif_JKK_Lapangan,Tarif_JKK_Kantor)+Tarif_JKM+Tarif_JHT+Tarif_THR)+MIN((IF($F45="C-Level",$AF45,$AD45)*(1+Tunjangan_Pct)),Plafon_JP)*Tarif_JP+MIN(MAX((IF($F45="C-Level",$AF45,$AD45)*(1+Tunjangan_Pct)),IF($E45="Padang",UMP_Padang,UMK_Pekanbaru)),Plafon_JKN)*Tarif_JKN</f>
        <v>18137606</v>
      </c>
      <c r="AI45" s="46" t="n">
        <f aca="false">(IF($F45="C-Level",$AF45,$AE45)*(1+Tunjangan_Pct))*(1+IF($H45="Lapangan",Tarif_JKK_Lapangan,Tarif_JKK_Kantor)+Tarif_JKM+Tarif_JHT+Tarif_THR)+MIN((IF($F45="C-Level",$AF45,$AE45)*(1+Tunjangan_Pct)),Plafon_JP)*Tarif_JP+MIN(MAX((IF($F45="C-Level",$AF45,$AE45)*(1+Tunjangan_Pct)),IF($E45="Padang",UMP_Padang,UMK_Pekanbaru)),Plafon_JKN)*Tarif_JKN</f>
        <v>23119286</v>
      </c>
      <c r="AJ45" s="47" t="n">
        <f aca="false">$V45*MAX(0,MIN(3,4-$I45))+$W45*MAX(0,MIN(9,13-MAX($I45,4)))</f>
        <v>11</v>
      </c>
      <c r="AK45" s="47" t="n">
        <f aca="false">$AJ45+$X45*MAX(0,MIN(12,25-MAX($I45,13)))</f>
        <v>23</v>
      </c>
      <c r="AL45" s="48" t="str">
        <f aca="false">IF($M45&gt;=IF($E45="Padang",UMP_Padang,UMK_Pekanbaru),"OK","DI BAWAH UMK")</f>
        <v>OK</v>
      </c>
    </row>
    <row r="46" customFormat="false" ht="15" hidden="false" customHeight="false" outlineLevel="0" collapsed="false">
      <c r="A46" s="18" t="n">
        <v>21</v>
      </c>
      <c r="B46" s="11" t="s">
        <v>123</v>
      </c>
      <c r="C46" s="11" t="s">
        <v>128</v>
      </c>
      <c r="D46" s="18" t="s">
        <v>85</v>
      </c>
      <c r="E46" s="18" t="s">
        <v>85</v>
      </c>
      <c r="F46" s="18" t="s">
        <v>129</v>
      </c>
      <c r="G46" s="43" t="s">
        <v>212</v>
      </c>
      <c r="H46" s="18" t="s">
        <v>304</v>
      </c>
      <c r="I46" s="18" t="n">
        <v>4</v>
      </c>
      <c r="J46" s="18" t="str">
        <f aca="false">IF($F46="C-Level",Pita_CLevel,Pita_Aktif)</f>
        <v>P50</v>
      </c>
      <c r="K46" s="19" t="n">
        <f aca="false">IF($J46="P25",$AC46,IF($J46="P50",$AD46,$AE46))</f>
        <v>7500000</v>
      </c>
      <c r="L46" s="19" t="n">
        <f aca="false">$K46*Tunjangan_Pct</f>
        <v>750000</v>
      </c>
      <c r="M46" s="19" t="n">
        <f aca="false">$K46+$L46</f>
        <v>8250000</v>
      </c>
      <c r="N46" s="19" t="n">
        <f aca="false">$M46*IF($H46="Lapangan",Tarif_JKK_Lapangan,Tarif_JKK_Kantor)</f>
        <v>73425</v>
      </c>
      <c r="O46" s="19" t="n">
        <f aca="false">$M46*Tarif_JKM</f>
        <v>24750</v>
      </c>
      <c r="P46" s="19" t="n">
        <f aca="false">$M46*Tarif_JHT</f>
        <v>305250</v>
      </c>
      <c r="Q46" s="19" t="n">
        <f aca="false">MIN($M46,Plafon_JP)*Tarif_JP</f>
        <v>165000</v>
      </c>
      <c r="R46" s="19" t="n">
        <f aca="false">MIN(MAX($M46,IF($E46="Padang",UMP_Padang,UMK_Pekanbaru)),Plafon_JKN)*Tarif_JKN</f>
        <v>330000</v>
      </c>
      <c r="S46" s="19" t="n">
        <f aca="false">$M46*Tarif_THR</f>
        <v>687225</v>
      </c>
      <c r="T46" s="44" t="n">
        <f aca="false">SUM($M46:$S46)</f>
        <v>9835650</v>
      </c>
      <c r="U46" s="34" t="n">
        <f aca="false">$T46/$K46</f>
        <v>1.31142</v>
      </c>
      <c r="V46" s="18" t="n">
        <v>0</v>
      </c>
      <c r="W46" s="18" t="n">
        <v>1</v>
      </c>
      <c r="X46" s="18" t="n">
        <v>1</v>
      </c>
      <c r="Y46" s="45" t="n">
        <f aca="false">$T46*$V46</f>
        <v>0</v>
      </c>
      <c r="Z46" s="45" t="n">
        <f aca="false">$T46*$W46</f>
        <v>9835650</v>
      </c>
      <c r="AA46" s="45" t="n">
        <f aca="false">$T46*$X46</f>
        <v>9835650</v>
      </c>
      <c r="AC46" s="46" t="n">
        <f aca="false">IF($E46="Padang",INDEX('Pita Gaji'!$F$6:$F$28,MATCH($G46,'Pita Gaji'!$A$6:$A$28,0)),INDEX('Pita Gaji'!$C$6:$C$28,MATCH($G46,'Pita Gaji'!$A$6:$A$28,0)))</f>
        <v>6000000</v>
      </c>
      <c r="AD46" s="46" t="n">
        <f aca="false">IF($E46="Padang",INDEX('Pita Gaji'!$G$6:$G$28,MATCH($G46,'Pita Gaji'!$A$6:$A$28,0)),INDEX('Pita Gaji'!$D$6:$D$28,MATCH($G46,'Pita Gaji'!$A$6:$A$28,0)))</f>
        <v>7500000</v>
      </c>
      <c r="AE46" s="46" t="n">
        <f aca="false">IF($E46="Padang",INDEX('Pita Gaji'!$H$6:$H$28,MATCH($G46,'Pita Gaji'!$A$6:$A$28,0)),INDEX('Pita Gaji'!$E$6:$E$28,MATCH($G46,'Pita Gaji'!$A$6:$A$28,0)))</f>
        <v>9000000</v>
      </c>
      <c r="AF46" s="46" t="n">
        <f aca="false">IF(Pita_CLevel="P25",$AC46,IF(Pita_CLevel="P50",$AD46,$AE46))</f>
        <v>6000000</v>
      </c>
      <c r="AG46" s="46" t="n">
        <f aca="false">(IF($F46="C-Level",$AF46,$AC46)*(1+Tunjangan_Pct))*(1+IF($H46="Lapangan",Tarif_JKK_Lapangan,Tarif_JKK_Kantor)+Tarif_JKM+Tarif_JHT+Tarif_THR)+MIN((IF($F46="C-Level",$AF46,$AC46)*(1+Tunjangan_Pct)),Plafon_JP)*Tarif_JP+MIN(MAX((IF($F46="C-Level",$AF46,$AC46)*(1+Tunjangan_Pct)),IF($E46="Padang",UMP_Padang,UMK_Pekanbaru)),Plafon_JKN)*Tarif_JKN</f>
        <v>7868520</v>
      </c>
      <c r="AH46" s="46" t="n">
        <f aca="false">(IF($F46="C-Level",$AF46,$AD46)*(1+Tunjangan_Pct))*(1+IF($H46="Lapangan",Tarif_JKK_Lapangan,Tarif_JKK_Kantor)+Tarif_JKM+Tarif_JHT+Tarif_THR)+MIN((IF($F46="C-Level",$AF46,$AD46)*(1+Tunjangan_Pct)),Plafon_JP)*Tarif_JP+MIN(MAX((IF($F46="C-Level",$AF46,$AD46)*(1+Tunjangan_Pct)),IF($E46="Padang",UMP_Padang,UMK_Pekanbaru)),Plafon_JKN)*Tarif_JKN</f>
        <v>9835650</v>
      </c>
      <c r="AI46" s="46" t="n">
        <f aca="false">(IF($F46="C-Level",$AF46,$AE46)*(1+Tunjangan_Pct))*(1+IF($H46="Lapangan",Tarif_JKK_Lapangan,Tarif_JKK_Kantor)+Tarif_JKM+Tarif_JHT+Tarif_THR)+MIN((IF($F46="C-Level",$AF46,$AE46)*(1+Tunjangan_Pct)),Plafon_JP)*Tarif_JP+MIN(MAX((IF($F46="C-Level",$AF46,$AE46)*(1+Tunjangan_Pct)),IF($E46="Padang",UMP_Padang,UMK_Pekanbaru)),Plafon_JKN)*Tarif_JKN</f>
        <v>11802780</v>
      </c>
      <c r="AJ46" s="47" t="n">
        <f aca="false">$V46*MAX(0,MIN(3,4-$I46))+$W46*MAX(0,MIN(9,13-MAX($I46,4)))</f>
        <v>9</v>
      </c>
      <c r="AK46" s="47" t="n">
        <f aca="false">$AJ46+$X46*MAX(0,MIN(12,25-MAX($I46,13)))</f>
        <v>21</v>
      </c>
      <c r="AL46" s="48" t="str">
        <f aca="false">IF($M46&gt;=IF($E46="Padang",UMP_Padang,UMK_Pekanbaru),"OK","DI BAWAH UMK")</f>
        <v>OK</v>
      </c>
    </row>
    <row r="47" customFormat="false" ht="15" hidden="false" customHeight="false" outlineLevel="0" collapsed="false">
      <c r="A47" s="18" t="n">
        <v>22</v>
      </c>
      <c r="B47" s="11" t="s">
        <v>123</v>
      </c>
      <c r="C47" s="11" t="s">
        <v>130</v>
      </c>
      <c r="D47" s="18" t="s">
        <v>85</v>
      </c>
      <c r="E47" s="18" t="s">
        <v>85</v>
      </c>
      <c r="F47" s="18" t="s">
        <v>131</v>
      </c>
      <c r="G47" s="43" t="s">
        <v>215</v>
      </c>
      <c r="H47" s="18" t="s">
        <v>304</v>
      </c>
      <c r="I47" s="18" t="n">
        <v>4</v>
      </c>
      <c r="J47" s="18" t="str">
        <f aca="false">IF($F47="C-Level",Pita_CLevel,Pita_Aktif)</f>
        <v>P50</v>
      </c>
      <c r="K47" s="19" t="n">
        <f aca="false">IF($J47="P25",$AC47,IF($J47="P50",$AD47,$AE47))</f>
        <v>5250000</v>
      </c>
      <c r="L47" s="19" t="n">
        <f aca="false">$K47*Tunjangan_Pct</f>
        <v>525000</v>
      </c>
      <c r="M47" s="19" t="n">
        <f aca="false">$K47+$L47</f>
        <v>5775000</v>
      </c>
      <c r="N47" s="19" t="n">
        <f aca="false">$M47*IF($H47="Lapangan",Tarif_JKK_Lapangan,Tarif_JKK_Kantor)</f>
        <v>51397.5</v>
      </c>
      <c r="O47" s="19" t="n">
        <f aca="false">$M47*Tarif_JKM</f>
        <v>17325</v>
      </c>
      <c r="P47" s="19" t="n">
        <f aca="false">$M47*Tarif_JHT</f>
        <v>213675</v>
      </c>
      <c r="Q47" s="19" t="n">
        <f aca="false">MIN($M47,Plafon_JP)*Tarif_JP</f>
        <v>115500</v>
      </c>
      <c r="R47" s="19" t="n">
        <f aca="false">MIN(MAX($M47,IF($E47="Padang",UMP_Padang,UMK_Pekanbaru)),Plafon_JKN)*Tarif_JKN</f>
        <v>231000</v>
      </c>
      <c r="S47" s="19" t="n">
        <f aca="false">$M47*Tarif_THR</f>
        <v>481057.5</v>
      </c>
      <c r="T47" s="44" t="n">
        <f aca="false">SUM($M47:$S47)</f>
        <v>6884955</v>
      </c>
      <c r="U47" s="34" t="n">
        <f aca="false">$T47/$K47</f>
        <v>1.31142</v>
      </c>
      <c r="V47" s="18" t="n">
        <v>0</v>
      </c>
      <c r="W47" s="18" t="n">
        <v>2</v>
      </c>
      <c r="X47" s="18" t="n">
        <v>2</v>
      </c>
      <c r="Y47" s="45" t="n">
        <f aca="false">$T47*$V47</f>
        <v>0</v>
      </c>
      <c r="Z47" s="45" t="n">
        <f aca="false">$T47*$W47</f>
        <v>13769910</v>
      </c>
      <c r="AA47" s="45" t="n">
        <f aca="false">$T47*$X47</f>
        <v>13769910</v>
      </c>
      <c r="AC47" s="46" t="n">
        <f aca="false">IF($E47="Padang",INDEX('Pita Gaji'!$F$6:$F$28,MATCH($G47,'Pita Gaji'!$A$6:$A$28,0)),INDEX('Pita Gaji'!$C$6:$C$28,MATCH($G47,'Pita Gaji'!$A$6:$A$28,0)))</f>
        <v>4000000</v>
      </c>
      <c r="AD47" s="46" t="n">
        <f aca="false">IF($E47="Padang",INDEX('Pita Gaji'!$G$6:$G$28,MATCH($G47,'Pita Gaji'!$A$6:$A$28,0)),INDEX('Pita Gaji'!$D$6:$D$28,MATCH($G47,'Pita Gaji'!$A$6:$A$28,0)))</f>
        <v>5250000</v>
      </c>
      <c r="AE47" s="46" t="n">
        <f aca="false">IF($E47="Padang",INDEX('Pita Gaji'!$H$6:$H$28,MATCH($G47,'Pita Gaji'!$A$6:$A$28,0)),INDEX('Pita Gaji'!$E$6:$E$28,MATCH($G47,'Pita Gaji'!$A$6:$A$28,0)))</f>
        <v>6500000</v>
      </c>
      <c r="AF47" s="46" t="n">
        <f aca="false">IF(Pita_CLevel="P25",$AC47,IF(Pita_CLevel="P50",$AD47,$AE47))</f>
        <v>4000000</v>
      </c>
      <c r="AG47" s="46" t="n">
        <f aca="false">(IF($F47="C-Level",$AF47,$AC47)*(1+Tunjangan_Pct))*(1+IF($H47="Lapangan",Tarif_JKK_Lapangan,Tarif_JKK_Kantor)+Tarif_JKM+Tarif_JHT+Tarif_THR)+MIN((IF($F47="C-Level",$AF47,$AC47)*(1+Tunjangan_Pct)),Plafon_JP)*Tarif_JP+MIN(MAX((IF($F47="C-Level",$AF47,$AC47)*(1+Tunjangan_Pct)),IF($E47="Padang",UMP_Padang,UMK_Pekanbaru)),Plafon_JKN)*Tarif_JKN</f>
        <v>5245680</v>
      </c>
      <c r="AH47" s="46" t="n">
        <f aca="false">(IF($F47="C-Level",$AF47,$AD47)*(1+Tunjangan_Pct))*(1+IF($H47="Lapangan",Tarif_JKK_Lapangan,Tarif_JKK_Kantor)+Tarif_JKM+Tarif_JHT+Tarif_THR)+MIN((IF($F47="C-Level",$AF47,$AD47)*(1+Tunjangan_Pct)),Plafon_JP)*Tarif_JP+MIN(MAX((IF($F47="C-Level",$AF47,$AD47)*(1+Tunjangan_Pct)),IF($E47="Padang",UMP_Padang,UMK_Pekanbaru)),Plafon_JKN)*Tarif_JKN</f>
        <v>6884955</v>
      </c>
      <c r="AI47" s="46" t="n">
        <f aca="false">(IF($F47="C-Level",$AF47,$AE47)*(1+Tunjangan_Pct))*(1+IF($H47="Lapangan",Tarif_JKK_Lapangan,Tarif_JKK_Kantor)+Tarif_JKM+Tarif_JHT+Tarif_THR)+MIN((IF($F47="C-Level",$AF47,$AE47)*(1+Tunjangan_Pct)),Plafon_JP)*Tarif_JP+MIN(MAX((IF($F47="C-Level",$AF47,$AE47)*(1+Tunjangan_Pct)),IF($E47="Padang",UMP_Padang,UMK_Pekanbaru)),Plafon_JKN)*Tarif_JKN</f>
        <v>8524230</v>
      </c>
      <c r="AJ47" s="47" t="n">
        <f aca="false">$V47*MAX(0,MIN(3,4-$I47))+$W47*MAX(0,MIN(9,13-MAX($I47,4)))</f>
        <v>18</v>
      </c>
      <c r="AK47" s="47" t="n">
        <f aca="false">$AJ47+$X47*MAX(0,MIN(12,25-MAX($I47,13)))</f>
        <v>42</v>
      </c>
      <c r="AL47" s="48" t="str">
        <f aca="false">IF($M47&gt;=IF($E47="Padang",UMP_Padang,UMK_Pekanbaru),"OK","DI BAWAH UMK")</f>
        <v>OK</v>
      </c>
    </row>
    <row r="48" customFormat="false" ht="15" hidden="false" customHeight="false" outlineLevel="0" collapsed="false">
      <c r="A48" s="18" t="n">
        <v>23</v>
      </c>
      <c r="B48" s="11" t="s">
        <v>123</v>
      </c>
      <c r="C48" s="11" t="s">
        <v>133</v>
      </c>
      <c r="D48" s="18" t="s">
        <v>85</v>
      </c>
      <c r="E48" s="18" t="s">
        <v>85</v>
      </c>
      <c r="F48" s="18" t="s">
        <v>134</v>
      </c>
      <c r="G48" s="43" t="s">
        <v>133</v>
      </c>
      <c r="H48" s="18" t="s">
        <v>303</v>
      </c>
      <c r="I48" s="18" t="n">
        <v>4</v>
      </c>
      <c r="J48" s="18" t="str">
        <f aca="false">IF($F48="C-Level",Pita_CLevel,Pita_Aktif)</f>
        <v>P50</v>
      </c>
      <c r="K48" s="19" t="n">
        <f aca="false">IF($J48="P25",$AC48,IF($J48="P50",$AD48,$AE48))</f>
        <v>14000000</v>
      </c>
      <c r="L48" s="19" t="n">
        <f aca="false">$K48*Tunjangan_Pct</f>
        <v>1400000</v>
      </c>
      <c r="M48" s="19" t="n">
        <f aca="false">$K48+$L48</f>
        <v>15400000</v>
      </c>
      <c r="N48" s="19" t="n">
        <f aca="false">$M48*IF($H48="Lapangan",Tarif_JKK_Lapangan,Tarif_JKK_Kantor)</f>
        <v>83160</v>
      </c>
      <c r="O48" s="19" t="n">
        <f aca="false">$M48*Tarif_JKM</f>
        <v>46200</v>
      </c>
      <c r="P48" s="19" t="n">
        <f aca="false">$M48*Tarif_JHT</f>
        <v>569800</v>
      </c>
      <c r="Q48" s="19" t="n">
        <f aca="false">MIN($M48,Plafon_JP)*Tarif_JP</f>
        <v>221726</v>
      </c>
      <c r="R48" s="19" t="n">
        <f aca="false">MIN(MAX($M48,IF($E48="Padang",UMP_Padang,UMK_Pekanbaru)),Plafon_JKN)*Tarif_JKN</f>
        <v>480000</v>
      </c>
      <c r="S48" s="19" t="n">
        <f aca="false">$M48*Tarif_THR</f>
        <v>1282820</v>
      </c>
      <c r="T48" s="44" t="n">
        <f aca="false">SUM($M48:$S48)</f>
        <v>18083706</v>
      </c>
      <c r="U48" s="34" t="n">
        <f aca="false">$T48/$K48</f>
        <v>1.29169328571429</v>
      </c>
      <c r="V48" s="18" t="n">
        <v>0</v>
      </c>
      <c r="W48" s="18" t="n">
        <v>1</v>
      </c>
      <c r="X48" s="18" t="n">
        <v>1</v>
      </c>
      <c r="Y48" s="45" t="n">
        <f aca="false">$T48*$V48</f>
        <v>0</v>
      </c>
      <c r="Z48" s="45" t="n">
        <f aca="false">$T48*$W48</f>
        <v>18083706</v>
      </c>
      <c r="AA48" s="45" t="n">
        <f aca="false">$T48*$X48</f>
        <v>18083706</v>
      </c>
      <c r="AC48" s="46" t="n">
        <f aca="false">IF($E48="Padang",INDEX('Pita Gaji'!$F$6:$F$28,MATCH($G48,'Pita Gaji'!$A$6:$A$28,0)),INDEX('Pita Gaji'!$C$6:$C$28,MATCH($G48,'Pita Gaji'!$A$6:$A$28,0)))</f>
        <v>10000000</v>
      </c>
      <c r="AD48" s="46" t="n">
        <f aca="false">IF($E48="Padang",INDEX('Pita Gaji'!$G$6:$G$28,MATCH($G48,'Pita Gaji'!$A$6:$A$28,0)),INDEX('Pita Gaji'!$D$6:$D$28,MATCH($G48,'Pita Gaji'!$A$6:$A$28,0)))</f>
        <v>14000000</v>
      </c>
      <c r="AE48" s="46" t="n">
        <f aca="false">IF($E48="Padang",INDEX('Pita Gaji'!$H$6:$H$28,MATCH($G48,'Pita Gaji'!$A$6:$A$28,0)),INDEX('Pita Gaji'!$E$6:$E$28,MATCH($G48,'Pita Gaji'!$A$6:$A$28,0)))</f>
        <v>18000000</v>
      </c>
      <c r="AF48" s="46" t="n">
        <f aca="false">IF(Pita_CLevel="P25",$AC48,IF(Pita_CLevel="P50",$AD48,$AE48))</f>
        <v>10000000</v>
      </c>
      <c r="AG48" s="46" t="n">
        <f aca="false">(IF($F48="C-Level",$AF48,$AC48)*(1+Tunjangan_Pct))*(1+IF($H48="Lapangan",Tarif_JKK_Lapangan,Tarif_JKK_Kantor)+Tarif_JKM+Tarif_JHT+Tarif_THR)+MIN((IF($F48="C-Level",$AF48,$AC48)*(1+Tunjangan_Pct)),Plafon_JP)*Tarif_JP+MIN(MAX((IF($F48="C-Level",$AF48,$AC48)*(1+Tunjangan_Pct)),IF($E48="Padang",UMP_Padang,UMK_Pekanbaru)),Plafon_JKN)*Tarif_JKN</f>
        <v>13075700</v>
      </c>
      <c r="AH48" s="46" t="n">
        <f aca="false">(IF($F48="C-Level",$AF48,$AD48)*(1+Tunjangan_Pct))*(1+IF($H48="Lapangan",Tarif_JKK_Lapangan,Tarif_JKK_Kantor)+Tarif_JKM+Tarif_JHT+Tarif_THR)+MIN((IF($F48="C-Level",$AF48,$AD48)*(1+Tunjangan_Pct)),Plafon_JP)*Tarif_JP+MIN(MAX((IF($F48="C-Level",$AF48,$AD48)*(1+Tunjangan_Pct)),IF($E48="Padang",UMP_Padang,UMK_Pekanbaru)),Plafon_JKN)*Tarif_JKN</f>
        <v>18083706</v>
      </c>
      <c r="AI48" s="46" t="n">
        <f aca="false">(IF($F48="C-Level",$AF48,$AE48)*(1+Tunjangan_Pct))*(1+IF($H48="Lapangan",Tarif_JKK_Lapangan,Tarif_JKK_Kantor)+Tarif_JKM+Tarif_JHT+Tarif_THR)+MIN((IF($F48="C-Level",$AF48,$AE48)*(1+Tunjangan_Pct)),Plafon_JP)*Tarif_JP+MIN(MAX((IF($F48="C-Level",$AF48,$AE48)*(1+Tunjangan_Pct)),IF($E48="Padang",UMP_Padang,UMK_Pekanbaru)),Plafon_JKN)*Tarif_JKN</f>
        <v>23049986</v>
      </c>
      <c r="AJ48" s="47" t="n">
        <f aca="false">$V48*MAX(0,MIN(3,4-$I48))+$W48*MAX(0,MIN(9,13-MAX($I48,4)))</f>
        <v>9</v>
      </c>
      <c r="AK48" s="47" t="n">
        <f aca="false">$AJ48+$X48*MAX(0,MIN(12,25-MAX($I48,13)))</f>
        <v>21</v>
      </c>
      <c r="AL48" s="48" t="str">
        <f aca="false">IF($M48&gt;=IF($E48="Padang",UMP_Padang,UMK_Pekanbaru),"OK","DI BAWAH UMK")</f>
        <v>OK</v>
      </c>
    </row>
    <row r="49" customFormat="false" ht="15" hidden="false" customHeight="false" outlineLevel="0" collapsed="false">
      <c r="A49" s="18" t="n">
        <v>24</v>
      </c>
      <c r="B49" s="11" t="s">
        <v>123</v>
      </c>
      <c r="C49" s="11" t="s">
        <v>136</v>
      </c>
      <c r="D49" s="18" t="s">
        <v>85</v>
      </c>
      <c r="E49" s="18" t="s">
        <v>85</v>
      </c>
      <c r="F49" s="18" t="s">
        <v>131</v>
      </c>
      <c r="G49" s="43" t="s">
        <v>213</v>
      </c>
      <c r="H49" s="18" t="s">
        <v>303</v>
      </c>
      <c r="I49" s="18" t="n">
        <v>5</v>
      </c>
      <c r="J49" s="18" t="str">
        <f aca="false">IF($F49="C-Level",Pita_CLevel,Pita_Aktif)</f>
        <v>P50</v>
      </c>
      <c r="K49" s="19" t="n">
        <f aca="false">IF($J49="P25",$AC49,IF($J49="P50",$AD49,$AE49))</f>
        <v>4750000</v>
      </c>
      <c r="L49" s="19" t="n">
        <f aca="false">$K49*Tunjangan_Pct</f>
        <v>475000</v>
      </c>
      <c r="M49" s="19" t="n">
        <f aca="false">$K49+$L49</f>
        <v>5225000</v>
      </c>
      <c r="N49" s="19" t="n">
        <f aca="false">$M49*IF($H49="Lapangan",Tarif_JKK_Lapangan,Tarif_JKK_Kantor)</f>
        <v>28215</v>
      </c>
      <c r="O49" s="19" t="n">
        <f aca="false">$M49*Tarif_JKM</f>
        <v>15675</v>
      </c>
      <c r="P49" s="19" t="n">
        <f aca="false">$M49*Tarif_JHT</f>
        <v>193325</v>
      </c>
      <c r="Q49" s="19" t="n">
        <f aca="false">MIN($M49,Plafon_JP)*Tarif_JP</f>
        <v>104500</v>
      </c>
      <c r="R49" s="19" t="n">
        <f aca="false">MIN(MAX($M49,IF($E49="Padang",UMP_Padang,UMK_Pekanbaru)),Plafon_JKN)*Tarif_JKN</f>
        <v>209000</v>
      </c>
      <c r="S49" s="19" t="n">
        <f aca="false">$M49*Tarif_THR</f>
        <v>435242.5</v>
      </c>
      <c r="T49" s="44" t="n">
        <f aca="false">SUM($M49:$S49)</f>
        <v>6210957.5</v>
      </c>
      <c r="U49" s="34" t="n">
        <f aca="false">$T49/$K49</f>
        <v>1.30757</v>
      </c>
      <c r="V49" s="18" t="n">
        <v>0</v>
      </c>
      <c r="W49" s="18" t="n">
        <v>3</v>
      </c>
      <c r="X49" s="18" t="n">
        <v>3</v>
      </c>
      <c r="Y49" s="45" t="n">
        <f aca="false">$T49*$V49</f>
        <v>0</v>
      </c>
      <c r="Z49" s="45" t="n">
        <f aca="false">$T49*$W49</f>
        <v>18632872.5</v>
      </c>
      <c r="AA49" s="45" t="n">
        <f aca="false">$T49*$X49</f>
        <v>18632872.5</v>
      </c>
      <c r="AC49" s="46" t="n">
        <f aca="false">IF($E49="Padang",INDEX('Pita Gaji'!$F$6:$F$28,MATCH($G49,'Pita Gaji'!$A$6:$A$28,0)),INDEX('Pita Gaji'!$C$6:$C$28,MATCH($G49,'Pita Gaji'!$A$6:$A$28,0)))</f>
        <v>4000000</v>
      </c>
      <c r="AD49" s="46" t="n">
        <f aca="false">IF($E49="Padang",INDEX('Pita Gaji'!$G$6:$G$28,MATCH($G49,'Pita Gaji'!$A$6:$A$28,0)),INDEX('Pita Gaji'!$D$6:$D$28,MATCH($G49,'Pita Gaji'!$A$6:$A$28,0)))</f>
        <v>4750000</v>
      </c>
      <c r="AE49" s="46" t="n">
        <f aca="false">IF($E49="Padang",INDEX('Pita Gaji'!$H$6:$H$28,MATCH($G49,'Pita Gaji'!$A$6:$A$28,0)),INDEX('Pita Gaji'!$E$6:$E$28,MATCH($G49,'Pita Gaji'!$A$6:$A$28,0)))</f>
        <v>5500000</v>
      </c>
      <c r="AF49" s="46" t="n">
        <f aca="false">IF(Pita_CLevel="P25",$AC49,IF(Pita_CLevel="P50",$AD49,$AE49))</f>
        <v>4000000</v>
      </c>
      <c r="AG49" s="46" t="n">
        <f aca="false">(IF($F49="C-Level",$AF49,$AC49)*(1+Tunjangan_Pct))*(1+IF($H49="Lapangan",Tarif_JKK_Lapangan,Tarif_JKK_Kantor)+Tarif_JKM+Tarif_JHT+Tarif_THR)+MIN((IF($F49="C-Level",$AF49,$AC49)*(1+Tunjangan_Pct)),Plafon_JP)*Tarif_JP+MIN(MAX((IF($F49="C-Level",$AF49,$AC49)*(1+Tunjangan_Pct)),IF($E49="Padang",UMP_Padang,UMK_Pekanbaru)),Plafon_JKN)*Tarif_JKN</f>
        <v>5230280</v>
      </c>
      <c r="AH49" s="46" t="n">
        <f aca="false">(IF($F49="C-Level",$AF49,$AD49)*(1+Tunjangan_Pct))*(1+IF($H49="Lapangan",Tarif_JKK_Lapangan,Tarif_JKK_Kantor)+Tarif_JKM+Tarif_JHT+Tarif_THR)+MIN((IF($F49="C-Level",$AF49,$AD49)*(1+Tunjangan_Pct)),Plafon_JP)*Tarif_JP+MIN(MAX((IF($F49="C-Level",$AF49,$AD49)*(1+Tunjangan_Pct)),IF($E49="Padang",UMP_Padang,UMK_Pekanbaru)),Plafon_JKN)*Tarif_JKN</f>
        <v>6210957.5</v>
      </c>
      <c r="AI49" s="46" t="n">
        <f aca="false">(IF($F49="C-Level",$AF49,$AE49)*(1+Tunjangan_Pct))*(1+IF($H49="Lapangan",Tarif_JKK_Lapangan,Tarif_JKK_Kantor)+Tarif_JKM+Tarif_JHT+Tarif_THR)+MIN((IF($F49="C-Level",$AF49,$AE49)*(1+Tunjangan_Pct)),Plafon_JP)*Tarif_JP+MIN(MAX((IF($F49="C-Level",$AF49,$AE49)*(1+Tunjangan_Pct)),IF($E49="Padang",UMP_Padang,UMK_Pekanbaru)),Plafon_JKN)*Tarif_JKN</f>
        <v>7191635</v>
      </c>
      <c r="AJ49" s="47" t="n">
        <f aca="false">$V49*MAX(0,MIN(3,4-$I49))+$W49*MAX(0,MIN(9,13-MAX($I49,4)))</f>
        <v>24</v>
      </c>
      <c r="AK49" s="47" t="n">
        <f aca="false">$AJ49+$X49*MAX(0,MIN(12,25-MAX($I49,13)))</f>
        <v>60</v>
      </c>
      <c r="AL49" s="48" t="str">
        <f aca="false">IF($M49&gt;=IF($E49="Padang",UMP_Padang,UMK_Pekanbaru),"OK","DI BAWAH UMK")</f>
        <v>OK</v>
      </c>
    </row>
    <row r="50" customFormat="false" ht="15" hidden="false" customHeight="false" outlineLevel="0" collapsed="false">
      <c r="A50" s="18" t="n">
        <v>25</v>
      </c>
      <c r="B50" s="11" t="s">
        <v>123</v>
      </c>
      <c r="C50" s="11" t="s">
        <v>138</v>
      </c>
      <c r="D50" s="18" t="s">
        <v>85</v>
      </c>
      <c r="E50" s="18" t="s">
        <v>85</v>
      </c>
      <c r="F50" s="18" t="s">
        <v>89</v>
      </c>
      <c r="G50" s="43" t="s">
        <v>138</v>
      </c>
      <c r="H50" s="18" t="s">
        <v>303</v>
      </c>
      <c r="I50" s="18" t="n">
        <v>6</v>
      </c>
      <c r="J50" s="18" t="str">
        <f aca="false">IF($F50="C-Level",Pita_CLevel,Pita_Aktif)</f>
        <v>P50</v>
      </c>
      <c r="K50" s="19" t="n">
        <f aca="false">IF($J50="P25",$AC50,IF($J50="P50",$AD50,$AE50))</f>
        <v>9500000</v>
      </c>
      <c r="L50" s="19" t="n">
        <f aca="false">$K50*Tunjangan_Pct</f>
        <v>950000</v>
      </c>
      <c r="M50" s="19" t="n">
        <f aca="false">$K50+$L50</f>
        <v>10450000</v>
      </c>
      <c r="N50" s="19" t="n">
        <f aca="false">$M50*IF($H50="Lapangan",Tarif_JKK_Lapangan,Tarif_JKK_Kantor)</f>
        <v>56430</v>
      </c>
      <c r="O50" s="19" t="n">
        <f aca="false">$M50*Tarif_JKM</f>
        <v>31350</v>
      </c>
      <c r="P50" s="19" t="n">
        <f aca="false">$M50*Tarif_JHT</f>
        <v>386650</v>
      </c>
      <c r="Q50" s="19" t="n">
        <f aca="false">MIN($M50,Plafon_JP)*Tarif_JP</f>
        <v>209000</v>
      </c>
      <c r="R50" s="19" t="n">
        <f aca="false">MIN(MAX($M50,IF($E50="Padang",UMP_Padang,UMK_Pekanbaru)),Plafon_JKN)*Tarif_JKN</f>
        <v>418000</v>
      </c>
      <c r="S50" s="19" t="n">
        <f aca="false">$M50*Tarif_THR</f>
        <v>870485</v>
      </c>
      <c r="T50" s="44" t="n">
        <f aca="false">SUM($M50:$S50)</f>
        <v>12421915</v>
      </c>
      <c r="U50" s="34" t="n">
        <f aca="false">$T50/$K50</f>
        <v>1.30757</v>
      </c>
      <c r="V50" s="18" t="n">
        <v>0</v>
      </c>
      <c r="W50" s="18" t="n">
        <v>1</v>
      </c>
      <c r="X50" s="18" t="n">
        <v>1</v>
      </c>
      <c r="Y50" s="45" t="n">
        <f aca="false">$T50*$V50</f>
        <v>0</v>
      </c>
      <c r="Z50" s="45" t="n">
        <f aca="false">$T50*$W50</f>
        <v>12421915</v>
      </c>
      <c r="AA50" s="45" t="n">
        <f aca="false">$T50*$X50</f>
        <v>12421915</v>
      </c>
      <c r="AC50" s="46" t="n">
        <f aca="false">IF($E50="Padang",INDEX('Pita Gaji'!$F$6:$F$28,MATCH($G50,'Pita Gaji'!$A$6:$A$28,0)),INDEX('Pita Gaji'!$C$6:$C$28,MATCH($G50,'Pita Gaji'!$A$6:$A$28,0)))</f>
        <v>7000000</v>
      </c>
      <c r="AD50" s="46" t="n">
        <f aca="false">IF($E50="Padang",INDEX('Pita Gaji'!$G$6:$G$28,MATCH($G50,'Pita Gaji'!$A$6:$A$28,0)),INDEX('Pita Gaji'!$D$6:$D$28,MATCH($G50,'Pita Gaji'!$A$6:$A$28,0)))</f>
        <v>9500000</v>
      </c>
      <c r="AE50" s="46" t="n">
        <f aca="false">IF($E50="Padang",INDEX('Pita Gaji'!$H$6:$H$28,MATCH($G50,'Pita Gaji'!$A$6:$A$28,0)),INDEX('Pita Gaji'!$E$6:$E$28,MATCH($G50,'Pita Gaji'!$A$6:$A$28,0)))</f>
        <v>12000000</v>
      </c>
      <c r="AF50" s="46" t="n">
        <f aca="false">IF(Pita_CLevel="P25",$AC50,IF(Pita_CLevel="P50",$AD50,$AE50))</f>
        <v>7000000</v>
      </c>
      <c r="AG50" s="46" t="n">
        <f aca="false">(IF($F50="C-Level",$AF50,$AC50)*(1+Tunjangan_Pct))*(1+IF($H50="Lapangan",Tarif_JKK_Lapangan,Tarif_JKK_Kantor)+Tarif_JKM+Tarif_JHT+Tarif_THR)+MIN((IF($F50="C-Level",$AF50,$AC50)*(1+Tunjangan_Pct)),Plafon_JP)*Tarif_JP+MIN(MAX((IF($F50="C-Level",$AF50,$AC50)*(1+Tunjangan_Pct)),IF($E50="Padang",UMP_Padang,UMK_Pekanbaru)),Plafon_JKN)*Tarif_JKN</f>
        <v>9152990</v>
      </c>
      <c r="AH50" s="46" t="n">
        <f aca="false">(IF($F50="C-Level",$AF50,$AD50)*(1+Tunjangan_Pct))*(1+IF($H50="Lapangan",Tarif_JKK_Lapangan,Tarif_JKK_Kantor)+Tarif_JKM+Tarif_JHT+Tarif_THR)+MIN((IF($F50="C-Level",$AF50,$AD50)*(1+Tunjangan_Pct)),Plafon_JP)*Tarif_JP+MIN(MAX((IF($F50="C-Level",$AF50,$AD50)*(1+Tunjangan_Pct)),IF($E50="Padang",UMP_Padang,UMK_Pekanbaru)),Plafon_JKN)*Tarif_JKN</f>
        <v>12421915</v>
      </c>
      <c r="AI50" s="46" t="n">
        <f aca="false">(IF($F50="C-Level",$AF50,$AE50)*(1+Tunjangan_Pct))*(1+IF($H50="Lapangan",Tarif_JKK_Lapangan,Tarif_JKK_Kantor)+Tarif_JKM+Tarif_JHT+Tarif_THR)+MIN((IF($F50="C-Level",$AF50,$AE50)*(1+Tunjangan_Pct)),Plafon_JP)*Tarif_JP+MIN(MAX((IF($F50="C-Level",$AF50,$AE50)*(1+Tunjangan_Pct)),IF($E50="Padang",UMP_Padang,UMK_Pekanbaru)),Plafon_JKN)*Tarif_JKN</f>
        <v>15600566</v>
      </c>
      <c r="AJ50" s="47" t="n">
        <f aca="false">$V50*MAX(0,MIN(3,4-$I50))+$W50*MAX(0,MIN(9,13-MAX($I50,4)))</f>
        <v>7</v>
      </c>
      <c r="AK50" s="47" t="n">
        <f aca="false">$AJ50+$X50*MAX(0,MIN(12,25-MAX($I50,13)))</f>
        <v>19</v>
      </c>
      <c r="AL50" s="48" t="str">
        <f aca="false">IF($M50&gt;=IF($E50="Padang",UMP_Padang,UMK_Pekanbaru),"OK","DI BAWAH UMK")</f>
        <v>OK</v>
      </c>
    </row>
    <row r="51" customFormat="false" ht="15" hidden="false" customHeight="false" outlineLevel="0" collapsed="false">
      <c r="A51" s="18" t="n">
        <v>26</v>
      </c>
      <c r="B51" s="11" t="s">
        <v>123</v>
      </c>
      <c r="C51" s="11" t="s">
        <v>140</v>
      </c>
      <c r="D51" s="18" t="s">
        <v>117</v>
      </c>
      <c r="E51" s="18" t="s">
        <v>117</v>
      </c>
      <c r="F51" s="18" t="s">
        <v>96</v>
      </c>
      <c r="G51" s="43" t="s">
        <v>210</v>
      </c>
      <c r="H51" s="18" t="s">
        <v>304</v>
      </c>
      <c r="I51" s="18" t="n">
        <v>13</v>
      </c>
      <c r="J51" s="18" t="str">
        <f aca="false">IF($F51="C-Level",Pita_CLevel,Pita_Aktif)</f>
        <v>P50</v>
      </c>
      <c r="K51" s="19" t="n">
        <f aca="false">IF($J51="P25",$AC51,IF($J51="P50",$AD51,$AE51))</f>
        <v>12500000</v>
      </c>
      <c r="L51" s="19" t="n">
        <f aca="false">$K51*Tunjangan_Pct</f>
        <v>1250000</v>
      </c>
      <c r="M51" s="19" t="n">
        <f aca="false">$K51+$L51</f>
        <v>13750000</v>
      </c>
      <c r="N51" s="19" t="n">
        <f aca="false">$M51*IF($H51="Lapangan",Tarif_JKK_Lapangan,Tarif_JKK_Kantor)</f>
        <v>122375</v>
      </c>
      <c r="O51" s="19" t="n">
        <f aca="false">$M51*Tarif_JKM</f>
        <v>41250</v>
      </c>
      <c r="P51" s="19" t="n">
        <f aca="false">$M51*Tarif_JHT</f>
        <v>508750</v>
      </c>
      <c r="Q51" s="19" t="n">
        <f aca="false">MIN($M51,Plafon_JP)*Tarif_JP</f>
        <v>221726</v>
      </c>
      <c r="R51" s="19" t="n">
        <f aca="false">MIN(MAX($M51,IF($E51="Padang",UMP_Padang,UMK_Pekanbaru)),Plafon_JKN)*Tarif_JKN</f>
        <v>480000</v>
      </c>
      <c r="S51" s="19" t="n">
        <f aca="false">$M51*Tarif_THR</f>
        <v>1145375</v>
      </c>
      <c r="T51" s="44" t="n">
        <f aca="false">SUM($M51:$S51)</f>
        <v>16269476</v>
      </c>
      <c r="U51" s="34" t="n">
        <f aca="false">$T51/$K51</f>
        <v>1.30155808</v>
      </c>
      <c r="V51" s="18" t="n">
        <v>0</v>
      </c>
      <c r="W51" s="18" t="n">
        <v>0</v>
      </c>
      <c r="X51" s="18" t="n">
        <v>1</v>
      </c>
      <c r="Y51" s="45" t="n">
        <f aca="false">$T51*$V51</f>
        <v>0</v>
      </c>
      <c r="Z51" s="45" t="n">
        <f aca="false">$T51*$W51</f>
        <v>0</v>
      </c>
      <c r="AA51" s="45" t="n">
        <f aca="false">$T51*$X51</f>
        <v>16269476</v>
      </c>
      <c r="AC51" s="46" t="n">
        <f aca="false">IF($E51="Padang",INDEX('Pita Gaji'!$F$6:$F$28,MATCH($G51,'Pita Gaji'!$A$6:$A$28,0)),INDEX('Pita Gaji'!$C$6:$C$28,MATCH($G51,'Pita Gaji'!$A$6:$A$28,0)))</f>
        <v>9000000</v>
      </c>
      <c r="AD51" s="46" t="n">
        <f aca="false">IF($E51="Padang",INDEX('Pita Gaji'!$G$6:$G$28,MATCH($G51,'Pita Gaji'!$A$6:$A$28,0)),INDEX('Pita Gaji'!$D$6:$D$28,MATCH($G51,'Pita Gaji'!$A$6:$A$28,0)))</f>
        <v>12500000</v>
      </c>
      <c r="AE51" s="46" t="n">
        <f aca="false">IF($E51="Padang",INDEX('Pita Gaji'!$H$6:$H$28,MATCH($G51,'Pita Gaji'!$A$6:$A$28,0)),INDEX('Pita Gaji'!$E$6:$E$28,MATCH($G51,'Pita Gaji'!$A$6:$A$28,0)))</f>
        <v>16000000</v>
      </c>
      <c r="AF51" s="46" t="n">
        <f aca="false">IF(Pita_CLevel="P25",$AC51,IF(Pita_CLevel="P50",$AD51,$AE51))</f>
        <v>9000000</v>
      </c>
      <c r="AG51" s="46" t="n">
        <f aca="false">(IF($F51="C-Level",$AF51,$AC51)*(1+Tunjangan_Pct))*(1+IF($H51="Lapangan",Tarif_JKK_Lapangan,Tarif_JKK_Kantor)+Tarif_JKM+Tarif_JHT+Tarif_THR)+MIN((IF($F51="C-Level",$AF51,$AC51)*(1+Tunjangan_Pct)),Plafon_JP)*Tarif_JP+MIN(MAX((IF($F51="C-Level",$AF51,$AC51)*(1+Tunjangan_Pct)),IF($E51="Padang",UMP_Padang,UMK_Pekanbaru)),Plafon_JKN)*Tarif_JKN</f>
        <v>11802780</v>
      </c>
      <c r="AH51" s="46" t="n">
        <f aca="false">(IF($F51="C-Level",$AF51,$AD51)*(1+Tunjangan_Pct))*(1+IF($H51="Lapangan",Tarif_JKK_Lapangan,Tarif_JKK_Kantor)+Tarif_JKM+Tarif_JHT+Tarif_THR)+MIN((IF($F51="C-Level",$AF51,$AD51)*(1+Tunjangan_Pct)),Plafon_JP)*Tarif_JP+MIN(MAX((IF($F51="C-Level",$AF51,$AD51)*(1+Tunjangan_Pct)),IF($E51="Padang",UMP_Padang,UMK_Pekanbaru)),Plafon_JKN)*Tarif_JKN</f>
        <v>16269476</v>
      </c>
      <c r="AI51" s="46" t="n">
        <f aca="false">(IF($F51="C-Level",$AF51,$AE51)*(1+Tunjangan_Pct))*(1+IF($H51="Lapangan",Tarif_JKK_Lapangan,Tarif_JKK_Kantor)+Tarif_JKM+Tarif_JHT+Tarif_THR)+MIN((IF($F51="C-Level",$AF51,$AE51)*(1+Tunjangan_Pct)),Plafon_JP)*Tarif_JP+MIN(MAX((IF($F51="C-Level",$AF51,$AE51)*(1+Tunjangan_Pct)),IF($E51="Padang",UMP_Padang,UMK_Pekanbaru)),Plafon_JKN)*Tarif_JKN</f>
        <v>20628446</v>
      </c>
      <c r="AJ51" s="47" t="n">
        <f aca="false">$V51*MAX(0,MIN(3,4-$I51))+$W51*MAX(0,MIN(9,13-MAX($I51,4)))</f>
        <v>0</v>
      </c>
      <c r="AK51" s="47" t="n">
        <f aca="false">$AJ51+$X51*MAX(0,MIN(12,25-MAX($I51,13)))</f>
        <v>12</v>
      </c>
      <c r="AL51" s="48" t="str">
        <f aca="false">IF($M51&gt;=IF($E51="Padang",UMP_Padang,UMK_Pekanbaru),"OK","DI BAWAH UMK")</f>
        <v>OK</v>
      </c>
    </row>
    <row r="52" customFormat="false" ht="15" hidden="false" customHeight="false" outlineLevel="0" collapsed="false">
      <c r="A52" s="18" t="n">
        <v>27</v>
      </c>
      <c r="B52" s="11" t="s">
        <v>123</v>
      </c>
      <c r="C52" s="11" t="s">
        <v>142</v>
      </c>
      <c r="D52" s="18" t="s">
        <v>117</v>
      </c>
      <c r="E52" s="18" t="s">
        <v>117</v>
      </c>
      <c r="F52" s="18" t="s">
        <v>131</v>
      </c>
      <c r="G52" s="43" t="s">
        <v>215</v>
      </c>
      <c r="H52" s="18" t="s">
        <v>304</v>
      </c>
      <c r="I52" s="18" t="n">
        <v>13</v>
      </c>
      <c r="J52" s="18" t="str">
        <f aca="false">IF($F52="C-Level",Pita_CLevel,Pita_Aktif)</f>
        <v>P50</v>
      </c>
      <c r="K52" s="19" t="n">
        <f aca="false">IF($J52="P25",$AC52,IF($J52="P50",$AD52,$AE52))</f>
        <v>4350000</v>
      </c>
      <c r="L52" s="19" t="n">
        <f aca="false">$K52*Tunjangan_Pct</f>
        <v>435000</v>
      </c>
      <c r="M52" s="19" t="n">
        <f aca="false">$K52+$L52</f>
        <v>4785000</v>
      </c>
      <c r="N52" s="19" t="n">
        <f aca="false">$M52*IF($H52="Lapangan",Tarif_JKK_Lapangan,Tarif_JKK_Kantor)</f>
        <v>42586.5</v>
      </c>
      <c r="O52" s="19" t="n">
        <f aca="false">$M52*Tarif_JKM</f>
        <v>14355</v>
      </c>
      <c r="P52" s="19" t="n">
        <f aca="false">$M52*Tarif_JHT</f>
        <v>177045</v>
      </c>
      <c r="Q52" s="19" t="n">
        <f aca="false">MIN($M52,Plafon_JP)*Tarif_JP</f>
        <v>95700</v>
      </c>
      <c r="R52" s="19" t="n">
        <f aca="false">MIN(MAX($M52,IF($E52="Padang",UMP_Padang,UMK_Pekanbaru)),Plafon_JKN)*Tarif_JKN</f>
        <v>191400</v>
      </c>
      <c r="S52" s="19" t="n">
        <f aca="false">$M52*Tarif_THR</f>
        <v>398590.5</v>
      </c>
      <c r="T52" s="44" t="n">
        <f aca="false">SUM($M52:$S52)</f>
        <v>5704677</v>
      </c>
      <c r="U52" s="34" t="n">
        <f aca="false">$T52/$K52</f>
        <v>1.31142</v>
      </c>
      <c r="V52" s="18" t="n">
        <v>0</v>
      </c>
      <c r="W52" s="18" t="n">
        <v>0</v>
      </c>
      <c r="X52" s="18" t="n">
        <v>1</v>
      </c>
      <c r="Y52" s="45" t="n">
        <f aca="false">$T52*$V52</f>
        <v>0</v>
      </c>
      <c r="Z52" s="45" t="n">
        <f aca="false">$T52*$W52</f>
        <v>0</v>
      </c>
      <c r="AA52" s="45" t="n">
        <f aca="false">$T52*$X52</f>
        <v>5704677</v>
      </c>
      <c r="AC52" s="46" t="n">
        <f aca="false">IF($E52="Padang",INDEX('Pita Gaji'!$F$6:$F$28,MATCH($G52,'Pita Gaji'!$A$6:$A$28,0)),INDEX('Pita Gaji'!$C$6:$C$28,MATCH($G52,'Pita Gaji'!$A$6:$A$28,0)))</f>
        <v>3200000</v>
      </c>
      <c r="AD52" s="46" t="n">
        <f aca="false">IF($E52="Padang",INDEX('Pita Gaji'!$G$6:$G$28,MATCH($G52,'Pita Gaji'!$A$6:$A$28,0)),INDEX('Pita Gaji'!$D$6:$D$28,MATCH($G52,'Pita Gaji'!$A$6:$A$28,0)))</f>
        <v>4350000</v>
      </c>
      <c r="AE52" s="46" t="n">
        <f aca="false">IF($E52="Padang",INDEX('Pita Gaji'!$H$6:$H$28,MATCH($G52,'Pita Gaji'!$A$6:$A$28,0)),INDEX('Pita Gaji'!$E$6:$E$28,MATCH($G52,'Pita Gaji'!$A$6:$A$28,0)))</f>
        <v>5500000</v>
      </c>
      <c r="AF52" s="46" t="n">
        <f aca="false">IF(Pita_CLevel="P25",$AC52,IF(Pita_CLevel="P50",$AD52,$AE52))</f>
        <v>3200000</v>
      </c>
      <c r="AG52" s="46" t="n">
        <f aca="false">(IF($F52="C-Level",$AF52,$AC52)*(1+Tunjangan_Pct))*(1+IF($H52="Lapangan",Tarif_JKK_Lapangan,Tarif_JKK_Kantor)+Tarif_JKM+Tarif_JHT+Tarif_THR)+MIN((IF($F52="C-Level",$AF52,$AC52)*(1+Tunjangan_Pct)),Plafon_JP)*Tarif_JP+MIN(MAX((IF($F52="C-Level",$AF52,$AC52)*(1+Tunjangan_Pct)),IF($E52="Padang",UMP_Padang,UMK_Pekanbaru)),Plafon_JKN)*Tarif_JKN</f>
        <v>4196544</v>
      </c>
      <c r="AH52" s="46" t="n">
        <f aca="false">(IF($F52="C-Level",$AF52,$AD52)*(1+Tunjangan_Pct))*(1+IF($H52="Lapangan",Tarif_JKK_Lapangan,Tarif_JKK_Kantor)+Tarif_JKM+Tarif_JHT+Tarif_THR)+MIN((IF($F52="C-Level",$AF52,$AD52)*(1+Tunjangan_Pct)),Plafon_JP)*Tarif_JP+MIN(MAX((IF($F52="C-Level",$AF52,$AD52)*(1+Tunjangan_Pct)),IF($E52="Padang",UMP_Padang,UMK_Pekanbaru)),Plafon_JKN)*Tarif_JKN</f>
        <v>5704677</v>
      </c>
      <c r="AI52" s="46" t="n">
        <f aca="false">(IF($F52="C-Level",$AF52,$AE52)*(1+Tunjangan_Pct))*(1+IF($H52="Lapangan",Tarif_JKK_Lapangan,Tarif_JKK_Kantor)+Tarif_JKM+Tarif_JHT+Tarif_THR)+MIN((IF($F52="C-Level",$AF52,$AE52)*(1+Tunjangan_Pct)),Plafon_JP)*Tarif_JP+MIN(MAX((IF($F52="C-Level",$AF52,$AE52)*(1+Tunjangan_Pct)),IF($E52="Padang",UMP_Padang,UMK_Pekanbaru)),Plafon_JKN)*Tarif_JKN</f>
        <v>7212810</v>
      </c>
      <c r="AJ52" s="47" t="n">
        <f aca="false">$V52*MAX(0,MIN(3,4-$I52))+$W52*MAX(0,MIN(9,13-MAX($I52,4)))</f>
        <v>0</v>
      </c>
      <c r="AK52" s="47" t="n">
        <f aca="false">$AJ52+$X52*MAX(0,MIN(12,25-MAX($I52,13)))</f>
        <v>12</v>
      </c>
      <c r="AL52" s="48" t="str">
        <f aca="false">IF($M52&gt;=IF($E52="Padang",UMP_Padang,UMK_Pekanbaru),"OK","DI BAWAH UMK")</f>
        <v>OK</v>
      </c>
    </row>
    <row r="53" customFormat="false" ht="15" hidden="false" customHeight="false" outlineLevel="0" collapsed="false">
      <c r="A53" s="18" t="n">
        <v>28</v>
      </c>
      <c r="B53" s="11" t="s">
        <v>123</v>
      </c>
      <c r="C53" s="11" t="s">
        <v>143</v>
      </c>
      <c r="D53" s="18" t="s">
        <v>117</v>
      </c>
      <c r="E53" s="18" t="s">
        <v>117</v>
      </c>
      <c r="F53" s="18" t="s">
        <v>129</v>
      </c>
      <c r="G53" s="43" t="s">
        <v>212</v>
      </c>
      <c r="H53" s="18" t="s">
        <v>304</v>
      </c>
      <c r="I53" s="18" t="n">
        <v>14</v>
      </c>
      <c r="J53" s="18" t="str">
        <f aca="false">IF($F53="C-Level",Pita_CLevel,Pita_Aktif)</f>
        <v>P50</v>
      </c>
      <c r="K53" s="19" t="n">
        <f aca="false">IF($J53="P25",$AC53,IF($J53="P50",$AD53,$AE53))</f>
        <v>6500000</v>
      </c>
      <c r="L53" s="19" t="n">
        <f aca="false">$K53*Tunjangan_Pct</f>
        <v>650000</v>
      </c>
      <c r="M53" s="19" t="n">
        <f aca="false">$K53+$L53</f>
        <v>7150000</v>
      </c>
      <c r="N53" s="19" t="n">
        <f aca="false">$M53*IF($H53="Lapangan",Tarif_JKK_Lapangan,Tarif_JKK_Kantor)</f>
        <v>63635</v>
      </c>
      <c r="O53" s="19" t="n">
        <f aca="false">$M53*Tarif_JKM</f>
        <v>21450</v>
      </c>
      <c r="P53" s="19" t="n">
        <f aca="false">$M53*Tarif_JHT</f>
        <v>264550</v>
      </c>
      <c r="Q53" s="19" t="n">
        <f aca="false">MIN($M53,Plafon_JP)*Tarif_JP</f>
        <v>143000</v>
      </c>
      <c r="R53" s="19" t="n">
        <f aca="false">MIN(MAX($M53,IF($E53="Padang",UMP_Padang,UMK_Pekanbaru)),Plafon_JKN)*Tarif_JKN</f>
        <v>286000</v>
      </c>
      <c r="S53" s="19" t="n">
        <f aca="false">$M53*Tarif_THR</f>
        <v>595595</v>
      </c>
      <c r="T53" s="44" t="n">
        <f aca="false">SUM($M53:$S53)</f>
        <v>8524230</v>
      </c>
      <c r="U53" s="34" t="n">
        <f aca="false">$T53/$K53</f>
        <v>1.31142</v>
      </c>
      <c r="V53" s="18" t="n">
        <v>0</v>
      </c>
      <c r="W53" s="18" t="n">
        <v>0</v>
      </c>
      <c r="X53" s="18" t="n">
        <v>1</v>
      </c>
      <c r="Y53" s="45" t="n">
        <f aca="false">$T53*$V53</f>
        <v>0</v>
      </c>
      <c r="Z53" s="45" t="n">
        <f aca="false">$T53*$W53</f>
        <v>0</v>
      </c>
      <c r="AA53" s="45" t="n">
        <f aca="false">$T53*$X53</f>
        <v>8524230</v>
      </c>
      <c r="AC53" s="46" t="n">
        <f aca="false">IF($E53="Padang",INDEX('Pita Gaji'!$F$6:$F$28,MATCH($G53,'Pita Gaji'!$A$6:$A$28,0)),INDEX('Pita Gaji'!$C$6:$C$28,MATCH($G53,'Pita Gaji'!$A$6:$A$28,0)))</f>
        <v>5000000</v>
      </c>
      <c r="AD53" s="46" t="n">
        <f aca="false">IF($E53="Padang",INDEX('Pita Gaji'!$G$6:$G$28,MATCH($G53,'Pita Gaji'!$A$6:$A$28,0)),INDEX('Pita Gaji'!$D$6:$D$28,MATCH($G53,'Pita Gaji'!$A$6:$A$28,0)))</f>
        <v>6500000</v>
      </c>
      <c r="AE53" s="46" t="n">
        <f aca="false">IF($E53="Padang",INDEX('Pita Gaji'!$H$6:$H$28,MATCH($G53,'Pita Gaji'!$A$6:$A$28,0)),INDEX('Pita Gaji'!$E$6:$E$28,MATCH($G53,'Pita Gaji'!$A$6:$A$28,0)))</f>
        <v>8000000</v>
      </c>
      <c r="AF53" s="46" t="n">
        <f aca="false">IF(Pita_CLevel="P25",$AC53,IF(Pita_CLevel="P50",$AD53,$AE53))</f>
        <v>5000000</v>
      </c>
      <c r="AG53" s="46" t="n">
        <f aca="false">(IF($F53="C-Level",$AF53,$AC53)*(1+Tunjangan_Pct))*(1+IF($H53="Lapangan",Tarif_JKK_Lapangan,Tarif_JKK_Kantor)+Tarif_JKM+Tarif_JHT+Tarif_THR)+MIN((IF($F53="C-Level",$AF53,$AC53)*(1+Tunjangan_Pct)),Plafon_JP)*Tarif_JP+MIN(MAX((IF($F53="C-Level",$AF53,$AC53)*(1+Tunjangan_Pct)),IF($E53="Padang",UMP_Padang,UMK_Pekanbaru)),Plafon_JKN)*Tarif_JKN</f>
        <v>6557100</v>
      </c>
      <c r="AH53" s="46" t="n">
        <f aca="false">(IF($F53="C-Level",$AF53,$AD53)*(1+Tunjangan_Pct))*(1+IF($H53="Lapangan",Tarif_JKK_Lapangan,Tarif_JKK_Kantor)+Tarif_JKM+Tarif_JHT+Tarif_THR)+MIN((IF($F53="C-Level",$AF53,$AD53)*(1+Tunjangan_Pct)),Plafon_JP)*Tarif_JP+MIN(MAX((IF($F53="C-Level",$AF53,$AD53)*(1+Tunjangan_Pct)),IF($E53="Padang",UMP_Padang,UMK_Pekanbaru)),Plafon_JKN)*Tarif_JKN</f>
        <v>8524230</v>
      </c>
      <c r="AI53" s="46" t="n">
        <f aca="false">(IF($F53="C-Level",$AF53,$AE53)*(1+Tunjangan_Pct))*(1+IF($H53="Lapangan",Tarif_JKK_Lapangan,Tarif_JKK_Kantor)+Tarif_JKM+Tarif_JHT+Tarif_THR)+MIN((IF($F53="C-Level",$AF53,$AE53)*(1+Tunjangan_Pct)),Plafon_JP)*Tarif_JP+MIN(MAX((IF($F53="C-Level",$AF53,$AE53)*(1+Tunjangan_Pct)),IF($E53="Padang",UMP_Padang,UMK_Pekanbaru)),Plafon_JKN)*Tarif_JKN</f>
        <v>10491360</v>
      </c>
      <c r="AJ53" s="47" t="n">
        <f aca="false">$V53*MAX(0,MIN(3,4-$I53))+$W53*MAX(0,MIN(9,13-MAX($I53,4)))</f>
        <v>0</v>
      </c>
      <c r="AK53" s="47" t="n">
        <f aca="false">$AJ53+$X53*MAX(0,MIN(12,25-MAX($I53,13)))</f>
        <v>11</v>
      </c>
      <c r="AL53" s="48" t="str">
        <f aca="false">IF($M53&gt;=IF($E53="Padang",UMP_Padang,UMK_Pekanbaru),"OK","DI BAWAH UMK")</f>
        <v>OK</v>
      </c>
    </row>
    <row r="54" customFormat="false" ht="15" hidden="false" customHeight="false" outlineLevel="0" collapsed="false">
      <c r="A54" s="18" t="n">
        <v>29</v>
      </c>
      <c r="B54" s="11" t="s">
        <v>123</v>
      </c>
      <c r="C54" s="11" t="s">
        <v>144</v>
      </c>
      <c r="D54" s="18" t="s">
        <v>117</v>
      </c>
      <c r="E54" s="18" t="s">
        <v>117</v>
      </c>
      <c r="F54" s="18" t="s">
        <v>131</v>
      </c>
      <c r="G54" s="43" t="s">
        <v>213</v>
      </c>
      <c r="H54" s="18" t="s">
        <v>303</v>
      </c>
      <c r="I54" s="18" t="n">
        <v>14</v>
      </c>
      <c r="J54" s="18" t="str">
        <f aca="false">IF($F54="C-Level",Pita_CLevel,Pita_Aktif)</f>
        <v>P50</v>
      </c>
      <c r="K54" s="19" t="n">
        <f aca="false">IF($J54="P25",$AC54,IF($J54="P50",$AD54,$AE54))</f>
        <v>3850000</v>
      </c>
      <c r="L54" s="19" t="n">
        <f aca="false">$K54*Tunjangan_Pct</f>
        <v>385000</v>
      </c>
      <c r="M54" s="19" t="n">
        <f aca="false">$K54+$L54</f>
        <v>4235000</v>
      </c>
      <c r="N54" s="19" t="n">
        <f aca="false">$M54*IF($H54="Lapangan",Tarif_JKK_Lapangan,Tarif_JKK_Kantor)</f>
        <v>22869</v>
      </c>
      <c r="O54" s="19" t="n">
        <f aca="false">$M54*Tarif_JKM</f>
        <v>12705</v>
      </c>
      <c r="P54" s="19" t="n">
        <f aca="false">$M54*Tarif_JHT</f>
        <v>156695</v>
      </c>
      <c r="Q54" s="19" t="n">
        <f aca="false">MIN($M54,Plafon_JP)*Tarif_JP</f>
        <v>84700</v>
      </c>
      <c r="R54" s="19" t="n">
        <f aca="false">MIN(MAX($M54,IF($E54="Padang",UMP_Padang,UMK_Pekanbaru)),Plafon_JKN)*Tarif_JKN</f>
        <v>169400</v>
      </c>
      <c r="S54" s="19" t="n">
        <f aca="false">$M54*Tarif_THR</f>
        <v>352775.5</v>
      </c>
      <c r="T54" s="44" t="n">
        <f aca="false">SUM($M54:$S54)</f>
        <v>5034144.5</v>
      </c>
      <c r="U54" s="34" t="n">
        <f aca="false">$T54/$K54</f>
        <v>1.30757</v>
      </c>
      <c r="V54" s="18" t="n">
        <v>0</v>
      </c>
      <c r="W54" s="18" t="n">
        <v>0</v>
      </c>
      <c r="X54" s="18" t="n">
        <v>2</v>
      </c>
      <c r="Y54" s="45" t="n">
        <f aca="false">$T54*$V54</f>
        <v>0</v>
      </c>
      <c r="Z54" s="45" t="n">
        <f aca="false">$T54*$W54</f>
        <v>0</v>
      </c>
      <c r="AA54" s="45" t="n">
        <f aca="false">$T54*$X54</f>
        <v>10068289</v>
      </c>
      <c r="AC54" s="46" t="n">
        <f aca="false">IF($E54="Padang",INDEX('Pita Gaji'!$F$6:$F$28,MATCH($G54,'Pita Gaji'!$A$6:$A$28,0)),INDEX('Pita Gaji'!$C$6:$C$28,MATCH($G54,'Pita Gaji'!$A$6:$A$28,0)))</f>
        <v>3200000</v>
      </c>
      <c r="AD54" s="46" t="n">
        <f aca="false">IF($E54="Padang",INDEX('Pita Gaji'!$G$6:$G$28,MATCH($G54,'Pita Gaji'!$A$6:$A$28,0)),INDEX('Pita Gaji'!$D$6:$D$28,MATCH($G54,'Pita Gaji'!$A$6:$A$28,0)))</f>
        <v>3850000</v>
      </c>
      <c r="AE54" s="46" t="n">
        <f aca="false">IF($E54="Padang",INDEX('Pita Gaji'!$H$6:$H$28,MATCH($G54,'Pita Gaji'!$A$6:$A$28,0)),INDEX('Pita Gaji'!$E$6:$E$28,MATCH($G54,'Pita Gaji'!$A$6:$A$28,0)))</f>
        <v>4500000</v>
      </c>
      <c r="AF54" s="46" t="n">
        <f aca="false">IF(Pita_CLevel="P25",$AC54,IF(Pita_CLevel="P50",$AD54,$AE54))</f>
        <v>3200000</v>
      </c>
      <c r="AG54" s="46" t="n">
        <f aca="false">(IF($F54="C-Level",$AF54,$AC54)*(1+Tunjangan_Pct))*(1+IF($H54="Lapangan",Tarif_JKK_Lapangan,Tarif_JKK_Kantor)+Tarif_JKM+Tarif_JHT+Tarif_THR)+MIN((IF($F54="C-Level",$AF54,$AC54)*(1+Tunjangan_Pct)),Plafon_JP)*Tarif_JP+MIN(MAX((IF($F54="C-Level",$AF54,$AC54)*(1+Tunjangan_Pct)),IF($E54="Padang",UMP_Padang,UMK_Pekanbaru)),Plafon_JKN)*Tarif_JKN</f>
        <v>4184224</v>
      </c>
      <c r="AH54" s="46" t="n">
        <f aca="false">(IF($F54="C-Level",$AF54,$AD54)*(1+Tunjangan_Pct))*(1+IF($H54="Lapangan",Tarif_JKK_Lapangan,Tarif_JKK_Kantor)+Tarif_JKM+Tarif_JHT+Tarif_THR)+MIN((IF($F54="C-Level",$AF54,$AD54)*(1+Tunjangan_Pct)),Plafon_JP)*Tarif_JP+MIN(MAX((IF($F54="C-Level",$AF54,$AD54)*(1+Tunjangan_Pct)),IF($E54="Padang",UMP_Padang,UMK_Pekanbaru)),Plafon_JKN)*Tarif_JKN</f>
        <v>5034144.5</v>
      </c>
      <c r="AI54" s="46" t="n">
        <f aca="false">(IF($F54="C-Level",$AF54,$AE54)*(1+Tunjangan_Pct))*(1+IF($H54="Lapangan",Tarif_JKK_Lapangan,Tarif_JKK_Kantor)+Tarif_JKM+Tarif_JHT+Tarif_THR)+MIN((IF($F54="C-Level",$AF54,$AE54)*(1+Tunjangan_Pct)),Plafon_JP)*Tarif_JP+MIN(MAX((IF($F54="C-Level",$AF54,$AE54)*(1+Tunjangan_Pct)),IF($E54="Padang",UMP_Padang,UMK_Pekanbaru)),Plafon_JKN)*Tarif_JKN</f>
        <v>5884065</v>
      </c>
      <c r="AJ54" s="47" t="n">
        <f aca="false">$V54*MAX(0,MIN(3,4-$I54))+$W54*MAX(0,MIN(9,13-MAX($I54,4)))</f>
        <v>0</v>
      </c>
      <c r="AK54" s="47" t="n">
        <f aca="false">$AJ54+$X54*MAX(0,MIN(12,25-MAX($I54,13)))</f>
        <v>22</v>
      </c>
      <c r="AL54" s="48" t="str">
        <f aca="false">IF($M54&gt;=IF($E54="Padang",UMP_Padang,UMK_Pekanbaru),"OK","DI BAWAH UMK")</f>
        <v>OK</v>
      </c>
    </row>
    <row r="55" customFormat="false" ht="15" hidden="false" customHeight="false" outlineLevel="0" collapsed="false">
      <c r="A55" s="18" t="n">
        <v>30</v>
      </c>
      <c r="B55" s="11" t="s">
        <v>123</v>
      </c>
      <c r="C55" s="11" t="s">
        <v>146</v>
      </c>
      <c r="D55" s="18" t="s">
        <v>117</v>
      </c>
      <c r="E55" s="18" t="s">
        <v>117</v>
      </c>
      <c r="F55" s="18" t="s">
        <v>131</v>
      </c>
      <c r="G55" s="43" t="s">
        <v>215</v>
      </c>
      <c r="H55" s="18" t="s">
        <v>304</v>
      </c>
      <c r="I55" s="18" t="n">
        <v>15</v>
      </c>
      <c r="J55" s="18" t="str">
        <f aca="false">IF($F55="C-Level",Pita_CLevel,Pita_Aktif)</f>
        <v>P50</v>
      </c>
      <c r="K55" s="19" t="n">
        <f aca="false">IF($J55="P25",$AC55,IF($J55="P50",$AD55,$AE55))</f>
        <v>4350000</v>
      </c>
      <c r="L55" s="19" t="n">
        <f aca="false">$K55*Tunjangan_Pct</f>
        <v>435000</v>
      </c>
      <c r="M55" s="19" t="n">
        <f aca="false">$K55+$L55</f>
        <v>4785000</v>
      </c>
      <c r="N55" s="19" t="n">
        <f aca="false">$M55*IF($H55="Lapangan",Tarif_JKK_Lapangan,Tarif_JKK_Kantor)</f>
        <v>42586.5</v>
      </c>
      <c r="O55" s="19" t="n">
        <f aca="false">$M55*Tarif_JKM</f>
        <v>14355</v>
      </c>
      <c r="P55" s="19" t="n">
        <f aca="false">$M55*Tarif_JHT</f>
        <v>177045</v>
      </c>
      <c r="Q55" s="19" t="n">
        <f aca="false">MIN($M55,Plafon_JP)*Tarif_JP</f>
        <v>95700</v>
      </c>
      <c r="R55" s="19" t="n">
        <f aca="false">MIN(MAX($M55,IF($E55="Padang",UMP_Padang,UMK_Pekanbaru)),Plafon_JKN)*Tarif_JKN</f>
        <v>191400</v>
      </c>
      <c r="S55" s="19" t="n">
        <f aca="false">$M55*Tarif_THR</f>
        <v>398590.5</v>
      </c>
      <c r="T55" s="44" t="n">
        <f aca="false">SUM($M55:$S55)</f>
        <v>5704677</v>
      </c>
      <c r="U55" s="34" t="n">
        <f aca="false">$T55/$K55</f>
        <v>1.31142</v>
      </c>
      <c r="V55" s="18" t="n">
        <v>0</v>
      </c>
      <c r="W55" s="18" t="n">
        <v>0</v>
      </c>
      <c r="X55" s="18" t="n">
        <v>1</v>
      </c>
      <c r="Y55" s="45" t="n">
        <f aca="false">$T55*$V55</f>
        <v>0</v>
      </c>
      <c r="Z55" s="45" t="n">
        <f aca="false">$T55*$W55</f>
        <v>0</v>
      </c>
      <c r="AA55" s="45" t="n">
        <f aca="false">$T55*$X55</f>
        <v>5704677</v>
      </c>
      <c r="AC55" s="46" t="n">
        <f aca="false">IF($E55="Padang",INDEX('Pita Gaji'!$F$6:$F$28,MATCH($G55,'Pita Gaji'!$A$6:$A$28,0)),INDEX('Pita Gaji'!$C$6:$C$28,MATCH($G55,'Pita Gaji'!$A$6:$A$28,0)))</f>
        <v>3200000</v>
      </c>
      <c r="AD55" s="46" t="n">
        <f aca="false">IF($E55="Padang",INDEX('Pita Gaji'!$G$6:$G$28,MATCH($G55,'Pita Gaji'!$A$6:$A$28,0)),INDEX('Pita Gaji'!$D$6:$D$28,MATCH($G55,'Pita Gaji'!$A$6:$A$28,0)))</f>
        <v>4350000</v>
      </c>
      <c r="AE55" s="46" t="n">
        <f aca="false">IF($E55="Padang",INDEX('Pita Gaji'!$H$6:$H$28,MATCH($G55,'Pita Gaji'!$A$6:$A$28,0)),INDEX('Pita Gaji'!$E$6:$E$28,MATCH($G55,'Pita Gaji'!$A$6:$A$28,0)))</f>
        <v>5500000</v>
      </c>
      <c r="AF55" s="46" t="n">
        <f aca="false">IF(Pita_CLevel="P25",$AC55,IF(Pita_CLevel="P50",$AD55,$AE55))</f>
        <v>3200000</v>
      </c>
      <c r="AG55" s="46" t="n">
        <f aca="false">(IF($F55="C-Level",$AF55,$AC55)*(1+Tunjangan_Pct))*(1+IF($H55="Lapangan",Tarif_JKK_Lapangan,Tarif_JKK_Kantor)+Tarif_JKM+Tarif_JHT+Tarif_THR)+MIN((IF($F55="C-Level",$AF55,$AC55)*(1+Tunjangan_Pct)),Plafon_JP)*Tarif_JP+MIN(MAX((IF($F55="C-Level",$AF55,$AC55)*(1+Tunjangan_Pct)),IF($E55="Padang",UMP_Padang,UMK_Pekanbaru)),Plafon_JKN)*Tarif_JKN</f>
        <v>4196544</v>
      </c>
      <c r="AH55" s="46" t="n">
        <f aca="false">(IF($F55="C-Level",$AF55,$AD55)*(1+Tunjangan_Pct))*(1+IF($H55="Lapangan",Tarif_JKK_Lapangan,Tarif_JKK_Kantor)+Tarif_JKM+Tarif_JHT+Tarif_THR)+MIN((IF($F55="C-Level",$AF55,$AD55)*(1+Tunjangan_Pct)),Plafon_JP)*Tarif_JP+MIN(MAX((IF($F55="C-Level",$AF55,$AD55)*(1+Tunjangan_Pct)),IF($E55="Padang",UMP_Padang,UMK_Pekanbaru)),Plafon_JKN)*Tarif_JKN</f>
        <v>5704677</v>
      </c>
      <c r="AI55" s="46" t="n">
        <f aca="false">(IF($F55="C-Level",$AF55,$AE55)*(1+Tunjangan_Pct))*(1+IF($H55="Lapangan",Tarif_JKK_Lapangan,Tarif_JKK_Kantor)+Tarif_JKM+Tarif_JHT+Tarif_THR)+MIN((IF($F55="C-Level",$AF55,$AE55)*(1+Tunjangan_Pct)),Plafon_JP)*Tarif_JP+MIN(MAX((IF($F55="C-Level",$AF55,$AE55)*(1+Tunjangan_Pct)),IF($E55="Padang",UMP_Padang,UMK_Pekanbaru)),Plafon_JKN)*Tarif_JKN</f>
        <v>7212810</v>
      </c>
      <c r="AJ55" s="47" t="n">
        <f aca="false">$V55*MAX(0,MIN(3,4-$I55))+$W55*MAX(0,MIN(9,13-MAX($I55,4)))</f>
        <v>0</v>
      </c>
      <c r="AK55" s="47" t="n">
        <f aca="false">$AJ55+$X55*MAX(0,MIN(12,25-MAX($I55,13)))</f>
        <v>10</v>
      </c>
      <c r="AL55" s="48" t="str">
        <f aca="false">IF($M55&gt;=IF($E55="Padang",UMP_Padang,UMK_Pekanbaru),"OK","DI BAWAH UMK")</f>
        <v>OK</v>
      </c>
    </row>
    <row r="56" customFormat="false" ht="15" hidden="false" customHeight="false" outlineLevel="0" collapsed="false">
      <c r="A56" s="18" t="n">
        <v>31</v>
      </c>
      <c r="B56" s="11" t="s">
        <v>147</v>
      </c>
      <c r="C56" s="11" t="s">
        <v>148</v>
      </c>
      <c r="D56" s="18" t="s">
        <v>85</v>
      </c>
      <c r="E56" s="18" t="s">
        <v>85</v>
      </c>
      <c r="F56" s="18" t="s">
        <v>134</v>
      </c>
      <c r="G56" s="43" t="s">
        <v>221</v>
      </c>
      <c r="H56" s="18" t="s">
        <v>303</v>
      </c>
      <c r="I56" s="18" t="n">
        <v>4</v>
      </c>
      <c r="J56" s="18" t="str">
        <f aca="false">IF($F56="C-Level",Pita_CLevel,Pita_Aktif)</f>
        <v>P50</v>
      </c>
      <c r="K56" s="19" t="n">
        <f aca="false">IF($J56="P25",$AC56,IF($J56="P50",$AD56,$AE56))</f>
        <v>21500000</v>
      </c>
      <c r="L56" s="19" t="n">
        <f aca="false">$K56*Tunjangan_Pct</f>
        <v>2150000</v>
      </c>
      <c r="M56" s="19" t="n">
        <f aca="false">$K56+$L56</f>
        <v>23650000</v>
      </c>
      <c r="N56" s="19" t="n">
        <f aca="false">$M56*IF($H56="Lapangan",Tarif_JKK_Lapangan,Tarif_JKK_Kantor)</f>
        <v>127710</v>
      </c>
      <c r="O56" s="19" t="n">
        <f aca="false">$M56*Tarif_JKM</f>
        <v>70950</v>
      </c>
      <c r="P56" s="19" t="n">
        <f aca="false">$M56*Tarif_JHT</f>
        <v>875050</v>
      </c>
      <c r="Q56" s="19" t="n">
        <f aca="false">MIN($M56,Plafon_JP)*Tarif_JP</f>
        <v>221726</v>
      </c>
      <c r="R56" s="19" t="n">
        <f aca="false">MIN(MAX($M56,IF($E56="Padang",UMP_Padang,UMK_Pekanbaru)),Plafon_JKN)*Tarif_JKN</f>
        <v>480000</v>
      </c>
      <c r="S56" s="19" t="n">
        <f aca="false">$M56*Tarif_THR</f>
        <v>1970045</v>
      </c>
      <c r="T56" s="44" t="n">
        <f aca="false">SUM($M56:$S56)</f>
        <v>27395481</v>
      </c>
      <c r="U56" s="34" t="n">
        <f aca="false">$T56/$K56</f>
        <v>1.27420841860465</v>
      </c>
      <c r="V56" s="18" t="n">
        <v>0</v>
      </c>
      <c r="W56" s="18" t="n">
        <v>1</v>
      </c>
      <c r="X56" s="18" t="n">
        <v>1</v>
      </c>
      <c r="Y56" s="45" t="n">
        <f aca="false">$T56*$V56</f>
        <v>0</v>
      </c>
      <c r="Z56" s="45" t="n">
        <f aca="false">$T56*$W56</f>
        <v>27395481</v>
      </c>
      <c r="AA56" s="45" t="n">
        <f aca="false">$T56*$X56</f>
        <v>27395481</v>
      </c>
      <c r="AC56" s="46" t="n">
        <f aca="false">IF($E56="Padang",INDEX('Pita Gaji'!$F$6:$F$28,MATCH($G56,'Pita Gaji'!$A$6:$A$28,0)),INDEX('Pita Gaji'!$C$6:$C$28,MATCH($G56,'Pita Gaji'!$A$6:$A$28,0)))</f>
        <v>15000000</v>
      </c>
      <c r="AD56" s="46" t="n">
        <f aca="false">IF($E56="Padang",INDEX('Pita Gaji'!$G$6:$G$28,MATCH($G56,'Pita Gaji'!$A$6:$A$28,0)),INDEX('Pita Gaji'!$D$6:$D$28,MATCH($G56,'Pita Gaji'!$A$6:$A$28,0)))</f>
        <v>21500000</v>
      </c>
      <c r="AE56" s="46" t="n">
        <f aca="false">IF($E56="Padang",INDEX('Pita Gaji'!$H$6:$H$28,MATCH($G56,'Pita Gaji'!$A$6:$A$28,0)),INDEX('Pita Gaji'!$E$6:$E$28,MATCH($G56,'Pita Gaji'!$A$6:$A$28,0)))</f>
        <v>28000000</v>
      </c>
      <c r="AF56" s="46" t="n">
        <f aca="false">IF(Pita_CLevel="P25",$AC56,IF(Pita_CLevel="P50",$AD56,$AE56))</f>
        <v>15000000</v>
      </c>
      <c r="AG56" s="46" t="n">
        <f aca="false">(IF($F56="C-Level",$AF56,$AC56)*(1+Tunjangan_Pct))*(1+IF($H56="Lapangan",Tarif_JKK_Lapangan,Tarif_JKK_Kantor)+Tarif_JKM+Tarif_JHT+Tarif_THR)+MIN((IF($F56="C-Level",$AF56,$AC56)*(1+Tunjangan_Pct)),Plafon_JP)*Tarif_JP+MIN(MAX((IF($F56="C-Level",$AF56,$AC56)*(1+Tunjangan_Pct)),IF($E56="Padang",UMP_Padang,UMK_Pekanbaru)),Plafon_JKN)*Tarif_JKN</f>
        <v>19325276</v>
      </c>
      <c r="AH56" s="46" t="n">
        <f aca="false">(IF($F56="C-Level",$AF56,$AD56)*(1+Tunjangan_Pct))*(1+IF($H56="Lapangan",Tarif_JKK_Lapangan,Tarif_JKK_Kantor)+Tarif_JKM+Tarif_JHT+Tarif_THR)+MIN((IF($F56="C-Level",$AF56,$AD56)*(1+Tunjangan_Pct)),Plafon_JP)*Tarif_JP+MIN(MAX((IF($F56="C-Level",$AF56,$AD56)*(1+Tunjangan_Pct)),IF($E56="Padang",UMP_Padang,UMK_Pekanbaru)),Plafon_JKN)*Tarif_JKN</f>
        <v>27395481</v>
      </c>
      <c r="AI56" s="46" t="n">
        <f aca="false">(IF($F56="C-Level",$AF56,$AE56)*(1+Tunjangan_Pct))*(1+IF($H56="Lapangan",Tarif_JKK_Lapangan,Tarif_JKK_Kantor)+Tarif_JKM+Tarif_JHT+Tarif_THR)+MIN((IF($F56="C-Level",$AF56,$AE56)*(1+Tunjangan_Pct)),Plafon_JP)*Tarif_JP+MIN(MAX((IF($F56="C-Level",$AF56,$AE56)*(1+Tunjangan_Pct)),IF($E56="Padang",UMP_Padang,UMK_Pekanbaru)),Plafon_JKN)*Tarif_JKN</f>
        <v>35465686</v>
      </c>
      <c r="AJ56" s="47" t="n">
        <f aca="false">$V56*MAX(0,MIN(3,4-$I56))+$W56*MAX(0,MIN(9,13-MAX($I56,4)))</f>
        <v>9</v>
      </c>
      <c r="AK56" s="47" t="n">
        <f aca="false">$AJ56+$X56*MAX(0,MIN(12,25-MAX($I56,13)))</f>
        <v>21</v>
      </c>
      <c r="AL56" s="48" t="str">
        <f aca="false">IF($M56&gt;=IF($E56="Padang",UMP_Padang,UMK_Pekanbaru),"OK","DI BAWAH UMK")</f>
        <v>OK</v>
      </c>
    </row>
    <row r="57" customFormat="false" ht="15" hidden="false" customHeight="false" outlineLevel="0" collapsed="false">
      <c r="A57" s="18" t="n">
        <v>32</v>
      </c>
      <c r="B57" s="11" t="s">
        <v>147</v>
      </c>
      <c r="C57" s="11" t="s">
        <v>150</v>
      </c>
      <c r="D57" s="18" t="s">
        <v>85</v>
      </c>
      <c r="E57" s="18" t="s">
        <v>85</v>
      </c>
      <c r="F57" s="18" t="s">
        <v>131</v>
      </c>
      <c r="G57" s="43" t="s">
        <v>222</v>
      </c>
      <c r="H57" s="18" t="s">
        <v>303</v>
      </c>
      <c r="I57" s="18" t="n">
        <v>13</v>
      </c>
      <c r="J57" s="18" t="str">
        <f aca="false">IF($F57="C-Level",Pita_CLevel,Pita_Aktif)</f>
        <v>P50</v>
      </c>
      <c r="K57" s="19" t="n">
        <f aca="false">IF($J57="P25",$AC57,IF($J57="P50",$AD57,$AE57))</f>
        <v>7000000</v>
      </c>
      <c r="L57" s="19" t="n">
        <f aca="false">$K57*Tunjangan_Pct</f>
        <v>700000</v>
      </c>
      <c r="M57" s="19" t="n">
        <f aca="false">$K57+$L57</f>
        <v>7700000</v>
      </c>
      <c r="N57" s="19" t="n">
        <f aca="false">$M57*IF($H57="Lapangan",Tarif_JKK_Lapangan,Tarif_JKK_Kantor)</f>
        <v>41580</v>
      </c>
      <c r="O57" s="19" t="n">
        <f aca="false">$M57*Tarif_JKM</f>
        <v>23100</v>
      </c>
      <c r="P57" s="19" t="n">
        <f aca="false">$M57*Tarif_JHT</f>
        <v>284900</v>
      </c>
      <c r="Q57" s="19" t="n">
        <f aca="false">MIN($M57,Plafon_JP)*Tarif_JP</f>
        <v>154000</v>
      </c>
      <c r="R57" s="19" t="n">
        <f aca="false">MIN(MAX($M57,IF($E57="Padang",UMP_Padang,UMK_Pekanbaru)),Plafon_JKN)*Tarif_JKN</f>
        <v>308000</v>
      </c>
      <c r="S57" s="19" t="n">
        <f aca="false">$M57*Tarif_THR</f>
        <v>641410</v>
      </c>
      <c r="T57" s="44" t="n">
        <f aca="false">SUM($M57:$S57)</f>
        <v>9152990</v>
      </c>
      <c r="U57" s="34" t="n">
        <f aca="false">$T57/$K57</f>
        <v>1.30757</v>
      </c>
      <c r="V57" s="18" t="n">
        <v>0</v>
      </c>
      <c r="W57" s="18" t="n">
        <v>0</v>
      </c>
      <c r="X57" s="18" t="n">
        <v>1</v>
      </c>
      <c r="Y57" s="45" t="n">
        <f aca="false">$T57*$V57</f>
        <v>0</v>
      </c>
      <c r="Z57" s="45" t="n">
        <f aca="false">$T57*$W57</f>
        <v>0</v>
      </c>
      <c r="AA57" s="45" t="n">
        <f aca="false">$T57*$X57</f>
        <v>9152990</v>
      </c>
      <c r="AC57" s="46" t="n">
        <f aca="false">IF($E57="Padang",INDEX('Pita Gaji'!$F$6:$F$28,MATCH($G57,'Pita Gaji'!$A$6:$A$28,0)),INDEX('Pita Gaji'!$C$6:$C$28,MATCH($G57,'Pita Gaji'!$A$6:$A$28,0)))</f>
        <v>5000000</v>
      </c>
      <c r="AD57" s="46" t="n">
        <f aca="false">IF($E57="Padang",INDEX('Pita Gaji'!$G$6:$G$28,MATCH($G57,'Pita Gaji'!$A$6:$A$28,0)),INDEX('Pita Gaji'!$D$6:$D$28,MATCH($G57,'Pita Gaji'!$A$6:$A$28,0)))</f>
        <v>7000000</v>
      </c>
      <c r="AE57" s="46" t="n">
        <f aca="false">IF($E57="Padang",INDEX('Pita Gaji'!$H$6:$H$28,MATCH($G57,'Pita Gaji'!$A$6:$A$28,0)),INDEX('Pita Gaji'!$E$6:$E$28,MATCH($G57,'Pita Gaji'!$A$6:$A$28,0)))</f>
        <v>9000000</v>
      </c>
      <c r="AF57" s="46" t="n">
        <f aca="false">IF(Pita_CLevel="P25",$AC57,IF(Pita_CLevel="P50",$AD57,$AE57))</f>
        <v>5000000</v>
      </c>
      <c r="AG57" s="46" t="n">
        <f aca="false">(IF($F57="C-Level",$AF57,$AC57)*(1+Tunjangan_Pct))*(1+IF($H57="Lapangan",Tarif_JKK_Lapangan,Tarif_JKK_Kantor)+Tarif_JKM+Tarif_JHT+Tarif_THR)+MIN((IF($F57="C-Level",$AF57,$AC57)*(1+Tunjangan_Pct)),Plafon_JP)*Tarif_JP+MIN(MAX((IF($F57="C-Level",$AF57,$AC57)*(1+Tunjangan_Pct)),IF($E57="Padang",UMP_Padang,UMK_Pekanbaru)),Plafon_JKN)*Tarif_JKN</f>
        <v>6537850</v>
      </c>
      <c r="AH57" s="46" t="n">
        <f aca="false">(IF($F57="C-Level",$AF57,$AD57)*(1+Tunjangan_Pct))*(1+IF($H57="Lapangan",Tarif_JKK_Lapangan,Tarif_JKK_Kantor)+Tarif_JKM+Tarif_JHT+Tarif_THR)+MIN((IF($F57="C-Level",$AF57,$AD57)*(1+Tunjangan_Pct)),Plafon_JP)*Tarif_JP+MIN(MAX((IF($F57="C-Level",$AF57,$AD57)*(1+Tunjangan_Pct)),IF($E57="Padang",UMP_Padang,UMK_Pekanbaru)),Plafon_JKN)*Tarif_JKN</f>
        <v>9152990</v>
      </c>
      <c r="AI57" s="46" t="n">
        <f aca="false">(IF($F57="C-Level",$AF57,$AE57)*(1+Tunjangan_Pct))*(1+IF($H57="Lapangan",Tarif_JKK_Lapangan,Tarif_JKK_Kantor)+Tarif_JKM+Tarif_JHT+Tarif_THR)+MIN((IF($F57="C-Level",$AF57,$AE57)*(1+Tunjangan_Pct)),Plafon_JP)*Tarif_JP+MIN(MAX((IF($F57="C-Level",$AF57,$AE57)*(1+Tunjangan_Pct)),IF($E57="Padang",UMP_Padang,UMK_Pekanbaru)),Plafon_JKN)*Tarif_JKN</f>
        <v>11768130</v>
      </c>
      <c r="AJ57" s="47" t="n">
        <f aca="false">$V57*MAX(0,MIN(3,4-$I57))+$W57*MAX(0,MIN(9,13-MAX($I57,4)))</f>
        <v>0</v>
      </c>
      <c r="AK57" s="47" t="n">
        <f aca="false">$AJ57+$X57*MAX(0,MIN(12,25-MAX($I57,13)))</f>
        <v>12</v>
      </c>
      <c r="AL57" s="48" t="str">
        <f aca="false">IF($M57&gt;=IF($E57="Padang",UMP_Padang,UMK_Pekanbaru),"OK","DI BAWAH UMK")</f>
        <v>OK</v>
      </c>
    </row>
    <row r="58" customFormat="false" ht="15" hidden="false" customHeight="false" outlineLevel="0" collapsed="false">
      <c r="A58" s="18" t="n">
        <v>33</v>
      </c>
      <c r="B58" s="11" t="s">
        <v>147</v>
      </c>
      <c r="C58" s="11" t="s">
        <v>151</v>
      </c>
      <c r="D58" s="18" t="s">
        <v>85</v>
      </c>
      <c r="E58" s="18" t="s">
        <v>85</v>
      </c>
      <c r="F58" s="18" t="s">
        <v>131</v>
      </c>
      <c r="G58" s="43" t="s">
        <v>215</v>
      </c>
      <c r="H58" s="18" t="s">
        <v>304</v>
      </c>
      <c r="I58" s="18" t="n">
        <v>13</v>
      </c>
      <c r="J58" s="18" t="str">
        <f aca="false">IF($F58="C-Level",Pita_CLevel,Pita_Aktif)</f>
        <v>P50</v>
      </c>
      <c r="K58" s="19" t="n">
        <f aca="false">IF($J58="P25",$AC58,IF($J58="P50",$AD58,$AE58))</f>
        <v>5250000</v>
      </c>
      <c r="L58" s="19" t="n">
        <f aca="false">$K58*Tunjangan_Pct</f>
        <v>525000</v>
      </c>
      <c r="M58" s="19" t="n">
        <f aca="false">$K58+$L58</f>
        <v>5775000</v>
      </c>
      <c r="N58" s="19" t="n">
        <f aca="false">$M58*IF($H58="Lapangan",Tarif_JKK_Lapangan,Tarif_JKK_Kantor)</f>
        <v>51397.5</v>
      </c>
      <c r="O58" s="19" t="n">
        <f aca="false">$M58*Tarif_JKM</f>
        <v>17325</v>
      </c>
      <c r="P58" s="19" t="n">
        <f aca="false">$M58*Tarif_JHT</f>
        <v>213675</v>
      </c>
      <c r="Q58" s="19" t="n">
        <f aca="false">MIN($M58,Plafon_JP)*Tarif_JP</f>
        <v>115500</v>
      </c>
      <c r="R58" s="19" t="n">
        <f aca="false">MIN(MAX($M58,IF($E58="Padang",UMP_Padang,UMK_Pekanbaru)),Plafon_JKN)*Tarif_JKN</f>
        <v>231000</v>
      </c>
      <c r="S58" s="19" t="n">
        <f aca="false">$M58*Tarif_THR</f>
        <v>481057.5</v>
      </c>
      <c r="T58" s="44" t="n">
        <f aca="false">SUM($M58:$S58)</f>
        <v>6884955</v>
      </c>
      <c r="U58" s="34" t="n">
        <f aca="false">$T58/$K58</f>
        <v>1.31142</v>
      </c>
      <c r="V58" s="18" t="n">
        <v>0</v>
      </c>
      <c r="W58" s="18" t="n">
        <v>0</v>
      </c>
      <c r="X58" s="18" t="n">
        <v>1</v>
      </c>
      <c r="Y58" s="45" t="n">
        <f aca="false">$T58*$V58</f>
        <v>0</v>
      </c>
      <c r="Z58" s="45" t="n">
        <f aca="false">$T58*$W58</f>
        <v>0</v>
      </c>
      <c r="AA58" s="45" t="n">
        <f aca="false">$T58*$X58</f>
        <v>6884955</v>
      </c>
      <c r="AC58" s="46" t="n">
        <f aca="false">IF($E58="Padang",INDEX('Pita Gaji'!$F$6:$F$28,MATCH($G58,'Pita Gaji'!$A$6:$A$28,0)),INDEX('Pita Gaji'!$C$6:$C$28,MATCH($G58,'Pita Gaji'!$A$6:$A$28,0)))</f>
        <v>4000000</v>
      </c>
      <c r="AD58" s="46" t="n">
        <f aca="false">IF($E58="Padang",INDEX('Pita Gaji'!$G$6:$G$28,MATCH($G58,'Pita Gaji'!$A$6:$A$28,0)),INDEX('Pita Gaji'!$D$6:$D$28,MATCH($G58,'Pita Gaji'!$A$6:$A$28,0)))</f>
        <v>5250000</v>
      </c>
      <c r="AE58" s="46" t="n">
        <f aca="false">IF($E58="Padang",INDEX('Pita Gaji'!$H$6:$H$28,MATCH($G58,'Pita Gaji'!$A$6:$A$28,0)),INDEX('Pita Gaji'!$E$6:$E$28,MATCH($G58,'Pita Gaji'!$A$6:$A$28,0)))</f>
        <v>6500000</v>
      </c>
      <c r="AF58" s="46" t="n">
        <f aca="false">IF(Pita_CLevel="P25",$AC58,IF(Pita_CLevel="P50",$AD58,$AE58))</f>
        <v>4000000</v>
      </c>
      <c r="AG58" s="46" t="n">
        <f aca="false">(IF($F58="C-Level",$AF58,$AC58)*(1+Tunjangan_Pct))*(1+IF($H58="Lapangan",Tarif_JKK_Lapangan,Tarif_JKK_Kantor)+Tarif_JKM+Tarif_JHT+Tarif_THR)+MIN((IF($F58="C-Level",$AF58,$AC58)*(1+Tunjangan_Pct)),Plafon_JP)*Tarif_JP+MIN(MAX((IF($F58="C-Level",$AF58,$AC58)*(1+Tunjangan_Pct)),IF($E58="Padang",UMP_Padang,UMK_Pekanbaru)),Plafon_JKN)*Tarif_JKN</f>
        <v>5245680</v>
      </c>
      <c r="AH58" s="46" t="n">
        <f aca="false">(IF($F58="C-Level",$AF58,$AD58)*(1+Tunjangan_Pct))*(1+IF($H58="Lapangan",Tarif_JKK_Lapangan,Tarif_JKK_Kantor)+Tarif_JKM+Tarif_JHT+Tarif_THR)+MIN((IF($F58="C-Level",$AF58,$AD58)*(1+Tunjangan_Pct)),Plafon_JP)*Tarif_JP+MIN(MAX((IF($F58="C-Level",$AF58,$AD58)*(1+Tunjangan_Pct)),IF($E58="Padang",UMP_Padang,UMK_Pekanbaru)),Plafon_JKN)*Tarif_JKN</f>
        <v>6884955</v>
      </c>
      <c r="AI58" s="46" t="n">
        <f aca="false">(IF($F58="C-Level",$AF58,$AE58)*(1+Tunjangan_Pct))*(1+IF($H58="Lapangan",Tarif_JKK_Lapangan,Tarif_JKK_Kantor)+Tarif_JKM+Tarif_JHT+Tarif_THR)+MIN((IF($F58="C-Level",$AF58,$AE58)*(1+Tunjangan_Pct)),Plafon_JP)*Tarif_JP+MIN(MAX((IF($F58="C-Level",$AF58,$AE58)*(1+Tunjangan_Pct)),IF($E58="Padang",UMP_Padang,UMK_Pekanbaru)),Plafon_JKN)*Tarif_JKN</f>
        <v>8524230</v>
      </c>
      <c r="AJ58" s="47" t="n">
        <f aca="false">$V58*MAX(0,MIN(3,4-$I58))+$W58*MAX(0,MIN(9,13-MAX($I58,4)))</f>
        <v>0</v>
      </c>
      <c r="AK58" s="47" t="n">
        <f aca="false">$AJ58+$X58*MAX(0,MIN(12,25-MAX($I58,13)))</f>
        <v>12</v>
      </c>
      <c r="AL58" s="48" t="str">
        <f aca="false">IF($M58&gt;=IF($E58="Padang",UMP_Padang,UMK_Pekanbaru),"OK","DI BAWAH UMK")</f>
        <v>OK</v>
      </c>
    </row>
    <row r="59" customFormat="false" ht="15" hidden="false" customHeight="false" outlineLevel="0" collapsed="false">
      <c r="A59" s="18" t="n">
        <v>34</v>
      </c>
      <c r="B59" s="11" t="s">
        <v>153</v>
      </c>
      <c r="C59" s="11" t="s">
        <v>154</v>
      </c>
      <c r="D59" s="18" t="s">
        <v>85</v>
      </c>
      <c r="E59" s="18" t="s">
        <v>85</v>
      </c>
      <c r="F59" s="18" t="s">
        <v>86</v>
      </c>
      <c r="G59" s="43" t="s">
        <v>154</v>
      </c>
      <c r="H59" s="18" t="s">
        <v>303</v>
      </c>
      <c r="I59" s="18" t="n">
        <v>2</v>
      </c>
      <c r="J59" s="18" t="str">
        <f aca="false">IF($F59="C-Level",Pita_CLevel,Pita_Aktif)</f>
        <v>P25</v>
      </c>
      <c r="K59" s="19" t="n">
        <f aca="false">IF($J59="P25",$AC59,IF($J59="P50",$AD59,$AE59))</f>
        <v>20000000</v>
      </c>
      <c r="L59" s="19" t="n">
        <f aca="false">$K59*Tunjangan_Pct</f>
        <v>2000000</v>
      </c>
      <c r="M59" s="19" t="n">
        <f aca="false">$K59+$L59</f>
        <v>22000000</v>
      </c>
      <c r="N59" s="19" t="n">
        <f aca="false">$M59*IF($H59="Lapangan",Tarif_JKK_Lapangan,Tarif_JKK_Kantor)</f>
        <v>118800</v>
      </c>
      <c r="O59" s="19" t="n">
        <f aca="false">$M59*Tarif_JKM</f>
        <v>66000</v>
      </c>
      <c r="P59" s="19" t="n">
        <f aca="false">$M59*Tarif_JHT</f>
        <v>814000</v>
      </c>
      <c r="Q59" s="19" t="n">
        <f aca="false">MIN($M59,Plafon_JP)*Tarif_JP</f>
        <v>221726</v>
      </c>
      <c r="R59" s="19" t="n">
        <f aca="false">MIN(MAX($M59,IF($E59="Padang",UMP_Padang,UMK_Pekanbaru)),Plafon_JKN)*Tarif_JKN</f>
        <v>480000</v>
      </c>
      <c r="S59" s="19" t="n">
        <f aca="false">$M59*Tarif_THR</f>
        <v>1832600</v>
      </c>
      <c r="T59" s="44" t="n">
        <f aca="false">SUM($M59:$S59)</f>
        <v>25533126</v>
      </c>
      <c r="U59" s="34" t="n">
        <f aca="false">$T59/$K59</f>
        <v>1.2766563</v>
      </c>
      <c r="V59" s="18" t="n">
        <v>1</v>
      </c>
      <c r="W59" s="18" t="n">
        <v>1</v>
      </c>
      <c r="X59" s="18" t="n">
        <v>1</v>
      </c>
      <c r="Y59" s="45" t="n">
        <f aca="false">$T59*$V59</f>
        <v>25533126</v>
      </c>
      <c r="Z59" s="45" t="n">
        <f aca="false">$T59*$W59</f>
        <v>25533126</v>
      </c>
      <c r="AA59" s="45" t="n">
        <f aca="false">$T59*$X59</f>
        <v>25533126</v>
      </c>
      <c r="AC59" s="46" t="n">
        <f aca="false">IF($E59="Padang",INDEX('Pita Gaji'!$F$6:$F$28,MATCH($G59,'Pita Gaji'!$A$6:$A$28,0)),INDEX('Pita Gaji'!$C$6:$C$28,MATCH($G59,'Pita Gaji'!$A$6:$A$28,0)))</f>
        <v>20000000</v>
      </c>
      <c r="AD59" s="46" t="n">
        <f aca="false">IF($E59="Padang",INDEX('Pita Gaji'!$G$6:$G$28,MATCH($G59,'Pita Gaji'!$A$6:$A$28,0)),INDEX('Pita Gaji'!$D$6:$D$28,MATCH($G59,'Pita Gaji'!$A$6:$A$28,0)))</f>
        <v>30000000</v>
      </c>
      <c r="AE59" s="46" t="n">
        <f aca="false">IF($E59="Padang",INDEX('Pita Gaji'!$H$6:$H$28,MATCH($G59,'Pita Gaji'!$A$6:$A$28,0)),INDEX('Pita Gaji'!$E$6:$E$28,MATCH($G59,'Pita Gaji'!$A$6:$A$28,0)))</f>
        <v>40000000</v>
      </c>
      <c r="AF59" s="46" t="n">
        <f aca="false">IF(Pita_CLevel="P25",$AC59,IF(Pita_CLevel="P50",$AD59,$AE59))</f>
        <v>20000000</v>
      </c>
      <c r="AG59" s="46" t="n">
        <f aca="false">(IF($F59="C-Level",$AF59,$AC59)*(1+Tunjangan_Pct))*(1+IF($H59="Lapangan",Tarif_JKK_Lapangan,Tarif_JKK_Kantor)+Tarif_JKM+Tarif_JHT+Tarif_THR)+MIN((IF($F59="C-Level",$AF59,$AC59)*(1+Tunjangan_Pct)),Plafon_JP)*Tarif_JP+MIN(MAX((IF($F59="C-Level",$AF59,$AC59)*(1+Tunjangan_Pct)),IF($E59="Padang",UMP_Padang,UMK_Pekanbaru)),Plafon_JKN)*Tarif_JKN</f>
        <v>25533126</v>
      </c>
      <c r="AH59" s="46" t="n">
        <f aca="false">(IF($F59="C-Level",$AF59,$AD59)*(1+Tunjangan_Pct))*(1+IF($H59="Lapangan",Tarif_JKK_Lapangan,Tarif_JKK_Kantor)+Tarif_JKM+Tarif_JHT+Tarif_THR)+MIN((IF($F59="C-Level",$AF59,$AD59)*(1+Tunjangan_Pct)),Plafon_JP)*Tarif_JP+MIN(MAX((IF($F59="C-Level",$AF59,$AD59)*(1+Tunjangan_Pct)),IF($E59="Padang",UMP_Padang,UMK_Pekanbaru)),Plafon_JKN)*Tarif_JKN</f>
        <v>25533126</v>
      </c>
      <c r="AI59" s="46" t="n">
        <f aca="false">(IF($F59="C-Level",$AF59,$AE59)*(1+Tunjangan_Pct))*(1+IF($H59="Lapangan",Tarif_JKK_Lapangan,Tarif_JKK_Kantor)+Tarif_JKM+Tarif_JHT+Tarif_THR)+MIN((IF($F59="C-Level",$AF59,$AE59)*(1+Tunjangan_Pct)),Plafon_JP)*Tarif_JP+MIN(MAX((IF($F59="C-Level",$AF59,$AE59)*(1+Tunjangan_Pct)),IF($E59="Padang",UMP_Padang,UMK_Pekanbaru)),Plafon_JKN)*Tarif_JKN</f>
        <v>25533126</v>
      </c>
      <c r="AJ59" s="47" t="n">
        <f aca="false">$V59*MAX(0,MIN(3,4-$I59))+$W59*MAX(0,MIN(9,13-MAX($I59,4)))</f>
        <v>11</v>
      </c>
      <c r="AK59" s="47" t="n">
        <f aca="false">$AJ59+$X59*MAX(0,MIN(12,25-MAX($I59,13)))</f>
        <v>23</v>
      </c>
      <c r="AL59" s="48" t="str">
        <f aca="false">IF($M59&gt;=IF($E59="Padang",UMP_Padang,UMK_Pekanbaru),"OK","DI BAWAH UMK")</f>
        <v>OK</v>
      </c>
    </row>
    <row r="60" customFormat="false" ht="15" hidden="false" customHeight="false" outlineLevel="0" collapsed="false">
      <c r="A60" s="18" t="n">
        <v>35</v>
      </c>
      <c r="B60" s="11" t="s">
        <v>153</v>
      </c>
      <c r="C60" s="11" t="s">
        <v>156</v>
      </c>
      <c r="D60" s="18" t="s">
        <v>85</v>
      </c>
      <c r="E60" s="18" t="s">
        <v>85</v>
      </c>
      <c r="F60" s="18" t="s">
        <v>131</v>
      </c>
      <c r="G60" s="43" t="s">
        <v>217</v>
      </c>
      <c r="H60" s="18" t="s">
        <v>303</v>
      </c>
      <c r="I60" s="18" t="n">
        <v>4</v>
      </c>
      <c r="J60" s="18" t="str">
        <f aca="false">IF($F60="C-Level",Pita_CLevel,Pita_Aktif)</f>
        <v>P50</v>
      </c>
      <c r="K60" s="19" t="n">
        <f aca="false">IF($J60="P25",$AC60,IF($J60="P50",$AD60,$AE60))</f>
        <v>6500000</v>
      </c>
      <c r="L60" s="19" t="n">
        <f aca="false">$K60*Tunjangan_Pct</f>
        <v>650000</v>
      </c>
      <c r="M60" s="19" t="n">
        <f aca="false">$K60+$L60</f>
        <v>7150000</v>
      </c>
      <c r="N60" s="19" t="n">
        <f aca="false">$M60*IF($H60="Lapangan",Tarif_JKK_Lapangan,Tarif_JKK_Kantor)</f>
        <v>38610</v>
      </c>
      <c r="O60" s="19" t="n">
        <f aca="false">$M60*Tarif_JKM</f>
        <v>21450</v>
      </c>
      <c r="P60" s="19" t="n">
        <f aca="false">$M60*Tarif_JHT</f>
        <v>264550</v>
      </c>
      <c r="Q60" s="19" t="n">
        <f aca="false">MIN($M60,Plafon_JP)*Tarif_JP</f>
        <v>143000</v>
      </c>
      <c r="R60" s="19" t="n">
        <f aca="false">MIN(MAX($M60,IF($E60="Padang",UMP_Padang,UMK_Pekanbaru)),Plafon_JKN)*Tarif_JKN</f>
        <v>286000</v>
      </c>
      <c r="S60" s="19" t="n">
        <f aca="false">$M60*Tarif_THR</f>
        <v>595595</v>
      </c>
      <c r="T60" s="44" t="n">
        <f aca="false">SUM($M60:$S60)</f>
        <v>8499205</v>
      </c>
      <c r="U60" s="34" t="n">
        <f aca="false">$T60/$K60</f>
        <v>1.30757</v>
      </c>
      <c r="V60" s="18" t="n">
        <v>0</v>
      </c>
      <c r="W60" s="18" t="n">
        <v>1</v>
      </c>
      <c r="X60" s="18" t="n">
        <v>1</v>
      </c>
      <c r="Y60" s="45" t="n">
        <f aca="false">$T60*$V60</f>
        <v>0</v>
      </c>
      <c r="Z60" s="45" t="n">
        <f aca="false">$T60*$W60</f>
        <v>8499205</v>
      </c>
      <c r="AA60" s="45" t="n">
        <f aca="false">$T60*$X60</f>
        <v>8499205</v>
      </c>
      <c r="AC60" s="46" t="n">
        <f aca="false">IF($E60="Padang",INDEX('Pita Gaji'!$F$6:$F$28,MATCH($G60,'Pita Gaji'!$A$6:$A$28,0)),INDEX('Pita Gaji'!$C$6:$C$28,MATCH($G60,'Pita Gaji'!$A$6:$A$28,0)))</f>
        <v>5000000</v>
      </c>
      <c r="AD60" s="46" t="n">
        <f aca="false">IF($E60="Padang",INDEX('Pita Gaji'!$G$6:$G$28,MATCH($G60,'Pita Gaji'!$A$6:$A$28,0)),INDEX('Pita Gaji'!$D$6:$D$28,MATCH($G60,'Pita Gaji'!$A$6:$A$28,0)))</f>
        <v>6500000</v>
      </c>
      <c r="AE60" s="46" t="n">
        <f aca="false">IF($E60="Padang",INDEX('Pita Gaji'!$H$6:$H$28,MATCH($G60,'Pita Gaji'!$A$6:$A$28,0)),INDEX('Pita Gaji'!$E$6:$E$28,MATCH($G60,'Pita Gaji'!$A$6:$A$28,0)))</f>
        <v>8000000</v>
      </c>
      <c r="AF60" s="46" t="n">
        <f aca="false">IF(Pita_CLevel="P25",$AC60,IF(Pita_CLevel="P50",$AD60,$AE60))</f>
        <v>5000000</v>
      </c>
      <c r="AG60" s="46" t="n">
        <f aca="false">(IF($F60="C-Level",$AF60,$AC60)*(1+Tunjangan_Pct))*(1+IF($H60="Lapangan",Tarif_JKK_Lapangan,Tarif_JKK_Kantor)+Tarif_JKM+Tarif_JHT+Tarif_THR)+MIN((IF($F60="C-Level",$AF60,$AC60)*(1+Tunjangan_Pct)),Plafon_JP)*Tarif_JP+MIN(MAX((IF($F60="C-Level",$AF60,$AC60)*(1+Tunjangan_Pct)),IF($E60="Padang",UMP_Padang,UMK_Pekanbaru)),Plafon_JKN)*Tarif_JKN</f>
        <v>6537850</v>
      </c>
      <c r="AH60" s="46" t="n">
        <f aca="false">(IF($F60="C-Level",$AF60,$AD60)*(1+Tunjangan_Pct))*(1+IF($H60="Lapangan",Tarif_JKK_Lapangan,Tarif_JKK_Kantor)+Tarif_JKM+Tarif_JHT+Tarif_THR)+MIN((IF($F60="C-Level",$AF60,$AD60)*(1+Tunjangan_Pct)),Plafon_JP)*Tarif_JP+MIN(MAX((IF($F60="C-Level",$AF60,$AD60)*(1+Tunjangan_Pct)),IF($E60="Padang",UMP_Padang,UMK_Pekanbaru)),Plafon_JKN)*Tarif_JKN</f>
        <v>8499205</v>
      </c>
      <c r="AI60" s="46" t="n">
        <f aca="false">(IF($F60="C-Level",$AF60,$AE60)*(1+Tunjangan_Pct))*(1+IF($H60="Lapangan",Tarif_JKK_Lapangan,Tarif_JKK_Kantor)+Tarif_JKM+Tarif_JHT+Tarif_THR)+MIN((IF($F60="C-Level",$AF60,$AE60)*(1+Tunjangan_Pct)),Plafon_JP)*Tarif_JP+MIN(MAX((IF($F60="C-Level",$AF60,$AE60)*(1+Tunjangan_Pct)),IF($E60="Padang",UMP_Padang,UMK_Pekanbaru)),Plafon_JKN)*Tarif_JKN</f>
        <v>10460560</v>
      </c>
      <c r="AJ60" s="47" t="n">
        <f aca="false">$V60*MAX(0,MIN(3,4-$I60))+$W60*MAX(0,MIN(9,13-MAX($I60,4)))</f>
        <v>9</v>
      </c>
      <c r="AK60" s="47" t="n">
        <f aca="false">$AJ60+$X60*MAX(0,MIN(12,25-MAX($I60,13)))</f>
        <v>21</v>
      </c>
      <c r="AL60" s="48" t="str">
        <f aca="false">IF($M60&gt;=IF($E60="Padang",UMP_Padang,UMK_Pekanbaru),"OK","DI BAWAH UMK")</f>
        <v>OK</v>
      </c>
    </row>
    <row r="61" customFormat="false" ht="15" hidden="false" customHeight="false" outlineLevel="0" collapsed="false">
      <c r="A61" s="18" t="n">
        <v>36</v>
      </c>
      <c r="B61" s="11" t="s">
        <v>153</v>
      </c>
      <c r="C61" s="11" t="s">
        <v>158</v>
      </c>
      <c r="D61" s="18" t="s">
        <v>85</v>
      </c>
      <c r="E61" s="18" t="s">
        <v>85</v>
      </c>
      <c r="F61" s="18" t="s">
        <v>89</v>
      </c>
      <c r="G61" s="43" t="s">
        <v>229</v>
      </c>
      <c r="H61" s="18" t="s">
        <v>303</v>
      </c>
      <c r="I61" s="18" t="n">
        <v>13</v>
      </c>
      <c r="J61" s="18" t="str">
        <f aca="false">IF($F61="C-Level",Pita_CLevel,Pita_Aktif)</f>
        <v>P50</v>
      </c>
      <c r="K61" s="19" t="n">
        <f aca="false">IF($J61="P25",$AC61,IF($J61="P50",$AD61,$AE61))</f>
        <v>8125000</v>
      </c>
      <c r="L61" s="19" t="n">
        <f aca="false">$K61*Tunjangan_Pct</f>
        <v>812500</v>
      </c>
      <c r="M61" s="19" t="n">
        <f aca="false">$K61+$L61</f>
        <v>8937500</v>
      </c>
      <c r="N61" s="19" t="n">
        <f aca="false">$M61*IF($H61="Lapangan",Tarif_JKK_Lapangan,Tarif_JKK_Kantor)</f>
        <v>48262.5</v>
      </c>
      <c r="O61" s="19" t="n">
        <f aca="false">$M61*Tarif_JKM</f>
        <v>26812.5</v>
      </c>
      <c r="P61" s="19" t="n">
        <f aca="false">$M61*Tarif_JHT</f>
        <v>330687.5</v>
      </c>
      <c r="Q61" s="19" t="n">
        <f aca="false">MIN($M61,Plafon_JP)*Tarif_JP</f>
        <v>178750</v>
      </c>
      <c r="R61" s="19" t="n">
        <f aca="false">MIN(MAX($M61,IF($E61="Padang",UMP_Padang,UMK_Pekanbaru)),Plafon_JKN)*Tarif_JKN</f>
        <v>357500</v>
      </c>
      <c r="S61" s="19" t="n">
        <f aca="false">$M61*Tarif_THR</f>
        <v>744493.75</v>
      </c>
      <c r="T61" s="44" t="n">
        <f aca="false">SUM($M61:$S61)</f>
        <v>10624006.25</v>
      </c>
      <c r="U61" s="34" t="n">
        <f aca="false">$T61/$K61</f>
        <v>1.30757</v>
      </c>
      <c r="V61" s="18" t="n">
        <v>0</v>
      </c>
      <c r="W61" s="18" t="n">
        <v>0</v>
      </c>
      <c r="X61" s="18" t="n">
        <v>1</v>
      </c>
      <c r="Y61" s="45" t="n">
        <f aca="false">$T61*$V61</f>
        <v>0</v>
      </c>
      <c r="Z61" s="45" t="n">
        <f aca="false">$T61*$W61</f>
        <v>0</v>
      </c>
      <c r="AA61" s="45" t="n">
        <f aca="false">$T61*$X61</f>
        <v>10624006.25</v>
      </c>
      <c r="AC61" s="46" t="n">
        <f aca="false">IF($E61="Padang",INDEX('Pita Gaji'!$F$6:$F$28,MATCH($G61,'Pita Gaji'!$A$6:$A$28,0)),INDEX('Pita Gaji'!$C$6:$C$28,MATCH($G61,'Pita Gaji'!$A$6:$A$28,0)))</f>
        <v>6250000</v>
      </c>
      <c r="AD61" s="46" t="n">
        <f aca="false">IF($E61="Padang",INDEX('Pita Gaji'!$G$6:$G$28,MATCH($G61,'Pita Gaji'!$A$6:$A$28,0)),INDEX('Pita Gaji'!$D$6:$D$28,MATCH($G61,'Pita Gaji'!$A$6:$A$28,0)))</f>
        <v>8125000</v>
      </c>
      <c r="AE61" s="46" t="n">
        <f aca="false">IF($E61="Padang",INDEX('Pita Gaji'!$H$6:$H$28,MATCH($G61,'Pita Gaji'!$A$6:$A$28,0)),INDEX('Pita Gaji'!$E$6:$E$28,MATCH($G61,'Pita Gaji'!$A$6:$A$28,0)))</f>
        <v>10000000</v>
      </c>
      <c r="AF61" s="46" t="n">
        <f aca="false">IF(Pita_CLevel="P25",$AC61,IF(Pita_CLevel="P50",$AD61,$AE61))</f>
        <v>6250000</v>
      </c>
      <c r="AG61" s="46" t="n">
        <f aca="false">(IF($F61="C-Level",$AF61,$AC61)*(1+Tunjangan_Pct))*(1+IF($H61="Lapangan",Tarif_JKK_Lapangan,Tarif_JKK_Kantor)+Tarif_JKM+Tarif_JHT+Tarif_THR)+MIN((IF($F61="C-Level",$AF61,$AC61)*(1+Tunjangan_Pct)),Plafon_JP)*Tarif_JP+MIN(MAX((IF($F61="C-Level",$AF61,$AC61)*(1+Tunjangan_Pct)),IF($E61="Padang",UMP_Padang,UMK_Pekanbaru)),Plafon_JKN)*Tarif_JKN</f>
        <v>8172312.5</v>
      </c>
      <c r="AH61" s="46" t="n">
        <f aca="false">(IF($F61="C-Level",$AF61,$AD61)*(1+Tunjangan_Pct))*(1+IF($H61="Lapangan",Tarif_JKK_Lapangan,Tarif_JKK_Kantor)+Tarif_JKM+Tarif_JHT+Tarif_THR)+MIN((IF($F61="C-Level",$AF61,$AD61)*(1+Tunjangan_Pct)),Plafon_JP)*Tarif_JP+MIN(MAX((IF($F61="C-Level",$AF61,$AD61)*(1+Tunjangan_Pct)),IF($E61="Padang",UMP_Padang,UMK_Pekanbaru)),Plafon_JKN)*Tarif_JKN</f>
        <v>10624006.25</v>
      </c>
      <c r="AI61" s="46" t="n">
        <f aca="false">(IF($F61="C-Level",$AF61,$AE61)*(1+Tunjangan_Pct))*(1+IF($H61="Lapangan",Tarif_JKK_Lapangan,Tarif_JKK_Kantor)+Tarif_JKM+Tarif_JHT+Tarif_THR)+MIN((IF($F61="C-Level",$AF61,$AE61)*(1+Tunjangan_Pct)),Plafon_JP)*Tarif_JP+MIN(MAX((IF($F61="C-Level",$AF61,$AE61)*(1+Tunjangan_Pct)),IF($E61="Padang",UMP_Padang,UMK_Pekanbaru)),Plafon_JKN)*Tarif_JKN</f>
        <v>13075700</v>
      </c>
      <c r="AJ61" s="47" t="n">
        <f aca="false">$V61*MAX(0,MIN(3,4-$I61))+$W61*MAX(0,MIN(9,13-MAX($I61,4)))</f>
        <v>0</v>
      </c>
      <c r="AK61" s="47" t="n">
        <f aca="false">$AJ61+$X61*MAX(0,MIN(12,25-MAX($I61,13)))</f>
        <v>12</v>
      </c>
      <c r="AL61" s="48" t="str">
        <f aca="false">IF($M61&gt;=IF($E61="Padang",UMP_Padang,UMK_Pekanbaru),"OK","DI BAWAH UMK")</f>
        <v>OK</v>
      </c>
    </row>
    <row r="62" customFormat="false" ht="15" hidden="false" customHeight="false" outlineLevel="0" collapsed="false">
      <c r="A62" s="18" t="n">
        <v>37</v>
      </c>
      <c r="B62" s="11" t="s">
        <v>153</v>
      </c>
      <c r="C62" s="11" t="s">
        <v>160</v>
      </c>
      <c r="D62" s="18" t="s">
        <v>117</v>
      </c>
      <c r="E62" s="18" t="s">
        <v>117</v>
      </c>
      <c r="F62" s="18" t="s">
        <v>131</v>
      </c>
      <c r="G62" s="43" t="s">
        <v>217</v>
      </c>
      <c r="H62" s="18" t="s">
        <v>303</v>
      </c>
      <c r="I62" s="18" t="n">
        <v>16</v>
      </c>
      <c r="J62" s="18" t="str">
        <f aca="false">IF($F62="C-Level",Pita_CLevel,Pita_Aktif)</f>
        <v>P50</v>
      </c>
      <c r="K62" s="19" t="n">
        <f aca="false">IF($J62="P25",$AC62,IF($J62="P50",$AD62,$AE62))</f>
        <v>5500000</v>
      </c>
      <c r="L62" s="19" t="n">
        <f aca="false">$K62*Tunjangan_Pct</f>
        <v>550000</v>
      </c>
      <c r="M62" s="19" t="n">
        <f aca="false">$K62+$L62</f>
        <v>6050000</v>
      </c>
      <c r="N62" s="19" t="n">
        <f aca="false">$M62*IF($H62="Lapangan",Tarif_JKK_Lapangan,Tarif_JKK_Kantor)</f>
        <v>32670</v>
      </c>
      <c r="O62" s="19" t="n">
        <f aca="false">$M62*Tarif_JKM</f>
        <v>18150</v>
      </c>
      <c r="P62" s="19" t="n">
        <f aca="false">$M62*Tarif_JHT</f>
        <v>223850</v>
      </c>
      <c r="Q62" s="19" t="n">
        <f aca="false">MIN($M62,Plafon_JP)*Tarif_JP</f>
        <v>121000</v>
      </c>
      <c r="R62" s="19" t="n">
        <f aca="false">MIN(MAX($M62,IF($E62="Padang",UMP_Padang,UMK_Pekanbaru)),Plafon_JKN)*Tarif_JKN</f>
        <v>242000</v>
      </c>
      <c r="S62" s="19" t="n">
        <f aca="false">$M62*Tarif_THR</f>
        <v>503965</v>
      </c>
      <c r="T62" s="44" t="n">
        <f aca="false">SUM($M62:$S62)</f>
        <v>7191635</v>
      </c>
      <c r="U62" s="34" t="n">
        <f aca="false">$T62/$K62</f>
        <v>1.30757</v>
      </c>
      <c r="V62" s="18" t="n">
        <v>0</v>
      </c>
      <c r="W62" s="18" t="n">
        <v>0</v>
      </c>
      <c r="X62" s="18" t="n">
        <v>1</v>
      </c>
      <c r="Y62" s="45" t="n">
        <f aca="false">$T62*$V62</f>
        <v>0</v>
      </c>
      <c r="Z62" s="45" t="n">
        <f aca="false">$T62*$W62</f>
        <v>0</v>
      </c>
      <c r="AA62" s="45" t="n">
        <f aca="false">$T62*$X62</f>
        <v>7191635</v>
      </c>
      <c r="AC62" s="46" t="n">
        <f aca="false">IF($E62="Padang",INDEX('Pita Gaji'!$F$6:$F$28,MATCH($G62,'Pita Gaji'!$A$6:$A$28,0)),INDEX('Pita Gaji'!$C$6:$C$28,MATCH($G62,'Pita Gaji'!$A$6:$A$28,0)))</f>
        <v>4000000</v>
      </c>
      <c r="AD62" s="46" t="n">
        <f aca="false">IF($E62="Padang",INDEX('Pita Gaji'!$G$6:$G$28,MATCH($G62,'Pita Gaji'!$A$6:$A$28,0)),INDEX('Pita Gaji'!$D$6:$D$28,MATCH($G62,'Pita Gaji'!$A$6:$A$28,0)))</f>
        <v>5500000</v>
      </c>
      <c r="AE62" s="46" t="n">
        <f aca="false">IF($E62="Padang",INDEX('Pita Gaji'!$H$6:$H$28,MATCH($G62,'Pita Gaji'!$A$6:$A$28,0)),INDEX('Pita Gaji'!$E$6:$E$28,MATCH($G62,'Pita Gaji'!$A$6:$A$28,0)))</f>
        <v>7000000</v>
      </c>
      <c r="AF62" s="46" t="n">
        <f aca="false">IF(Pita_CLevel="P25",$AC62,IF(Pita_CLevel="P50",$AD62,$AE62))</f>
        <v>4000000</v>
      </c>
      <c r="AG62" s="46" t="n">
        <f aca="false">(IF($F62="C-Level",$AF62,$AC62)*(1+Tunjangan_Pct))*(1+IF($H62="Lapangan",Tarif_JKK_Lapangan,Tarif_JKK_Kantor)+Tarif_JKM+Tarif_JHT+Tarif_THR)+MIN((IF($F62="C-Level",$AF62,$AC62)*(1+Tunjangan_Pct)),Plafon_JP)*Tarif_JP+MIN(MAX((IF($F62="C-Level",$AF62,$AC62)*(1+Tunjangan_Pct)),IF($E62="Padang",UMP_Padang,UMK_Pekanbaru)),Plafon_JKN)*Tarif_JKN</f>
        <v>5230280</v>
      </c>
      <c r="AH62" s="46" t="n">
        <f aca="false">(IF($F62="C-Level",$AF62,$AD62)*(1+Tunjangan_Pct))*(1+IF($H62="Lapangan",Tarif_JKK_Lapangan,Tarif_JKK_Kantor)+Tarif_JKM+Tarif_JHT+Tarif_THR)+MIN((IF($F62="C-Level",$AF62,$AD62)*(1+Tunjangan_Pct)),Plafon_JP)*Tarif_JP+MIN(MAX((IF($F62="C-Level",$AF62,$AD62)*(1+Tunjangan_Pct)),IF($E62="Padang",UMP_Padang,UMK_Pekanbaru)),Plafon_JKN)*Tarif_JKN</f>
        <v>7191635</v>
      </c>
      <c r="AI62" s="46" t="n">
        <f aca="false">(IF($F62="C-Level",$AF62,$AE62)*(1+Tunjangan_Pct))*(1+IF($H62="Lapangan",Tarif_JKK_Lapangan,Tarif_JKK_Kantor)+Tarif_JKM+Tarif_JHT+Tarif_THR)+MIN((IF($F62="C-Level",$AF62,$AE62)*(1+Tunjangan_Pct)),Plafon_JP)*Tarif_JP+MIN(MAX((IF($F62="C-Level",$AF62,$AE62)*(1+Tunjangan_Pct)),IF($E62="Padang",UMP_Padang,UMK_Pekanbaru)),Plafon_JKN)*Tarif_JKN</f>
        <v>9152990</v>
      </c>
      <c r="AJ62" s="47" t="n">
        <f aca="false">$V62*MAX(0,MIN(3,4-$I62))+$W62*MAX(0,MIN(9,13-MAX($I62,4)))</f>
        <v>0</v>
      </c>
      <c r="AK62" s="47" t="n">
        <f aca="false">$AJ62+$X62*MAX(0,MIN(12,25-MAX($I62,13)))</f>
        <v>9</v>
      </c>
      <c r="AL62" s="48" t="str">
        <f aca="false">IF($M62&gt;=IF($E62="Padang",UMP_Padang,UMK_Pekanbaru),"OK","DI BAWAH UMK")</f>
        <v>OK</v>
      </c>
    </row>
    <row r="63" customFormat="false" ht="15" hidden="false" customHeight="false" outlineLevel="0" collapsed="false">
      <c r="A63" s="18" t="n">
        <v>38</v>
      </c>
      <c r="B63" s="11" t="s">
        <v>161</v>
      </c>
      <c r="C63" s="11" t="s">
        <v>162</v>
      </c>
      <c r="D63" s="18" t="s">
        <v>85</v>
      </c>
      <c r="E63" s="18" t="s">
        <v>85</v>
      </c>
      <c r="F63" s="18" t="s">
        <v>134</v>
      </c>
      <c r="G63" s="43" t="s">
        <v>220</v>
      </c>
      <c r="H63" s="18" t="s">
        <v>303</v>
      </c>
      <c r="I63" s="18" t="n">
        <v>4</v>
      </c>
      <c r="J63" s="18" t="str">
        <f aca="false">IF($F63="C-Level",Pita_CLevel,Pita_Aktif)</f>
        <v>P50</v>
      </c>
      <c r="K63" s="19" t="n">
        <f aca="false">IF($J63="P25",$AC63,IF($J63="P50",$AD63,$AE63))</f>
        <v>13500000</v>
      </c>
      <c r="L63" s="19" t="n">
        <f aca="false">$K63*Tunjangan_Pct</f>
        <v>1350000</v>
      </c>
      <c r="M63" s="19" t="n">
        <f aca="false">$K63+$L63</f>
        <v>14850000</v>
      </c>
      <c r="N63" s="19" t="n">
        <f aca="false">$M63*IF($H63="Lapangan",Tarif_JKK_Lapangan,Tarif_JKK_Kantor)</f>
        <v>80190</v>
      </c>
      <c r="O63" s="19" t="n">
        <f aca="false">$M63*Tarif_JKM</f>
        <v>44550</v>
      </c>
      <c r="P63" s="19" t="n">
        <f aca="false">$M63*Tarif_JHT</f>
        <v>549450</v>
      </c>
      <c r="Q63" s="19" t="n">
        <f aca="false">MIN($M63,Plafon_JP)*Tarif_JP</f>
        <v>221726</v>
      </c>
      <c r="R63" s="19" t="n">
        <f aca="false">MIN(MAX($M63,IF($E63="Padang",UMP_Padang,UMK_Pekanbaru)),Plafon_JKN)*Tarif_JKN</f>
        <v>480000</v>
      </c>
      <c r="S63" s="19" t="n">
        <f aca="false">$M63*Tarif_THR</f>
        <v>1237005</v>
      </c>
      <c r="T63" s="44" t="n">
        <f aca="false">SUM($M63:$S63)</f>
        <v>17462921</v>
      </c>
      <c r="U63" s="34" t="n">
        <f aca="false">$T63/$K63</f>
        <v>1.2935497037037</v>
      </c>
      <c r="V63" s="18" t="n">
        <v>0</v>
      </c>
      <c r="W63" s="18" t="n">
        <v>1</v>
      </c>
      <c r="X63" s="18" t="n">
        <v>1</v>
      </c>
      <c r="Y63" s="45" t="n">
        <f aca="false">$T63*$V63</f>
        <v>0</v>
      </c>
      <c r="Z63" s="45" t="n">
        <f aca="false">$T63*$W63</f>
        <v>17462921</v>
      </c>
      <c r="AA63" s="45" t="n">
        <f aca="false">$T63*$X63</f>
        <v>17462921</v>
      </c>
      <c r="AC63" s="46" t="n">
        <f aca="false">IF($E63="Padang",INDEX('Pita Gaji'!$F$6:$F$28,MATCH($G63,'Pita Gaji'!$A$6:$A$28,0)),INDEX('Pita Gaji'!$C$6:$C$28,MATCH($G63,'Pita Gaji'!$A$6:$A$28,0)))</f>
        <v>9000000</v>
      </c>
      <c r="AD63" s="46" t="n">
        <f aca="false">IF($E63="Padang",INDEX('Pita Gaji'!$G$6:$G$28,MATCH($G63,'Pita Gaji'!$A$6:$A$28,0)),INDEX('Pita Gaji'!$D$6:$D$28,MATCH($G63,'Pita Gaji'!$A$6:$A$28,0)))</f>
        <v>13500000</v>
      </c>
      <c r="AE63" s="46" t="n">
        <f aca="false">IF($E63="Padang",INDEX('Pita Gaji'!$H$6:$H$28,MATCH($G63,'Pita Gaji'!$A$6:$A$28,0)),INDEX('Pita Gaji'!$E$6:$E$28,MATCH($G63,'Pita Gaji'!$A$6:$A$28,0)))</f>
        <v>18000000</v>
      </c>
      <c r="AF63" s="46" t="n">
        <f aca="false">IF(Pita_CLevel="P25",$AC63,IF(Pita_CLevel="P50",$AD63,$AE63))</f>
        <v>9000000</v>
      </c>
      <c r="AG63" s="46" t="n">
        <f aca="false">(IF($F63="C-Level",$AF63,$AC63)*(1+Tunjangan_Pct))*(1+IF($H63="Lapangan",Tarif_JKK_Lapangan,Tarif_JKK_Kantor)+Tarif_JKM+Tarif_JHT+Tarif_THR)+MIN((IF($F63="C-Level",$AF63,$AC63)*(1+Tunjangan_Pct)),Plafon_JP)*Tarif_JP+MIN(MAX((IF($F63="C-Level",$AF63,$AC63)*(1+Tunjangan_Pct)),IF($E63="Padang",UMP_Padang,UMK_Pekanbaru)),Plafon_JKN)*Tarif_JKN</f>
        <v>11768130</v>
      </c>
      <c r="AH63" s="46" t="n">
        <f aca="false">(IF($F63="C-Level",$AF63,$AD63)*(1+Tunjangan_Pct))*(1+IF($H63="Lapangan",Tarif_JKK_Lapangan,Tarif_JKK_Kantor)+Tarif_JKM+Tarif_JHT+Tarif_THR)+MIN((IF($F63="C-Level",$AF63,$AD63)*(1+Tunjangan_Pct)),Plafon_JP)*Tarif_JP+MIN(MAX((IF($F63="C-Level",$AF63,$AD63)*(1+Tunjangan_Pct)),IF($E63="Padang",UMP_Padang,UMK_Pekanbaru)),Plafon_JKN)*Tarif_JKN</f>
        <v>17462921</v>
      </c>
      <c r="AI63" s="46" t="n">
        <f aca="false">(IF($F63="C-Level",$AF63,$AE63)*(1+Tunjangan_Pct))*(1+IF($H63="Lapangan",Tarif_JKK_Lapangan,Tarif_JKK_Kantor)+Tarif_JKM+Tarif_JHT+Tarif_THR)+MIN((IF($F63="C-Level",$AF63,$AE63)*(1+Tunjangan_Pct)),Plafon_JP)*Tarif_JP+MIN(MAX((IF($F63="C-Level",$AF63,$AE63)*(1+Tunjangan_Pct)),IF($E63="Padang",UMP_Padang,UMK_Pekanbaru)),Plafon_JKN)*Tarif_JKN</f>
        <v>23049986</v>
      </c>
      <c r="AJ63" s="47" t="n">
        <f aca="false">$V63*MAX(0,MIN(3,4-$I63))+$W63*MAX(0,MIN(9,13-MAX($I63,4)))</f>
        <v>9</v>
      </c>
      <c r="AK63" s="47" t="n">
        <f aca="false">$AJ63+$X63*MAX(0,MIN(12,25-MAX($I63,13)))</f>
        <v>21</v>
      </c>
      <c r="AL63" s="48" t="str">
        <f aca="false">IF($M63&gt;=IF($E63="Padang",UMP_Padang,UMK_Pekanbaru),"OK","DI BAWAH UMK")</f>
        <v>OK</v>
      </c>
    </row>
    <row r="64" customFormat="false" ht="15" hidden="false" customHeight="false" outlineLevel="0" collapsed="false">
      <c r="A64" s="25" t="s">
        <v>171</v>
      </c>
      <c r="B64" s="25"/>
      <c r="C64" s="25" t="s">
        <v>305</v>
      </c>
      <c r="D64" s="25"/>
      <c r="E64" s="25"/>
      <c r="F64" s="25"/>
      <c r="G64" s="25"/>
      <c r="H64" s="25"/>
      <c r="I64" s="25"/>
      <c r="J64" s="25"/>
      <c r="K64" s="25"/>
      <c r="L64" s="25"/>
      <c r="M64" s="25"/>
      <c r="N64" s="25"/>
      <c r="O64" s="25"/>
      <c r="P64" s="25"/>
      <c r="Q64" s="25"/>
      <c r="R64" s="25"/>
      <c r="S64" s="25"/>
      <c r="T64" s="25"/>
      <c r="U64" s="49" t="n">
        <f aca="false">SUM(Y64:AA64)/SUMPRODUCT($K26:$K63,$X26:$X63)</f>
        <v>2.63848769819158</v>
      </c>
      <c r="V64" s="26" t="n">
        <f aca="false">SUM(V26:V63)</f>
        <v>9</v>
      </c>
      <c r="W64" s="26" t="n">
        <f aca="false">SUM(W26:W63)</f>
        <v>24</v>
      </c>
      <c r="X64" s="26" t="n">
        <f aca="false">SUM(X26:X63)</f>
        <v>42</v>
      </c>
      <c r="Y64" s="50" t="n">
        <f aca="false">SUM(Y26:Y63)</f>
        <v>230332093</v>
      </c>
      <c r="Z64" s="50" t="n">
        <f aca="false">SUM(Z26:Z63)</f>
        <v>435555486.5</v>
      </c>
      <c r="AA64" s="50" t="n">
        <f aca="false">SUM(AA26:AA63)</f>
        <v>636272061.75</v>
      </c>
      <c r="AB64" s="25"/>
      <c r="AC64" s="25"/>
      <c r="AD64" s="25"/>
      <c r="AE64" s="25"/>
      <c r="AF64" s="25"/>
      <c r="AG64" s="50" t="n">
        <f aca="false">SUM(AG26:AG63)</f>
        <v>483765303.5</v>
      </c>
      <c r="AH64" s="50" t="n">
        <f aca="false">SUM(AH26:AH63)</f>
        <v>611931047.25</v>
      </c>
      <c r="AI64" s="50" t="n">
        <f aca="false">SUM(AI26:AI63)</f>
        <v>738418709</v>
      </c>
      <c r="AJ64" s="49" t="n">
        <f aca="false">SUM(AJ26:AJ63)</f>
        <v>230</v>
      </c>
      <c r="AK64" s="49" t="n">
        <f aca="false">SUM(AK26:AK63)</f>
        <v>705</v>
      </c>
      <c r="AL64" s="25"/>
    </row>
    <row r="65" customFormat="false" ht="15" hidden="false" customHeight="false" outlineLevel="0" collapsed="false">
      <c r="A65" s="42" t="s">
        <v>306</v>
      </c>
    </row>
    <row r="66" customFormat="false" ht="31.5" hidden="false" customHeight="true" outlineLevel="0" collapsed="false">
      <c r="A66" s="5" t="s">
        <v>73</v>
      </c>
      <c r="B66" s="5"/>
      <c r="C66" s="5"/>
      <c r="D66" s="5" t="s">
        <v>307</v>
      </c>
      <c r="E66" s="5" t="s">
        <v>308</v>
      </c>
      <c r="F66" s="5" t="s">
        <v>309</v>
      </c>
    </row>
    <row r="67" customFormat="false" ht="15" hidden="false" customHeight="false" outlineLevel="0" collapsed="false">
      <c r="A67" s="11" t="s">
        <v>83</v>
      </c>
      <c r="D67" s="19" t="n">
        <f aca="false">SUMIF($B$26:$B$63,$A67,$Y$26:$Y$63)</f>
        <v>55271021</v>
      </c>
      <c r="E67" s="19" t="n">
        <f aca="false">SUMIF($B$26:$B$63,$A67,$Z$26:$Z$63)</f>
        <v>55271021</v>
      </c>
      <c r="F67" s="19" t="n">
        <f aca="false">SUMIF($B$26:$B$63,$A67,$AA$26:$AA$63)</f>
        <v>55271021</v>
      </c>
    </row>
    <row r="68" customFormat="false" ht="15" hidden="false" customHeight="false" outlineLevel="0" collapsed="false">
      <c r="A68" s="11" t="s">
        <v>91</v>
      </c>
      <c r="D68" s="19" t="n">
        <f aca="false">SUMIF($B$26:$B$63,$A68,$Y$26:$Y$63)</f>
        <v>105857214</v>
      </c>
      <c r="E68" s="19" t="n">
        <f aca="false">SUMIF($B$26:$B$63,$A68,$Z$26:$Z$63)</f>
        <v>184978947</v>
      </c>
      <c r="F68" s="19" t="n">
        <f aca="false">SUMIF($B$26:$B$63,$A68,$AA$26:$AA$63)</f>
        <v>305570587</v>
      </c>
    </row>
    <row r="69" customFormat="false" ht="15" hidden="false" customHeight="false" outlineLevel="0" collapsed="false">
      <c r="A69" s="11" t="s">
        <v>123</v>
      </c>
      <c r="D69" s="19" t="n">
        <f aca="false">SUMIF($B$26:$B$63,$A69,$Y$26:$Y$63)</f>
        <v>43670732</v>
      </c>
      <c r="E69" s="19" t="n">
        <f aca="false">SUMIF($B$26:$B$63,$A69,$Z$26:$Z$63)</f>
        <v>116414785.5</v>
      </c>
      <c r="F69" s="19" t="n">
        <f aca="false">SUMIF($B$26:$B$63,$A69,$AA$26:$AA$63)</f>
        <v>162686134.5</v>
      </c>
    </row>
    <row r="70" customFormat="false" ht="15" hidden="false" customHeight="false" outlineLevel="0" collapsed="false">
      <c r="A70" s="11" t="s">
        <v>147</v>
      </c>
      <c r="D70" s="19" t="n">
        <f aca="false">SUMIF($B$26:$B$63,$A70,$Y$26:$Y$63)</f>
        <v>0</v>
      </c>
      <c r="E70" s="19" t="n">
        <f aca="false">SUMIF($B$26:$B$63,$A70,$Z$26:$Z$63)</f>
        <v>27395481</v>
      </c>
      <c r="F70" s="19" t="n">
        <f aca="false">SUMIF($B$26:$B$63,$A70,$AA$26:$AA$63)</f>
        <v>43433426</v>
      </c>
    </row>
    <row r="71" customFormat="false" ht="15" hidden="false" customHeight="false" outlineLevel="0" collapsed="false">
      <c r="A71" s="11" t="s">
        <v>153</v>
      </c>
      <c r="D71" s="19" t="n">
        <f aca="false">SUMIF($B$26:$B$63,$A71,$Y$26:$Y$63)</f>
        <v>25533126</v>
      </c>
      <c r="E71" s="19" t="n">
        <f aca="false">SUMIF($B$26:$B$63,$A71,$Z$26:$Z$63)</f>
        <v>34032331</v>
      </c>
      <c r="F71" s="19" t="n">
        <f aca="false">SUMIF($B$26:$B$63,$A71,$AA$26:$AA$63)</f>
        <v>51847972.25</v>
      </c>
    </row>
    <row r="72" customFormat="false" ht="15" hidden="false" customHeight="false" outlineLevel="0" collapsed="false">
      <c r="A72" s="11" t="s">
        <v>161</v>
      </c>
      <c r="D72" s="19" t="n">
        <f aca="false">SUMIF($B$26:$B$63,$A72,$Y$26:$Y$63)</f>
        <v>0</v>
      </c>
      <c r="E72" s="19" t="n">
        <f aca="false">SUMIF($B$26:$B$63,$A72,$Z$26:$Z$63)</f>
        <v>17462921</v>
      </c>
      <c r="F72" s="19" t="n">
        <f aca="false">SUMIF($B$26:$B$63,$A72,$AA$26:$AA$63)</f>
        <v>17462921</v>
      </c>
    </row>
    <row r="73" customFormat="false" ht="15" hidden="false" customHeight="false" outlineLevel="0" collapsed="false">
      <c r="A73" s="25" t="s">
        <v>171</v>
      </c>
      <c r="D73" s="50" t="n">
        <f aca="false">SUM(D67:D72)</f>
        <v>230332093</v>
      </c>
      <c r="E73" s="50" t="n">
        <f aca="false">SUM(E67:E72)</f>
        <v>435555486.5</v>
      </c>
      <c r="F73" s="50" t="n">
        <f aca="false">SUM(F67:F72)</f>
        <v>636272061.75</v>
      </c>
    </row>
    <row r="75" customFormat="false" ht="15" hidden="false" customHeight="false" outlineLevel="0" collapsed="false">
      <c r="A75" s="22" t="s">
        <v>310</v>
      </c>
    </row>
    <row r="76" customFormat="false" ht="15" hidden="false" customHeight="false" outlineLevel="0" collapsed="false">
      <c r="A76" s="22" t="s">
        <v>311</v>
      </c>
    </row>
  </sheetData>
  <mergeCells count="3">
    <mergeCell ref="A1:T1"/>
    <mergeCell ref="A2:T2"/>
    <mergeCell ref="A4:E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42"/>
    <col collapsed="false" customWidth="true" hidden="false" outlineLevel="0" max="27" min="4" style="0" width="14"/>
  </cols>
  <sheetData>
    <row r="1" customFormat="false" ht="25.5" hidden="false" customHeight="true" outlineLevel="0" collapsed="false">
      <c r="A1" s="1" t="s">
        <v>312</v>
      </c>
      <c r="B1" s="1"/>
      <c r="C1" s="1"/>
      <c r="D1" s="1"/>
      <c r="E1" s="1"/>
      <c r="F1" s="1"/>
      <c r="G1" s="1"/>
      <c r="H1" s="1"/>
      <c r="I1" s="1"/>
      <c r="J1" s="1"/>
      <c r="K1" s="1"/>
      <c r="L1" s="1"/>
      <c r="M1" s="1"/>
      <c r="N1" s="1"/>
      <c r="O1" s="1"/>
      <c r="P1" s="1"/>
      <c r="Q1" s="1"/>
      <c r="R1" s="1"/>
      <c r="S1" s="1"/>
      <c r="T1" s="1"/>
      <c r="U1" s="1"/>
      <c r="V1" s="1"/>
      <c r="W1" s="1"/>
      <c r="X1" s="1"/>
      <c r="Y1" s="1"/>
      <c r="Z1" s="1"/>
      <c r="AA1" s="1"/>
    </row>
    <row r="2" customFormat="false" ht="15" hidden="false" customHeight="false" outlineLevel="0" collapsed="false">
      <c r="A2" s="2" t="s">
        <v>313</v>
      </c>
      <c r="B2" s="2"/>
      <c r="C2" s="2"/>
      <c r="D2" s="2"/>
      <c r="E2" s="2"/>
      <c r="F2" s="2"/>
      <c r="G2" s="2"/>
      <c r="H2" s="2"/>
      <c r="I2" s="2"/>
      <c r="J2" s="2"/>
      <c r="K2" s="2"/>
      <c r="L2" s="2"/>
      <c r="M2" s="2"/>
      <c r="N2" s="2"/>
      <c r="O2" s="2"/>
      <c r="P2" s="2"/>
      <c r="Q2" s="2"/>
      <c r="R2" s="2"/>
      <c r="S2" s="2"/>
      <c r="T2" s="2"/>
      <c r="U2" s="2"/>
      <c r="V2" s="2"/>
      <c r="W2" s="2"/>
      <c r="X2" s="2"/>
      <c r="Y2" s="2"/>
      <c r="Z2" s="2"/>
      <c r="AA2" s="2"/>
    </row>
    <row r="3" customFormat="false" ht="15" hidden="false" customHeight="false" outlineLevel="0" collapsed="false">
      <c r="D3" s="27" t="s">
        <v>314</v>
      </c>
    </row>
    <row r="4" customFormat="false" ht="31.5" hidden="false" customHeight="true" outlineLevel="0" collapsed="false">
      <c r="A4" s="5" t="s">
        <v>72</v>
      </c>
      <c r="B4" s="5" t="s">
        <v>73</v>
      </c>
      <c r="C4" s="5" t="s">
        <v>74</v>
      </c>
      <c r="D4" s="51" t="n">
        <v>1</v>
      </c>
      <c r="E4" s="51" t="n">
        <v>2</v>
      </c>
      <c r="F4" s="51" t="n">
        <v>3</v>
      </c>
      <c r="G4" s="51" t="n">
        <v>4</v>
      </c>
      <c r="H4" s="51" t="n">
        <v>5</v>
      </c>
      <c r="I4" s="51" t="n">
        <v>6</v>
      </c>
      <c r="J4" s="51" t="n">
        <v>7</v>
      </c>
      <c r="K4" s="51" t="n">
        <v>8</v>
      </c>
      <c r="L4" s="51" t="n">
        <v>9</v>
      </c>
      <c r="M4" s="51" t="n">
        <v>10</v>
      </c>
      <c r="N4" s="51" t="n">
        <v>11</v>
      </c>
      <c r="O4" s="51" t="n">
        <v>12</v>
      </c>
      <c r="P4" s="51" t="n">
        <v>13</v>
      </c>
      <c r="Q4" s="51" t="n">
        <v>14</v>
      </c>
      <c r="R4" s="51" t="n">
        <v>15</v>
      </c>
      <c r="S4" s="51" t="n">
        <v>16</v>
      </c>
      <c r="T4" s="51" t="n">
        <v>17</v>
      </c>
      <c r="U4" s="51" t="n">
        <v>18</v>
      </c>
      <c r="V4" s="51" t="n">
        <v>19</v>
      </c>
      <c r="W4" s="51" t="n">
        <v>20</v>
      </c>
      <c r="X4" s="51" t="n">
        <v>21</v>
      </c>
      <c r="Y4" s="51" t="n">
        <v>22</v>
      </c>
      <c r="Z4" s="51" t="n">
        <v>23</v>
      </c>
      <c r="AA4" s="51" t="n">
        <v>24</v>
      </c>
    </row>
    <row r="5" customFormat="false" ht="15" hidden="false" customHeight="false" outlineLevel="0" collapsed="false">
      <c r="A5" s="18" t="n">
        <v>1</v>
      </c>
      <c r="B5" s="43" t="str">
        <f aca="false">'Biaya Bulanan'!$B$26</f>
        <v>Direksi &amp; Tata Kelola</v>
      </c>
      <c r="C5" s="43" t="str">
        <f aca="false">'Biaya Bulanan'!$C$26</f>
        <v>Direktur Utama (CEO)</v>
      </c>
      <c r="D5" s="45" t="n">
        <f aca="false">IF(D$4&lt;'Biaya Bulanan'!$I$26,0,IF(D$4&lt;=3,'Biaya Bulanan'!$V$26,IF(D$4&lt;=12,'Biaya Bulanan'!$W$26,'Biaya Bulanan'!$X$26)))*'Biaya Bulanan'!$T$26</f>
        <v>44156676</v>
      </c>
      <c r="E5" s="45" t="n">
        <f aca="false">IF(E$4&lt;'Biaya Bulanan'!$I$26,0,IF(E$4&lt;=3,'Biaya Bulanan'!$V$26,IF(E$4&lt;=12,'Biaya Bulanan'!$W$26,'Biaya Bulanan'!$X$26)))*'Biaya Bulanan'!$T$26</f>
        <v>44156676</v>
      </c>
      <c r="F5" s="45" t="n">
        <f aca="false">IF(F$4&lt;'Biaya Bulanan'!$I$26,0,IF(F$4&lt;=3,'Biaya Bulanan'!$V$26,IF(F$4&lt;=12,'Biaya Bulanan'!$W$26,'Biaya Bulanan'!$X$26)))*'Biaya Bulanan'!$T$26</f>
        <v>44156676</v>
      </c>
      <c r="G5" s="45" t="n">
        <f aca="false">IF(G$4&lt;'Biaya Bulanan'!$I$26,0,IF(G$4&lt;=3,'Biaya Bulanan'!$V$26,IF(G$4&lt;=12,'Biaya Bulanan'!$W$26,'Biaya Bulanan'!$X$26)))*'Biaya Bulanan'!$T$26</f>
        <v>44156676</v>
      </c>
      <c r="H5" s="45" t="n">
        <f aca="false">IF(H$4&lt;'Biaya Bulanan'!$I$26,0,IF(H$4&lt;=3,'Biaya Bulanan'!$V$26,IF(H$4&lt;=12,'Biaya Bulanan'!$W$26,'Biaya Bulanan'!$X$26)))*'Biaya Bulanan'!$T$26</f>
        <v>44156676</v>
      </c>
      <c r="I5" s="45" t="n">
        <f aca="false">IF(I$4&lt;'Biaya Bulanan'!$I$26,0,IF(I$4&lt;=3,'Biaya Bulanan'!$V$26,IF(I$4&lt;=12,'Biaya Bulanan'!$W$26,'Biaya Bulanan'!$X$26)))*'Biaya Bulanan'!$T$26</f>
        <v>44156676</v>
      </c>
      <c r="J5" s="45" t="n">
        <f aca="false">IF(J$4&lt;'Biaya Bulanan'!$I$26,0,IF(J$4&lt;=3,'Biaya Bulanan'!$V$26,IF(J$4&lt;=12,'Biaya Bulanan'!$W$26,'Biaya Bulanan'!$X$26)))*'Biaya Bulanan'!$T$26</f>
        <v>44156676</v>
      </c>
      <c r="K5" s="45" t="n">
        <f aca="false">IF(K$4&lt;'Biaya Bulanan'!$I$26,0,IF(K$4&lt;=3,'Biaya Bulanan'!$V$26,IF(K$4&lt;=12,'Biaya Bulanan'!$W$26,'Biaya Bulanan'!$X$26)))*'Biaya Bulanan'!$T$26</f>
        <v>44156676</v>
      </c>
      <c r="L5" s="45" t="n">
        <f aca="false">IF(L$4&lt;'Biaya Bulanan'!$I$26,0,IF(L$4&lt;=3,'Biaya Bulanan'!$V$26,IF(L$4&lt;=12,'Biaya Bulanan'!$W$26,'Biaya Bulanan'!$X$26)))*'Biaya Bulanan'!$T$26</f>
        <v>44156676</v>
      </c>
      <c r="M5" s="45" t="n">
        <f aca="false">IF(M$4&lt;'Biaya Bulanan'!$I$26,0,IF(M$4&lt;=3,'Biaya Bulanan'!$V$26,IF(M$4&lt;=12,'Biaya Bulanan'!$W$26,'Biaya Bulanan'!$X$26)))*'Biaya Bulanan'!$T$26</f>
        <v>44156676</v>
      </c>
      <c r="N5" s="45" t="n">
        <f aca="false">IF(N$4&lt;'Biaya Bulanan'!$I$26,0,IF(N$4&lt;=3,'Biaya Bulanan'!$V$26,IF(N$4&lt;=12,'Biaya Bulanan'!$W$26,'Biaya Bulanan'!$X$26)))*'Biaya Bulanan'!$T$26</f>
        <v>44156676</v>
      </c>
      <c r="O5" s="45" t="n">
        <f aca="false">IF(O$4&lt;'Biaya Bulanan'!$I$26,0,IF(O$4&lt;=3,'Biaya Bulanan'!$V$26,IF(O$4&lt;=12,'Biaya Bulanan'!$W$26,'Biaya Bulanan'!$X$26)))*'Biaya Bulanan'!$T$26</f>
        <v>44156676</v>
      </c>
      <c r="P5" s="45" t="n">
        <f aca="false">IF(P$4&lt;'Biaya Bulanan'!$I$26,0,IF(P$4&lt;=3,'Biaya Bulanan'!$V$26,IF(P$4&lt;=12,'Biaya Bulanan'!$W$26,'Biaya Bulanan'!$X$26)))*'Biaya Bulanan'!$T$26</f>
        <v>44156676</v>
      </c>
      <c r="Q5" s="45" t="n">
        <f aca="false">IF(Q$4&lt;'Biaya Bulanan'!$I$26,0,IF(Q$4&lt;=3,'Biaya Bulanan'!$V$26,IF(Q$4&lt;=12,'Biaya Bulanan'!$W$26,'Biaya Bulanan'!$X$26)))*'Biaya Bulanan'!$T$26</f>
        <v>44156676</v>
      </c>
      <c r="R5" s="45" t="n">
        <f aca="false">IF(R$4&lt;'Biaya Bulanan'!$I$26,0,IF(R$4&lt;=3,'Biaya Bulanan'!$V$26,IF(R$4&lt;=12,'Biaya Bulanan'!$W$26,'Biaya Bulanan'!$X$26)))*'Biaya Bulanan'!$T$26</f>
        <v>44156676</v>
      </c>
      <c r="S5" s="45" t="n">
        <f aca="false">IF(S$4&lt;'Biaya Bulanan'!$I$26,0,IF(S$4&lt;=3,'Biaya Bulanan'!$V$26,IF(S$4&lt;=12,'Biaya Bulanan'!$W$26,'Biaya Bulanan'!$X$26)))*'Biaya Bulanan'!$T$26</f>
        <v>44156676</v>
      </c>
      <c r="T5" s="45" t="n">
        <f aca="false">IF(T$4&lt;'Biaya Bulanan'!$I$26,0,IF(T$4&lt;=3,'Biaya Bulanan'!$V$26,IF(T$4&lt;=12,'Biaya Bulanan'!$W$26,'Biaya Bulanan'!$X$26)))*'Biaya Bulanan'!$T$26</f>
        <v>44156676</v>
      </c>
      <c r="U5" s="45" t="n">
        <f aca="false">IF(U$4&lt;'Biaya Bulanan'!$I$26,0,IF(U$4&lt;=3,'Biaya Bulanan'!$V$26,IF(U$4&lt;=12,'Biaya Bulanan'!$W$26,'Biaya Bulanan'!$X$26)))*'Biaya Bulanan'!$T$26</f>
        <v>44156676</v>
      </c>
      <c r="V5" s="45" t="n">
        <f aca="false">IF(V$4&lt;'Biaya Bulanan'!$I$26,0,IF(V$4&lt;=3,'Biaya Bulanan'!$V$26,IF(V$4&lt;=12,'Biaya Bulanan'!$W$26,'Biaya Bulanan'!$X$26)))*'Biaya Bulanan'!$T$26</f>
        <v>44156676</v>
      </c>
      <c r="W5" s="45" t="n">
        <f aca="false">IF(W$4&lt;'Biaya Bulanan'!$I$26,0,IF(W$4&lt;=3,'Biaya Bulanan'!$V$26,IF(W$4&lt;=12,'Biaya Bulanan'!$W$26,'Biaya Bulanan'!$X$26)))*'Biaya Bulanan'!$T$26</f>
        <v>44156676</v>
      </c>
      <c r="X5" s="45" t="n">
        <f aca="false">IF(X$4&lt;'Biaya Bulanan'!$I$26,0,IF(X$4&lt;=3,'Biaya Bulanan'!$V$26,IF(X$4&lt;=12,'Biaya Bulanan'!$W$26,'Biaya Bulanan'!$X$26)))*'Biaya Bulanan'!$T$26</f>
        <v>44156676</v>
      </c>
      <c r="Y5" s="45" t="n">
        <f aca="false">IF(Y$4&lt;'Biaya Bulanan'!$I$26,0,IF(Y$4&lt;=3,'Biaya Bulanan'!$V$26,IF(Y$4&lt;=12,'Biaya Bulanan'!$W$26,'Biaya Bulanan'!$X$26)))*'Biaya Bulanan'!$T$26</f>
        <v>44156676</v>
      </c>
      <c r="Z5" s="45" t="n">
        <f aca="false">IF(Z$4&lt;'Biaya Bulanan'!$I$26,0,IF(Z$4&lt;=3,'Biaya Bulanan'!$V$26,IF(Z$4&lt;=12,'Biaya Bulanan'!$W$26,'Biaya Bulanan'!$X$26)))*'Biaya Bulanan'!$T$26</f>
        <v>44156676</v>
      </c>
      <c r="AA5" s="45" t="n">
        <f aca="false">IF(AA$4&lt;'Biaya Bulanan'!$I$26,0,IF(AA$4&lt;=3,'Biaya Bulanan'!$V$26,IF(AA$4&lt;=12,'Biaya Bulanan'!$W$26,'Biaya Bulanan'!$X$26)))*'Biaya Bulanan'!$T$26</f>
        <v>44156676</v>
      </c>
    </row>
    <row r="6" customFormat="false" ht="15" hidden="false" customHeight="false" outlineLevel="0" collapsed="false">
      <c r="A6" s="18" t="n">
        <v>2</v>
      </c>
      <c r="B6" s="43" t="str">
        <f aca="false">'Biaya Bulanan'!$B$27</f>
        <v>Direksi &amp; Tata Kelola</v>
      </c>
      <c r="C6" s="43" t="str">
        <f aca="false">'Biaya Bulanan'!$C$27</f>
        <v>HR &amp; GA Generalist</v>
      </c>
      <c r="D6" s="45" t="n">
        <f aca="false">IF(D$4&lt;'Biaya Bulanan'!$I$27,0,IF(D$4&lt;=3,'Biaya Bulanan'!$V$27,IF(D$4&lt;=12,'Biaya Bulanan'!$W$27,'Biaya Bulanan'!$X$27)))*'Biaya Bulanan'!$T$27</f>
        <v>0</v>
      </c>
      <c r="E6" s="45" t="n">
        <f aca="false">IF(E$4&lt;'Biaya Bulanan'!$I$27,0,IF(E$4&lt;=3,'Biaya Bulanan'!$V$27,IF(E$4&lt;=12,'Biaya Bulanan'!$W$27,'Biaya Bulanan'!$X$27)))*'Biaya Bulanan'!$T$27</f>
        <v>0</v>
      </c>
      <c r="F6" s="45" t="n">
        <f aca="false">IF(F$4&lt;'Biaya Bulanan'!$I$27,0,IF(F$4&lt;=3,'Biaya Bulanan'!$V$27,IF(F$4&lt;=12,'Biaya Bulanan'!$W$27,'Biaya Bulanan'!$X$27)))*'Biaya Bulanan'!$T$27</f>
        <v>11114345</v>
      </c>
      <c r="G6" s="45" t="n">
        <f aca="false">IF(G$4&lt;'Biaya Bulanan'!$I$27,0,IF(G$4&lt;=3,'Biaya Bulanan'!$V$27,IF(G$4&lt;=12,'Biaya Bulanan'!$W$27,'Biaya Bulanan'!$X$27)))*'Biaya Bulanan'!$T$27</f>
        <v>11114345</v>
      </c>
      <c r="H6" s="45" t="n">
        <f aca="false">IF(H$4&lt;'Biaya Bulanan'!$I$27,0,IF(H$4&lt;=3,'Biaya Bulanan'!$V$27,IF(H$4&lt;=12,'Biaya Bulanan'!$W$27,'Biaya Bulanan'!$X$27)))*'Biaya Bulanan'!$T$27</f>
        <v>11114345</v>
      </c>
      <c r="I6" s="45" t="n">
        <f aca="false">IF(I$4&lt;'Biaya Bulanan'!$I$27,0,IF(I$4&lt;=3,'Biaya Bulanan'!$V$27,IF(I$4&lt;=12,'Biaya Bulanan'!$W$27,'Biaya Bulanan'!$X$27)))*'Biaya Bulanan'!$T$27</f>
        <v>11114345</v>
      </c>
      <c r="J6" s="45" t="n">
        <f aca="false">IF(J$4&lt;'Biaya Bulanan'!$I$27,0,IF(J$4&lt;=3,'Biaya Bulanan'!$V$27,IF(J$4&lt;=12,'Biaya Bulanan'!$W$27,'Biaya Bulanan'!$X$27)))*'Biaya Bulanan'!$T$27</f>
        <v>11114345</v>
      </c>
      <c r="K6" s="45" t="n">
        <f aca="false">IF(K$4&lt;'Biaya Bulanan'!$I$27,0,IF(K$4&lt;=3,'Biaya Bulanan'!$V$27,IF(K$4&lt;=12,'Biaya Bulanan'!$W$27,'Biaya Bulanan'!$X$27)))*'Biaya Bulanan'!$T$27</f>
        <v>11114345</v>
      </c>
      <c r="L6" s="45" t="n">
        <f aca="false">IF(L$4&lt;'Biaya Bulanan'!$I$27,0,IF(L$4&lt;=3,'Biaya Bulanan'!$V$27,IF(L$4&lt;=12,'Biaya Bulanan'!$W$27,'Biaya Bulanan'!$X$27)))*'Biaya Bulanan'!$T$27</f>
        <v>11114345</v>
      </c>
      <c r="M6" s="45" t="n">
        <f aca="false">IF(M$4&lt;'Biaya Bulanan'!$I$27,0,IF(M$4&lt;=3,'Biaya Bulanan'!$V$27,IF(M$4&lt;=12,'Biaya Bulanan'!$W$27,'Biaya Bulanan'!$X$27)))*'Biaya Bulanan'!$T$27</f>
        <v>11114345</v>
      </c>
      <c r="N6" s="45" t="n">
        <f aca="false">IF(N$4&lt;'Biaya Bulanan'!$I$27,0,IF(N$4&lt;=3,'Biaya Bulanan'!$V$27,IF(N$4&lt;=12,'Biaya Bulanan'!$W$27,'Biaya Bulanan'!$X$27)))*'Biaya Bulanan'!$T$27</f>
        <v>11114345</v>
      </c>
      <c r="O6" s="45" t="n">
        <f aca="false">IF(O$4&lt;'Biaya Bulanan'!$I$27,0,IF(O$4&lt;=3,'Biaya Bulanan'!$V$27,IF(O$4&lt;=12,'Biaya Bulanan'!$W$27,'Biaya Bulanan'!$X$27)))*'Biaya Bulanan'!$T$27</f>
        <v>11114345</v>
      </c>
      <c r="P6" s="45" t="n">
        <f aca="false">IF(P$4&lt;'Biaya Bulanan'!$I$27,0,IF(P$4&lt;=3,'Biaya Bulanan'!$V$27,IF(P$4&lt;=12,'Biaya Bulanan'!$W$27,'Biaya Bulanan'!$X$27)))*'Biaya Bulanan'!$T$27</f>
        <v>11114345</v>
      </c>
      <c r="Q6" s="45" t="n">
        <f aca="false">IF(Q$4&lt;'Biaya Bulanan'!$I$27,0,IF(Q$4&lt;=3,'Biaya Bulanan'!$V$27,IF(Q$4&lt;=12,'Biaya Bulanan'!$W$27,'Biaya Bulanan'!$X$27)))*'Biaya Bulanan'!$T$27</f>
        <v>11114345</v>
      </c>
      <c r="R6" s="45" t="n">
        <f aca="false">IF(R$4&lt;'Biaya Bulanan'!$I$27,0,IF(R$4&lt;=3,'Biaya Bulanan'!$V$27,IF(R$4&lt;=12,'Biaya Bulanan'!$W$27,'Biaya Bulanan'!$X$27)))*'Biaya Bulanan'!$T$27</f>
        <v>11114345</v>
      </c>
      <c r="S6" s="45" t="n">
        <f aca="false">IF(S$4&lt;'Biaya Bulanan'!$I$27,0,IF(S$4&lt;=3,'Biaya Bulanan'!$V$27,IF(S$4&lt;=12,'Biaya Bulanan'!$W$27,'Biaya Bulanan'!$X$27)))*'Biaya Bulanan'!$T$27</f>
        <v>11114345</v>
      </c>
      <c r="T6" s="45" t="n">
        <f aca="false">IF(T$4&lt;'Biaya Bulanan'!$I$27,0,IF(T$4&lt;=3,'Biaya Bulanan'!$V$27,IF(T$4&lt;=12,'Biaya Bulanan'!$W$27,'Biaya Bulanan'!$X$27)))*'Biaya Bulanan'!$T$27</f>
        <v>11114345</v>
      </c>
      <c r="U6" s="45" t="n">
        <f aca="false">IF(U$4&lt;'Biaya Bulanan'!$I$27,0,IF(U$4&lt;=3,'Biaya Bulanan'!$V$27,IF(U$4&lt;=12,'Biaya Bulanan'!$W$27,'Biaya Bulanan'!$X$27)))*'Biaya Bulanan'!$T$27</f>
        <v>11114345</v>
      </c>
      <c r="V6" s="45" t="n">
        <f aca="false">IF(V$4&lt;'Biaya Bulanan'!$I$27,0,IF(V$4&lt;=3,'Biaya Bulanan'!$V$27,IF(V$4&lt;=12,'Biaya Bulanan'!$W$27,'Biaya Bulanan'!$X$27)))*'Biaya Bulanan'!$T$27</f>
        <v>11114345</v>
      </c>
      <c r="W6" s="45" t="n">
        <f aca="false">IF(W$4&lt;'Biaya Bulanan'!$I$27,0,IF(W$4&lt;=3,'Biaya Bulanan'!$V$27,IF(W$4&lt;=12,'Biaya Bulanan'!$W$27,'Biaya Bulanan'!$X$27)))*'Biaya Bulanan'!$T$27</f>
        <v>11114345</v>
      </c>
      <c r="X6" s="45" t="n">
        <f aca="false">IF(X$4&lt;'Biaya Bulanan'!$I$27,0,IF(X$4&lt;=3,'Biaya Bulanan'!$V$27,IF(X$4&lt;=12,'Biaya Bulanan'!$W$27,'Biaya Bulanan'!$X$27)))*'Biaya Bulanan'!$T$27</f>
        <v>11114345</v>
      </c>
      <c r="Y6" s="45" t="n">
        <f aca="false">IF(Y$4&lt;'Biaya Bulanan'!$I$27,0,IF(Y$4&lt;=3,'Biaya Bulanan'!$V$27,IF(Y$4&lt;=12,'Biaya Bulanan'!$W$27,'Biaya Bulanan'!$X$27)))*'Biaya Bulanan'!$T$27</f>
        <v>11114345</v>
      </c>
      <c r="Z6" s="45" t="n">
        <f aca="false">IF(Z$4&lt;'Biaya Bulanan'!$I$27,0,IF(Z$4&lt;=3,'Biaya Bulanan'!$V$27,IF(Z$4&lt;=12,'Biaya Bulanan'!$W$27,'Biaya Bulanan'!$X$27)))*'Biaya Bulanan'!$T$27</f>
        <v>11114345</v>
      </c>
      <c r="AA6" s="45" t="n">
        <f aca="false">IF(AA$4&lt;'Biaya Bulanan'!$I$27,0,IF(AA$4&lt;=3,'Biaya Bulanan'!$V$27,IF(AA$4&lt;=12,'Biaya Bulanan'!$W$27,'Biaya Bulanan'!$X$27)))*'Biaya Bulanan'!$T$27</f>
        <v>11114345</v>
      </c>
    </row>
    <row r="7" customFormat="false" ht="15" hidden="false" customHeight="false" outlineLevel="0" collapsed="false">
      <c r="A7" s="18" t="n">
        <v>3</v>
      </c>
      <c r="B7" s="43" t="str">
        <f aca="false">'Biaya Bulanan'!$B$28</f>
        <v>Teknologi</v>
      </c>
      <c r="C7" s="43" t="str">
        <f aca="false">'Biaya Bulanan'!$C$28</f>
        <v>Direktur Teknologi (CTO)</v>
      </c>
      <c r="D7" s="45" t="n">
        <f aca="false">IF(D$4&lt;'Biaya Bulanan'!$I$28,0,IF(D$4&lt;=3,'Biaya Bulanan'!$V$28,IF(D$4&lt;=12,'Biaya Bulanan'!$W$28,'Biaya Bulanan'!$X$28)))*'Biaya Bulanan'!$T$28</f>
        <v>37948826</v>
      </c>
      <c r="E7" s="45" t="n">
        <f aca="false">IF(E$4&lt;'Biaya Bulanan'!$I$28,0,IF(E$4&lt;=3,'Biaya Bulanan'!$V$28,IF(E$4&lt;=12,'Biaya Bulanan'!$W$28,'Biaya Bulanan'!$X$28)))*'Biaya Bulanan'!$T$28</f>
        <v>37948826</v>
      </c>
      <c r="F7" s="45" t="n">
        <f aca="false">IF(F$4&lt;'Biaya Bulanan'!$I$28,0,IF(F$4&lt;=3,'Biaya Bulanan'!$V$28,IF(F$4&lt;=12,'Biaya Bulanan'!$W$28,'Biaya Bulanan'!$X$28)))*'Biaya Bulanan'!$T$28</f>
        <v>37948826</v>
      </c>
      <c r="G7" s="45" t="n">
        <f aca="false">IF(G$4&lt;'Biaya Bulanan'!$I$28,0,IF(G$4&lt;=3,'Biaya Bulanan'!$V$28,IF(G$4&lt;=12,'Biaya Bulanan'!$W$28,'Biaya Bulanan'!$X$28)))*'Biaya Bulanan'!$T$28</f>
        <v>37948826</v>
      </c>
      <c r="H7" s="45" t="n">
        <f aca="false">IF(H$4&lt;'Biaya Bulanan'!$I$28,0,IF(H$4&lt;=3,'Biaya Bulanan'!$V$28,IF(H$4&lt;=12,'Biaya Bulanan'!$W$28,'Biaya Bulanan'!$X$28)))*'Biaya Bulanan'!$T$28</f>
        <v>37948826</v>
      </c>
      <c r="I7" s="45" t="n">
        <f aca="false">IF(I$4&lt;'Biaya Bulanan'!$I$28,0,IF(I$4&lt;=3,'Biaya Bulanan'!$V$28,IF(I$4&lt;=12,'Biaya Bulanan'!$W$28,'Biaya Bulanan'!$X$28)))*'Biaya Bulanan'!$T$28</f>
        <v>37948826</v>
      </c>
      <c r="J7" s="45" t="n">
        <f aca="false">IF(J$4&lt;'Biaya Bulanan'!$I$28,0,IF(J$4&lt;=3,'Biaya Bulanan'!$V$28,IF(J$4&lt;=12,'Biaya Bulanan'!$W$28,'Biaya Bulanan'!$X$28)))*'Biaya Bulanan'!$T$28</f>
        <v>37948826</v>
      </c>
      <c r="K7" s="45" t="n">
        <f aca="false">IF(K$4&lt;'Biaya Bulanan'!$I$28,0,IF(K$4&lt;=3,'Biaya Bulanan'!$V$28,IF(K$4&lt;=12,'Biaya Bulanan'!$W$28,'Biaya Bulanan'!$X$28)))*'Biaya Bulanan'!$T$28</f>
        <v>37948826</v>
      </c>
      <c r="L7" s="45" t="n">
        <f aca="false">IF(L$4&lt;'Biaya Bulanan'!$I$28,0,IF(L$4&lt;=3,'Biaya Bulanan'!$V$28,IF(L$4&lt;=12,'Biaya Bulanan'!$W$28,'Biaya Bulanan'!$X$28)))*'Biaya Bulanan'!$T$28</f>
        <v>37948826</v>
      </c>
      <c r="M7" s="45" t="n">
        <f aca="false">IF(M$4&lt;'Biaya Bulanan'!$I$28,0,IF(M$4&lt;=3,'Biaya Bulanan'!$V$28,IF(M$4&lt;=12,'Biaya Bulanan'!$W$28,'Biaya Bulanan'!$X$28)))*'Biaya Bulanan'!$T$28</f>
        <v>37948826</v>
      </c>
      <c r="N7" s="45" t="n">
        <f aca="false">IF(N$4&lt;'Biaya Bulanan'!$I$28,0,IF(N$4&lt;=3,'Biaya Bulanan'!$V$28,IF(N$4&lt;=12,'Biaya Bulanan'!$W$28,'Biaya Bulanan'!$X$28)))*'Biaya Bulanan'!$T$28</f>
        <v>37948826</v>
      </c>
      <c r="O7" s="45" t="n">
        <f aca="false">IF(O$4&lt;'Biaya Bulanan'!$I$28,0,IF(O$4&lt;=3,'Biaya Bulanan'!$V$28,IF(O$4&lt;=12,'Biaya Bulanan'!$W$28,'Biaya Bulanan'!$X$28)))*'Biaya Bulanan'!$T$28</f>
        <v>37948826</v>
      </c>
      <c r="P7" s="45" t="n">
        <f aca="false">IF(P$4&lt;'Biaya Bulanan'!$I$28,0,IF(P$4&lt;=3,'Biaya Bulanan'!$V$28,IF(P$4&lt;=12,'Biaya Bulanan'!$W$28,'Biaya Bulanan'!$X$28)))*'Biaya Bulanan'!$T$28</f>
        <v>37948826</v>
      </c>
      <c r="Q7" s="45" t="n">
        <f aca="false">IF(Q$4&lt;'Biaya Bulanan'!$I$28,0,IF(Q$4&lt;=3,'Biaya Bulanan'!$V$28,IF(Q$4&lt;=12,'Biaya Bulanan'!$W$28,'Biaya Bulanan'!$X$28)))*'Biaya Bulanan'!$T$28</f>
        <v>37948826</v>
      </c>
      <c r="R7" s="45" t="n">
        <f aca="false">IF(R$4&lt;'Biaya Bulanan'!$I$28,0,IF(R$4&lt;=3,'Biaya Bulanan'!$V$28,IF(R$4&lt;=12,'Biaya Bulanan'!$W$28,'Biaya Bulanan'!$X$28)))*'Biaya Bulanan'!$T$28</f>
        <v>37948826</v>
      </c>
      <c r="S7" s="45" t="n">
        <f aca="false">IF(S$4&lt;'Biaya Bulanan'!$I$28,0,IF(S$4&lt;=3,'Biaya Bulanan'!$V$28,IF(S$4&lt;=12,'Biaya Bulanan'!$W$28,'Biaya Bulanan'!$X$28)))*'Biaya Bulanan'!$T$28</f>
        <v>37948826</v>
      </c>
      <c r="T7" s="45" t="n">
        <f aca="false">IF(T$4&lt;'Biaya Bulanan'!$I$28,0,IF(T$4&lt;=3,'Biaya Bulanan'!$V$28,IF(T$4&lt;=12,'Biaya Bulanan'!$W$28,'Biaya Bulanan'!$X$28)))*'Biaya Bulanan'!$T$28</f>
        <v>37948826</v>
      </c>
      <c r="U7" s="45" t="n">
        <f aca="false">IF(U$4&lt;'Biaya Bulanan'!$I$28,0,IF(U$4&lt;=3,'Biaya Bulanan'!$V$28,IF(U$4&lt;=12,'Biaya Bulanan'!$W$28,'Biaya Bulanan'!$X$28)))*'Biaya Bulanan'!$T$28</f>
        <v>37948826</v>
      </c>
      <c r="V7" s="45" t="n">
        <f aca="false">IF(V$4&lt;'Biaya Bulanan'!$I$28,0,IF(V$4&lt;=3,'Biaya Bulanan'!$V$28,IF(V$4&lt;=12,'Biaya Bulanan'!$W$28,'Biaya Bulanan'!$X$28)))*'Biaya Bulanan'!$T$28</f>
        <v>37948826</v>
      </c>
      <c r="W7" s="45" t="n">
        <f aca="false">IF(W$4&lt;'Biaya Bulanan'!$I$28,0,IF(W$4&lt;=3,'Biaya Bulanan'!$V$28,IF(W$4&lt;=12,'Biaya Bulanan'!$W$28,'Biaya Bulanan'!$X$28)))*'Biaya Bulanan'!$T$28</f>
        <v>37948826</v>
      </c>
      <c r="X7" s="45" t="n">
        <f aca="false">IF(X$4&lt;'Biaya Bulanan'!$I$28,0,IF(X$4&lt;=3,'Biaya Bulanan'!$V$28,IF(X$4&lt;=12,'Biaya Bulanan'!$W$28,'Biaya Bulanan'!$X$28)))*'Biaya Bulanan'!$T$28</f>
        <v>37948826</v>
      </c>
      <c r="Y7" s="45" t="n">
        <f aca="false">IF(Y$4&lt;'Biaya Bulanan'!$I$28,0,IF(Y$4&lt;=3,'Biaya Bulanan'!$V$28,IF(Y$4&lt;=12,'Biaya Bulanan'!$W$28,'Biaya Bulanan'!$X$28)))*'Biaya Bulanan'!$T$28</f>
        <v>37948826</v>
      </c>
      <c r="Z7" s="45" t="n">
        <f aca="false">IF(Z$4&lt;'Biaya Bulanan'!$I$28,0,IF(Z$4&lt;=3,'Biaya Bulanan'!$V$28,IF(Z$4&lt;=12,'Biaya Bulanan'!$W$28,'Biaya Bulanan'!$X$28)))*'Biaya Bulanan'!$T$28</f>
        <v>37948826</v>
      </c>
      <c r="AA7" s="45" t="n">
        <f aca="false">IF(AA$4&lt;'Biaya Bulanan'!$I$28,0,IF(AA$4&lt;=3,'Biaya Bulanan'!$V$28,IF(AA$4&lt;=12,'Biaya Bulanan'!$W$28,'Biaya Bulanan'!$X$28)))*'Biaya Bulanan'!$T$28</f>
        <v>37948826</v>
      </c>
    </row>
    <row r="8" customFormat="false" ht="15" hidden="false" customHeight="false" outlineLevel="0" collapsed="false">
      <c r="A8" s="18" t="n">
        <v>4</v>
      </c>
      <c r="B8" s="43" t="str">
        <f aca="false">'Biaya Bulanan'!$B$29</f>
        <v>Teknologi</v>
      </c>
      <c r="C8" s="43" t="str">
        <f aca="false">'Biaya Bulanan'!$C$29</f>
        <v>Engineering Manager</v>
      </c>
      <c r="D8" s="45" t="n">
        <f aca="false">IF(D$4&lt;'Biaya Bulanan'!$I$29,0,IF(D$4&lt;=3,'Biaya Bulanan'!$V$29,IF(D$4&lt;=12,'Biaya Bulanan'!$W$29,'Biaya Bulanan'!$X$29)))*'Biaya Bulanan'!$T$29</f>
        <v>0</v>
      </c>
      <c r="E8" s="45" t="n">
        <f aca="false">IF(E$4&lt;'Biaya Bulanan'!$I$29,0,IF(E$4&lt;=3,'Biaya Bulanan'!$V$29,IF(E$4&lt;=12,'Biaya Bulanan'!$W$29,'Biaya Bulanan'!$X$29)))*'Biaya Bulanan'!$T$29</f>
        <v>0</v>
      </c>
      <c r="F8" s="45" t="n">
        <f aca="false">IF(F$4&lt;'Biaya Bulanan'!$I$29,0,IF(F$4&lt;=3,'Biaya Bulanan'!$V$29,IF(F$4&lt;=12,'Biaya Bulanan'!$W$29,'Biaya Bulanan'!$X$29)))*'Biaya Bulanan'!$T$29</f>
        <v>0</v>
      </c>
      <c r="G8" s="45" t="n">
        <f aca="false">IF(G$4&lt;'Biaya Bulanan'!$I$29,0,IF(G$4&lt;=3,'Biaya Bulanan'!$V$29,IF(G$4&lt;=12,'Biaya Bulanan'!$W$29,'Biaya Bulanan'!$X$29)))*'Biaya Bulanan'!$T$29</f>
        <v>34844901</v>
      </c>
      <c r="H8" s="45" t="n">
        <f aca="false">IF(H$4&lt;'Biaya Bulanan'!$I$29,0,IF(H$4&lt;=3,'Biaya Bulanan'!$V$29,IF(H$4&lt;=12,'Biaya Bulanan'!$W$29,'Biaya Bulanan'!$X$29)))*'Biaya Bulanan'!$T$29</f>
        <v>34844901</v>
      </c>
      <c r="I8" s="45" t="n">
        <f aca="false">IF(I$4&lt;'Biaya Bulanan'!$I$29,0,IF(I$4&lt;=3,'Biaya Bulanan'!$V$29,IF(I$4&lt;=12,'Biaya Bulanan'!$W$29,'Biaya Bulanan'!$X$29)))*'Biaya Bulanan'!$T$29</f>
        <v>34844901</v>
      </c>
      <c r="J8" s="45" t="n">
        <f aca="false">IF(J$4&lt;'Biaya Bulanan'!$I$29,0,IF(J$4&lt;=3,'Biaya Bulanan'!$V$29,IF(J$4&lt;=12,'Biaya Bulanan'!$W$29,'Biaya Bulanan'!$X$29)))*'Biaya Bulanan'!$T$29</f>
        <v>34844901</v>
      </c>
      <c r="K8" s="45" t="n">
        <f aca="false">IF(K$4&lt;'Biaya Bulanan'!$I$29,0,IF(K$4&lt;=3,'Biaya Bulanan'!$V$29,IF(K$4&lt;=12,'Biaya Bulanan'!$W$29,'Biaya Bulanan'!$X$29)))*'Biaya Bulanan'!$T$29</f>
        <v>34844901</v>
      </c>
      <c r="L8" s="45" t="n">
        <f aca="false">IF(L$4&lt;'Biaya Bulanan'!$I$29,0,IF(L$4&lt;=3,'Biaya Bulanan'!$V$29,IF(L$4&lt;=12,'Biaya Bulanan'!$W$29,'Biaya Bulanan'!$X$29)))*'Biaya Bulanan'!$T$29</f>
        <v>34844901</v>
      </c>
      <c r="M8" s="45" t="n">
        <f aca="false">IF(M$4&lt;'Biaya Bulanan'!$I$29,0,IF(M$4&lt;=3,'Biaya Bulanan'!$V$29,IF(M$4&lt;=12,'Biaya Bulanan'!$W$29,'Biaya Bulanan'!$X$29)))*'Biaya Bulanan'!$T$29</f>
        <v>34844901</v>
      </c>
      <c r="N8" s="45" t="n">
        <f aca="false">IF(N$4&lt;'Biaya Bulanan'!$I$29,0,IF(N$4&lt;=3,'Biaya Bulanan'!$V$29,IF(N$4&lt;=12,'Biaya Bulanan'!$W$29,'Biaya Bulanan'!$X$29)))*'Biaya Bulanan'!$T$29</f>
        <v>34844901</v>
      </c>
      <c r="O8" s="45" t="n">
        <f aca="false">IF(O$4&lt;'Biaya Bulanan'!$I$29,0,IF(O$4&lt;=3,'Biaya Bulanan'!$V$29,IF(O$4&lt;=12,'Biaya Bulanan'!$W$29,'Biaya Bulanan'!$X$29)))*'Biaya Bulanan'!$T$29</f>
        <v>34844901</v>
      </c>
      <c r="P8" s="45" t="n">
        <f aca="false">IF(P$4&lt;'Biaya Bulanan'!$I$29,0,IF(P$4&lt;=3,'Biaya Bulanan'!$V$29,IF(P$4&lt;=12,'Biaya Bulanan'!$W$29,'Biaya Bulanan'!$X$29)))*'Biaya Bulanan'!$T$29</f>
        <v>34844901</v>
      </c>
      <c r="Q8" s="45" t="n">
        <f aca="false">IF(Q$4&lt;'Biaya Bulanan'!$I$29,0,IF(Q$4&lt;=3,'Biaya Bulanan'!$V$29,IF(Q$4&lt;=12,'Biaya Bulanan'!$W$29,'Biaya Bulanan'!$X$29)))*'Biaya Bulanan'!$T$29</f>
        <v>34844901</v>
      </c>
      <c r="R8" s="45" t="n">
        <f aca="false">IF(R$4&lt;'Biaya Bulanan'!$I$29,0,IF(R$4&lt;=3,'Biaya Bulanan'!$V$29,IF(R$4&lt;=12,'Biaya Bulanan'!$W$29,'Biaya Bulanan'!$X$29)))*'Biaya Bulanan'!$T$29</f>
        <v>34844901</v>
      </c>
      <c r="S8" s="45" t="n">
        <f aca="false">IF(S$4&lt;'Biaya Bulanan'!$I$29,0,IF(S$4&lt;=3,'Biaya Bulanan'!$V$29,IF(S$4&lt;=12,'Biaya Bulanan'!$W$29,'Biaya Bulanan'!$X$29)))*'Biaya Bulanan'!$T$29</f>
        <v>34844901</v>
      </c>
      <c r="T8" s="45" t="n">
        <f aca="false">IF(T$4&lt;'Biaya Bulanan'!$I$29,0,IF(T$4&lt;=3,'Biaya Bulanan'!$V$29,IF(T$4&lt;=12,'Biaya Bulanan'!$W$29,'Biaya Bulanan'!$X$29)))*'Biaya Bulanan'!$T$29</f>
        <v>34844901</v>
      </c>
      <c r="U8" s="45" t="n">
        <f aca="false">IF(U$4&lt;'Biaya Bulanan'!$I$29,0,IF(U$4&lt;=3,'Biaya Bulanan'!$V$29,IF(U$4&lt;=12,'Biaya Bulanan'!$W$29,'Biaya Bulanan'!$X$29)))*'Biaya Bulanan'!$T$29</f>
        <v>34844901</v>
      </c>
      <c r="V8" s="45" t="n">
        <f aca="false">IF(V$4&lt;'Biaya Bulanan'!$I$29,0,IF(V$4&lt;=3,'Biaya Bulanan'!$V$29,IF(V$4&lt;=12,'Biaya Bulanan'!$W$29,'Biaya Bulanan'!$X$29)))*'Biaya Bulanan'!$T$29</f>
        <v>34844901</v>
      </c>
      <c r="W8" s="45" t="n">
        <f aca="false">IF(W$4&lt;'Biaya Bulanan'!$I$29,0,IF(W$4&lt;=3,'Biaya Bulanan'!$V$29,IF(W$4&lt;=12,'Biaya Bulanan'!$W$29,'Biaya Bulanan'!$X$29)))*'Biaya Bulanan'!$T$29</f>
        <v>34844901</v>
      </c>
      <c r="X8" s="45" t="n">
        <f aca="false">IF(X$4&lt;'Biaya Bulanan'!$I$29,0,IF(X$4&lt;=3,'Biaya Bulanan'!$V$29,IF(X$4&lt;=12,'Biaya Bulanan'!$W$29,'Biaya Bulanan'!$X$29)))*'Biaya Bulanan'!$T$29</f>
        <v>34844901</v>
      </c>
      <c r="Y8" s="45" t="n">
        <f aca="false">IF(Y$4&lt;'Biaya Bulanan'!$I$29,0,IF(Y$4&lt;=3,'Biaya Bulanan'!$V$29,IF(Y$4&lt;=12,'Biaya Bulanan'!$W$29,'Biaya Bulanan'!$X$29)))*'Biaya Bulanan'!$T$29</f>
        <v>34844901</v>
      </c>
      <c r="Z8" s="45" t="n">
        <f aca="false">IF(Z$4&lt;'Biaya Bulanan'!$I$29,0,IF(Z$4&lt;=3,'Biaya Bulanan'!$V$29,IF(Z$4&lt;=12,'Biaya Bulanan'!$W$29,'Biaya Bulanan'!$X$29)))*'Biaya Bulanan'!$T$29</f>
        <v>34844901</v>
      </c>
      <c r="AA8" s="45" t="n">
        <f aca="false">IF(AA$4&lt;'Biaya Bulanan'!$I$29,0,IF(AA$4&lt;=3,'Biaya Bulanan'!$V$29,IF(AA$4&lt;=12,'Biaya Bulanan'!$W$29,'Biaya Bulanan'!$X$29)))*'Biaya Bulanan'!$T$29</f>
        <v>34844901</v>
      </c>
    </row>
    <row r="9" customFormat="false" ht="15" hidden="false" customHeight="false" outlineLevel="0" collapsed="false">
      <c r="A9" s="18" t="n">
        <v>5</v>
      </c>
      <c r="B9" s="43" t="str">
        <f aca="false">'Biaya Bulanan'!$B$30</f>
        <v>Teknologi</v>
      </c>
      <c r="C9" s="43" t="str">
        <f aca="false">'Biaya Bulanan'!$C$30</f>
        <v>Mobile Engineer (Senior)</v>
      </c>
      <c r="D9" s="45" t="n">
        <f aca="false">IF(D$4&lt;'Biaya Bulanan'!$I$30,0,IF(D$4&lt;=3,'Biaya Bulanan'!$V$30,IF(D$4&lt;=12,'Biaya Bulanan'!$W$30,'Biaya Bulanan'!$X$30)))*'Biaya Bulanan'!$T$30</f>
        <v>25533126</v>
      </c>
      <c r="E9" s="45" t="n">
        <f aca="false">IF(E$4&lt;'Biaya Bulanan'!$I$30,0,IF(E$4&lt;=3,'Biaya Bulanan'!$V$30,IF(E$4&lt;=12,'Biaya Bulanan'!$W$30,'Biaya Bulanan'!$X$30)))*'Biaya Bulanan'!$T$30</f>
        <v>25533126</v>
      </c>
      <c r="F9" s="45" t="n">
        <f aca="false">IF(F$4&lt;'Biaya Bulanan'!$I$30,0,IF(F$4&lt;=3,'Biaya Bulanan'!$V$30,IF(F$4&lt;=12,'Biaya Bulanan'!$W$30,'Biaya Bulanan'!$X$30)))*'Biaya Bulanan'!$T$30</f>
        <v>25533126</v>
      </c>
      <c r="G9" s="45" t="n">
        <f aca="false">IF(G$4&lt;'Biaya Bulanan'!$I$30,0,IF(G$4&lt;=3,'Biaya Bulanan'!$V$30,IF(G$4&lt;=12,'Biaya Bulanan'!$W$30,'Biaya Bulanan'!$X$30)))*'Biaya Bulanan'!$T$30</f>
        <v>25533126</v>
      </c>
      <c r="H9" s="45" t="n">
        <f aca="false">IF(H$4&lt;'Biaya Bulanan'!$I$30,0,IF(H$4&lt;=3,'Biaya Bulanan'!$V$30,IF(H$4&lt;=12,'Biaya Bulanan'!$W$30,'Biaya Bulanan'!$X$30)))*'Biaya Bulanan'!$T$30</f>
        <v>25533126</v>
      </c>
      <c r="I9" s="45" t="n">
        <f aca="false">IF(I$4&lt;'Biaya Bulanan'!$I$30,0,IF(I$4&lt;=3,'Biaya Bulanan'!$V$30,IF(I$4&lt;=12,'Biaya Bulanan'!$W$30,'Biaya Bulanan'!$X$30)))*'Biaya Bulanan'!$T$30</f>
        <v>25533126</v>
      </c>
      <c r="J9" s="45" t="n">
        <f aca="false">IF(J$4&lt;'Biaya Bulanan'!$I$30,0,IF(J$4&lt;=3,'Biaya Bulanan'!$V$30,IF(J$4&lt;=12,'Biaya Bulanan'!$W$30,'Biaya Bulanan'!$X$30)))*'Biaya Bulanan'!$T$30</f>
        <v>25533126</v>
      </c>
      <c r="K9" s="45" t="n">
        <f aca="false">IF(K$4&lt;'Biaya Bulanan'!$I$30,0,IF(K$4&lt;=3,'Biaya Bulanan'!$V$30,IF(K$4&lt;=12,'Biaya Bulanan'!$W$30,'Biaya Bulanan'!$X$30)))*'Biaya Bulanan'!$T$30</f>
        <v>25533126</v>
      </c>
      <c r="L9" s="45" t="n">
        <f aca="false">IF(L$4&lt;'Biaya Bulanan'!$I$30,0,IF(L$4&lt;=3,'Biaya Bulanan'!$V$30,IF(L$4&lt;=12,'Biaya Bulanan'!$W$30,'Biaya Bulanan'!$X$30)))*'Biaya Bulanan'!$T$30</f>
        <v>25533126</v>
      </c>
      <c r="M9" s="45" t="n">
        <f aca="false">IF(M$4&lt;'Biaya Bulanan'!$I$30,0,IF(M$4&lt;=3,'Biaya Bulanan'!$V$30,IF(M$4&lt;=12,'Biaya Bulanan'!$W$30,'Biaya Bulanan'!$X$30)))*'Biaya Bulanan'!$T$30</f>
        <v>25533126</v>
      </c>
      <c r="N9" s="45" t="n">
        <f aca="false">IF(N$4&lt;'Biaya Bulanan'!$I$30,0,IF(N$4&lt;=3,'Biaya Bulanan'!$V$30,IF(N$4&lt;=12,'Biaya Bulanan'!$W$30,'Biaya Bulanan'!$X$30)))*'Biaya Bulanan'!$T$30</f>
        <v>25533126</v>
      </c>
      <c r="O9" s="45" t="n">
        <f aca="false">IF(O$4&lt;'Biaya Bulanan'!$I$30,0,IF(O$4&lt;=3,'Biaya Bulanan'!$V$30,IF(O$4&lt;=12,'Biaya Bulanan'!$W$30,'Biaya Bulanan'!$X$30)))*'Biaya Bulanan'!$T$30</f>
        <v>25533126</v>
      </c>
      <c r="P9" s="45" t="n">
        <f aca="false">IF(P$4&lt;'Biaya Bulanan'!$I$30,0,IF(P$4&lt;=3,'Biaya Bulanan'!$V$30,IF(P$4&lt;=12,'Biaya Bulanan'!$W$30,'Biaya Bulanan'!$X$30)))*'Biaya Bulanan'!$T$30</f>
        <v>25533126</v>
      </c>
      <c r="Q9" s="45" t="n">
        <f aca="false">IF(Q$4&lt;'Biaya Bulanan'!$I$30,0,IF(Q$4&lt;=3,'Biaya Bulanan'!$V$30,IF(Q$4&lt;=12,'Biaya Bulanan'!$W$30,'Biaya Bulanan'!$X$30)))*'Biaya Bulanan'!$T$30</f>
        <v>25533126</v>
      </c>
      <c r="R9" s="45" t="n">
        <f aca="false">IF(R$4&lt;'Biaya Bulanan'!$I$30,0,IF(R$4&lt;=3,'Biaya Bulanan'!$V$30,IF(R$4&lt;=12,'Biaya Bulanan'!$W$30,'Biaya Bulanan'!$X$30)))*'Biaya Bulanan'!$T$30</f>
        <v>25533126</v>
      </c>
      <c r="S9" s="45" t="n">
        <f aca="false">IF(S$4&lt;'Biaya Bulanan'!$I$30,0,IF(S$4&lt;=3,'Biaya Bulanan'!$V$30,IF(S$4&lt;=12,'Biaya Bulanan'!$W$30,'Biaya Bulanan'!$X$30)))*'Biaya Bulanan'!$T$30</f>
        <v>25533126</v>
      </c>
      <c r="T9" s="45" t="n">
        <f aca="false">IF(T$4&lt;'Biaya Bulanan'!$I$30,0,IF(T$4&lt;=3,'Biaya Bulanan'!$V$30,IF(T$4&lt;=12,'Biaya Bulanan'!$W$30,'Biaya Bulanan'!$X$30)))*'Biaya Bulanan'!$T$30</f>
        <v>25533126</v>
      </c>
      <c r="U9" s="45" t="n">
        <f aca="false">IF(U$4&lt;'Biaya Bulanan'!$I$30,0,IF(U$4&lt;=3,'Biaya Bulanan'!$V$30,IF(U$4&lt;=12,'Biaya Bulanan'!$W$30,'Biaya Bulanan'!$X$30)))*'Biaya Bulanan'!$T$30</f>
        <v>25533126</v>
      </c>
      <c r="V9" s="45" t="n">
        <f aca="false">IF(V$4&lt;'Biaya Bulanan'!$I$30,0,IF(V$4&lt;=3,'Biaya Bulanan'!$V$30,IF(V$4&lt;=12,'Biaya Bulanan'!$W$30,'Biaya Bulanan'!$X$30)))*'Biaya Bulanan'!$T$30</f>
        <v>25533126</v>
      </c>
      <c r="W9" s="45" t="n">
        <f aca="false">IF(W$4&lt;'Biaya Bulanan'!$I$30,0,IF(W$4&lt;=3,'Biaya Bulanan'!$V$30,IF(W$4&lt;=12,'Biaya Bulanan'!$W$30,'Biaya Bulanan'!$X$30)))*'Biaya Bulanan'!$T$30</f>
        <v>25533126</v>
      </c>
      <c r="X9" s="45" t="n">
        <f aca="false">IF(X$4&lt;'Biaya Bulanan'!$I$30,0,IF(X$4&lt;=3,'Biaya Bulanan'!$V$30,IF(X$4&lt;=12,'Biaya Bulanan'!$W$30,'Biaya Bulanan'!$X$30)))*'Biaya Bulanan'!$T$30</f>
        <v>25533126</v>
      </c>
      <c r="Y9" s="45" t="n">
        <f aca="false">IF(Y$4&lt;'Biaya Bulanan'!$I$30,0,IF(Y$4&lt;=3,'Biaya Bulanan'!$V$30,IF(Y$4&lt;=12,'Biaya Bulanan'!$W$30,'Biaya Bulanan'!$X$30)))*'Biaya Bulanan'!$T$30</f>
        <v>25533126</v>
      </c>
      <c r="Z9" s="45" t="n">
        <f aca="false">IF(Z$4&lt;'Biaya Bulanan'!$I$30,0,IF(Z$4&lt;=3,'Biaya Bulanan'!$V$30,IF(Z$4&lt;=12,'Biaya Bulanan'!$W$30,'Biaya Bulanan'!$X$30)))*'Biaya Bulanan'!$T$30</f>
        <v>25533126</v>
      </c>
      <c r="AA9" s="45" t="n">
        <f aca="false">IF(AA$4&lt;'Biaya Bulanan'!$I$30,0,IF(AA$4&lt;=3,'Biaya Bulanan'!$V$30,IF(AA$4&lt;=12,'Biaya Bulanan'!$W$30,'Biaya Bulanan'!$X$30)))*'Biaya Bulanan'!$T$30</f>
        <v>25533126</v>
      </c>
    </row>
    <row r="10" customFormat="false" ht="15" hidden="false" customHeight="false" outlineLevel="0" collapsed="false">
      <c r="A10" s="18" t="n">
        <v>6</v>
      </c>
      <c r="B10" s="43" t="str">
        <f aca="false">'Biaya Bulanan'!$B$31</f>
        <v>Teknologi</v>
      </c>
      <c r="C10" s="43" t="str">
        <f aca="false">'Biaya Bulanan'!$C$31</f>
        <v>Mobile Engineer (Mid)</v>
      </c>
      <c r="D10" s="45" t="n">
        <f aca="false">IF(D$4&lt;'Biaya Bulanan'!$I$31,0,IF(D$4&lt;=3,'Biaya Bulanan'!$V$31,IF(D$4&lt;=12,'Biaya Bulanan'!$W$31,'Biaya Bulanan'!$X$31)))*'Biaya Bulanan'!$T$31</f>
        <v>0</v>
      </c>
      <c r="E10" s="45" t="n">
        <f aca="false">IF(E$4&lt;'Biaya Bulanan'!$I$31,0,IF(E$4&lt;=3,'Biaya Bulanan'!$V$31,IF(E$4&lt;=12,'Biaya Bulanan'!$W$31,'Biaya Bulanan'!$X$31)))*'Biaya Bulanan'!$T$31</f>
        <v>0</v>
      </c>
      <c r="F10" s="45" t="n">
        <f aca="false">IF(F$4&lt;'Biaya Bulanan'!$I$31,0,IF(F$4&lt;=3,'Biaya Bulanan'!$V$31,IF(F$4&lt;=12,'Biaya Bulanan'!$W$31,'Biaya Bulanan'!$X$31)))*'Biaya Bulanan'!$T$31</f>
        <v>0</v>
      </c>
      <c r="G10" s="45" t="n">
        <f aca="false">IF(G$4&lt;'Biaya Bulanan'!$I$31,0,IF(G$4&lt;=3,'Biaya Bulanan'!$V$31,IF(G$4&lt;=12,'Biaya Bulanan'!$W$31,'Biaya Bulanan'!$X$31)))*'Biaya Bulanan'!$T$31</f>
        <v>0</v>
      </c>
      <c r="H10" s="45" t="n">
        <f aca="false">IF(H$4&lt;'Biaya Bulanan'!$I$31,0,IF(H$4&lt;=3,'Biaya Bulanan'!$V$31,IF(H$4&lt;=12,'Biaya Bulanan'!$W$31,'Biaya Bulanan'!$X$31)))*'Biaya Bulanan'!$T$31</f>
        <v>15600566</v>
      </c>
      <c r="I10" s="45" t="n">
        <f aca="false">IF(I$4&lt;'Biaya Bulanan'!$I$31,0,IF(I$4&lt;=3,'Biaya Bulanan'!$V$31,IF(I$4&lt;=12,'Biaya Bulanan'!$W$31,'Biaya Bulanan'!$X$31)))*'Biaya Bulanan'!$T$31</f>
        <v>15600566</v>
      </c>
      <c r="J10" s="45" t="n">
        <f aca="false">IF(J$4&lt;'Biaya Bulanan'!$I$31,0,IF(J$4&lt;=3,'Biaya Bulanan'!$V$31,IF(J$4&lt;=12,'Biaya Bulanan'!$W$31,'Biaya Bulanan'!$X$31)))*'Biaya Bulanan'!$T$31</f>
        <v>15600566</v>
      </c>
      <c r="K10" s="45" t="n">
        <f aca="false">IF(K$4&lt;'Biaya Bulanan'!$I$31,0,IF(K$4&lt;=3,'Biaya Bulanan'!$V$31,IF(K$4&lt;=12,'Biaya Bulanan'!$W$31,'Biaya Bulanan'!$X$31)))*'Biaya Bulanan'!$T$31</f>
        <v>15600566</v>
      </c>
      <c r="L10" s="45" t="n">
        <f aca="false">IF(L$4&lt;'Biaya Bulanan'!$I$31,0,IF(L$4&lt;=3,'Biaya Bulanan'!$V$31,IF(L$4&lt;=12,'Biaya Bulanan'!$W$31,'Biaya Bulanan'!$X$31)))*'Biaya Bulanan'!$T$31</f>
        <v>15600566</v>
      </c>
      <c r="M10" s="45" t="n">
        <f aca="false">IF(M$4&lt;'Biaya Bulanan'!$I$31,0,IF(M$4&lt;=3,'Biaya Bulanan'!$V$31,IF(M$4&lt;=12,'Biaya Bulanan'!$W$31,'Biaya Bulanan'!$X$31)))*'Biaya Bulanan'!$T$31</f>
        <v>15600566</v>
      </c>
      <c r="N10" s="45" t="n">
        <f aca="false">IF(N$4&lt;'Biaya Bulanan'!$I$31,0,IF(N$4&lt;=3,'Biaya Bulanan'!$V$31,IF(N$4&lt;=12,'Biaya Bulanan'!$W$31,'Biaya Bulanan'!$X$31)))*'Biaya Bulanan'!$T$31</f>
        <v>15600566</v>
      </c>
      <c r="O10" s="45" t="n">
        <f aca="false">IF(O$4&lt;'Biaya Bulanan'!$I$31,0,IF(O$4&lt;=3,'Biaya Bulanan'!$V$31,IF(O$4&lt;=12,'Biaya Bulanan'!$W$31,'Biaya Bulanan'!$X$31)))*'Biaya Bulanan'!$T$31</f>
        <v>15600566</v>
      </c>
      <c r="P10" s="45" t="n">
        <f aca="false">IF(P$4&lt;'Biaya Bulanan'!$I$31,0,IF(P$4&lt;=3,'Biaya Bulanan'!$V$31,IF(P$4&lt;=12,'Biaya Bulanan'!$W$31,'Biaya Bulanan'!$X$31)))*'Biaya Bulanan'!$T$31</f>
        <v>15600566</v>
      </c>
      <c r="Q10" s="45" t="n">
        <f aca="false">IF(Q$4&lt;'Biaya Bulanan'!$I$31,0,IF(Q$4&lt;=3,'Biaya Bulanan'!$V$31,IF(Q$4&lt;=12,'Biaya Bulanan'!$W$31,'Biaya Bulanan'!$X$31)))*'Biaya Bulanan'!$T$31</f>
        <v>15600566</v>
      </c>
      <c r="R10" s="45" t="n">
        <f aca="false">IF(R$4&lt;'Biaya Bulanan'!$I$31,0,IF(R$4&lt;=3,'Biaya Bulanan'!$V$31,IF(R$4&lt;=12,'Biaya Bulanan'!$W$31,'Biaya Bulanan'!$X$31)))*'Biaya Bulanan'!$T$31</f>
        <v>15600566</v>
      </c>
      <c r="S10" s="45" t="n">
        <f aca="false">IF(S$4&lt;'Biaya Bulanan'!$I$31,0,IF(S$4&lt;=3,'Biaya Bulanan'!$V$31,IF(S$4&lt;=12,'Biaya Bulanan'!$W$31,'Biaya Bulanan'!$X$31)))*'Biaya Bulanan'!$T$31</f>
        <v>15600566</v>
      </c>
      <c r="T10" s="45" t="n">
        <f aca="false">IF(T$4&lt;'Biaya Bulanan'!$I$31,0,IF(T$4&lt;=3,'Biaya Bulanan'!$V$31,IF(T$4&lt;=12,'Biaya Bulanan'!$W$31,'Biaya Bulanan'!$X$31)))*'Biaya Bulanan'!$T$31</f>
        <v>15600566</v>
      </c>
      <c r="U10" s="45" t="n">
        <f aca="false">IF(U$4&lt;'Biaya Bulanan'!$I$31,0,IF(U$4&lt;=3,'Biaya Bulanan'!$V$31,IF(U$4&lt;=12,'Biaya Bulanan'!$W$31,'Biaya Bulanan'!$X$31)))*'Biaya Bulanan'!$T$31</f>
        <v>15600566</v>
      </c>
      <c r="V10" s="45" t="n">
        <f aca="false">IF(V$4&lt;'Biaya Bulanan'!$I$31,0,IF(V$4&lt;=3,'Biaya Bulanan'!$V$31,IF(V$4&lt;=12,'Biaya Bulanan'!$W$31,'Biaya Bulanan'!$X$31)))*'Biaya Bulanan'!$T$31</f>
        <v>15600566</v>
      </c>
      <c r="W10" s="45" t="n">
        <f aca="false">IF(W$4&lt;'Biaya Bulanan'!$I$31,0,IF(W$4&lt;=3,'Biaya Bulanan'!$V$31,IF(W$4&lt;=12,'Biaya Bulanan'!$W$31,'Biaya Bulanan'!$X$31)))*'Biaya Bulanan'!$T$31</f>
        <v>15600566</v>
      </c>
      <c r="X10" s="45" t="n">
        <f aca="false">IF(X$4&lt;'Biaya Bulanan'!$I$31,0,IF(X$4&lt;=3,'Biaya Bulanan'!$V$31,IF(X$4&lt;=12,'Biaya Bulanan'!$W$31,'Biaya Bulanan'!$X$31)))*'Biaya Bulanan'!$T$31</f>
        <v>15600566</v>
      </c>
      <c r="Y10" s="45" t="n">
        <f aca="false">IF(Y$4&lt;'Biaya Bulanan'!$I$31,0,IF(Y$4&lt;=3,'Biaya Bulanan'!$V$31,IF(Y$4&lt;=12,'Biaya Bulanan'!$W$31,'Biaya Bulanan'!$X$31)))*'Biaya Bulanan'!$T$31</f>
        <v>15600566</v>
      </c>
      <c r="Z10" s="45" t="n">
        <f aca="false">IF(Z$4&lt;'Biaya Bulanan'!$I$31,0,IF(Z$4&lt;=3,'Biaya Bulanan'!$V$31,IF(Z$4&lt;=12,'Biaya Bulanan'!$W$31,'Biaya Bulanan'!$X$31)))*'Biaya Bulanan'!$T$31</f>
        <v>15600566</v>
      </c>
      <c r="AA10" s="45" t="n">
        <f aca="false">IF(AA$4&lt;'Biaya Bulanan'!$I$31,0,IF(AA$4&lt;=3,'Biaya Bulanan'!$V$31,IF(AA$4&lt;=12,'Biaya Bulanan'!$W$31,'Biaya Bulanan'!$X$31)))*'Biaya Bulanan'!$T$31</f>
        <v>15600566</v>
      </c>
    </row>
    <row r="11" customFormat="false" ht="15" hidden="false" customHeight="false" outlineLevel="0" collapsed="false">
      <c r="A11" s="18" t="n">
        <v>7</v>
      </c>
      <c r="B11" s="43" t="str">
        <f aca="false">'Biaya Bulanan'!$B$32</f>
        <v>Teknologi</v>
      </c>
      <c r="C11" s="43" t="str">
        <f aca="false">'Biaya Bulanan'!$C$32</f>
        <v>Mobile Engineer (Mid) - gelombang 2</v>
      </c>
      <c r="D11" s="45" t="n">
        <f aca="false">IF(D$4&lt;'Biaya Bulanan'!$I$32,0,IF(D$4&lt;=3,'Biaya Bulanan'!$V$32,IF(D$4&lt;=12,'Biaya Bulanan'!$W$32,'Biaya Bulanan'!$X$32)))*'Biaya Bulanan'!$T$32</f>
        <v>0</v>
      </c>
      <c r="E11" s="45" t="n">
        <f aca="false">IF(E$4&lt;'Biaya Bulanan'!$I$32,0,IF(E$4&lt;=3,'Biaya Bulanan'!$V$32,IF(E$4&lt;=12,'Biaya Bulanan'!$W$32,'Biaya Bulanan'!$X$32)))*'Biaya Bulanan'!$T$32</f>
        <v>0</v>
      </c>
      <c r="F11" s="45" t="n">
        <f aca="false">IF(F$4&lt;'Biaya Bulanan'!$I$32,0,IF(F$4&lt;=3,'Biaya Bulanan'!$V$32,IF(F$4&lt;=12,'Biaya Bulanan'!$W$32,'Biaya Bulanan'!$X$32)))*'Biaya Bulanan'!$T$32</f>
        <v>0</v>
      </c>
      <c r="G11" s="45" t="n">
        <f aca="false">IF(G$4&lt;'Biaya Bulanan'!$I$32,0,IF(G$4&lt;=3,'Biaya Bulanan'!$V$32,IF(G$4&lt;=12,'Biaya Bulanan'!$W$32,'Biaya Bulanan'!$X$32)))*'Biaya Bulanan'!$T$32</f>
        <v>0</v>
      </c>
      <c r="H11" s="45" t="n">
        <f aca="false">IF(H$4&lt;'Biaya Bulanan'!$I$32,0,IF(H$4&lt;=3,'Biaya Bulanan'!$V$32,IF(H$4&lt;=12,'Biaya Bulanan'!$W$32,'Biaya Bulanan'!$X$32)))*'Biaya Bulanan'!$T$32</f>
        <v>0</v>
      </c>
      <c r="I11" s="45" t="n">
        <f aca="false">IF(I$4&lt;'Biaya Bulanan'!$I$32,0,IF(I$4&lt;=3,'Biaya Bulanan'!$V$32,IF(I$4&lt;=12,'Biaya Bulanan'!$W$32,'Biaya Bulanan'!$X$32)))*'Biaya Bulanan'!$T$32</f>
        <v>0</v>
      </c>
      <c r="J11" s="45" t="n">
        <f aca="false">IF(J$4&lt;'Biaya Bulanan'!$I$32,0,IF(J$4&lt;=3,'Biaya Bulanan'!$V$32,IF(J$4&lt;=12,'Biaya Bulanan'!$W$32,'Biaya Bulanan'!$X$32)))*'Biaya Bulanan'!$T$32</f>
        <v>0</v>
      </c>
      <c r="K11" s="45" t="n">
        <f aca="false">IF(K$4&lt;'Biaya Bulanan'!$I$32,0,IF(K$4&lt;=3,'Biaya Bulanan'!$V$32,IF(K$4&lt;=12,'Biaya Bulanan'!$W$32,'Biaya Bulanan'!$X$32)))*'Biaya Bulanan'!$T$32</f>
        <v>0</v>
      </c>
      <c r="L11" s="45" t="n">
        <f aca="false">IF(L$4&lt;'Biaya Bulanan'!$I$32,0,IF(L$4&lt;=3,'Biaya Bulanan'!$V$32,IF(L$4&lt;=12,'Biaya Bulanan'!$W$32,'Biaya Bulanan'!$X$32)))*'Biaya Bulanan'!$T$32</f>
        <v>0</v>
      </c>
      <c r="M11" s="45" t="n">
        <f aca="false">IF(M$4&lt;'Biaya Bulanan'!$I$32,0,IF(M$4&lt;=3,'Biaya Bulanan'!$V$32,IF(M$4&lt;=12,'Biaya Bulanan'!$W$32,'Biaya Bulanan'!$X$32)))*'Biaya Bulanan'!$T$32</f>
        <v>0</v>
      </c>
      <c r="N11" s="45" t="n">
        <f aca="false">IF(N$4&lt;'Biaya Bulanan'!$I$32,0,IF(N$4&lt;=3,'Biaya Bulanan'!$V$32,IF(N$4&lt;=12,'Biaya Bulanan'!$W$32,'Biaya Bulanan'!$X$32)))*'Biaya Bulanan'!$T$32</f>
        <v>0</v>
      </c>
      <c r="O11" s="45" t="n">
        <f aca="false">IF(O$4&lt;'Biaya Bulanan'!$I$32,0,IF(O$4&lt;=3,'Biaya Bulanan'!$V$32,IF(O$4&lt;=12,'Biaya Bulanan'!$W$32,'Biaya Bulanan'!$X$32)))*'Biaya Bulanan'!$T$32</f>
        <v>0</v>
      </c>
      <c r="P11" s="45" t="n">
        <f aca="false">IF(P$4&lt;'Biaya Bulanan'!$I$32,0,IF(P$4&lt;=3,'Biaya Bulanan'!$V$32,IF(P$4&lt;=12,'Biaya Bulanan'!$W$32,'Biaya Bulanan'!$X$32)))*'Biaya Bulanan'!$T$32</f>
        <v>0</v>
      </c>
      <c r="Q11" s="45" t="n">
        <f aca="false">IF(Q$4&lt;'Biaya Bulanan'!$I$32,0,IF(Q$4&lt;=3,'Biaya Bulanan'!$V$32,IF(Q$4&lt;=12,'Biaya Bulanan'!$W$32,'Biaya Bulanan'!$X$32)))*'Biaya Bulanan'!$T$32</f>
        <v>15600566</v>
      </c>
      <c r="R11" s="45" t="n">
        <f aca="false">IF(R$4&lt;'Biaya Bulanan'!$I$32,0,IF(R$4&lt;=3,'Biaya Bulanan'!$V$32,IF(R$4&lt;=12,'Biaya Bulanan'!$W$32,'Biaya Bulanan'!$X$32)))*'Biaya Bulanan'!$T$32</f>
        <v>15600566</v>
      </c>
      <c r="S11" s="45" t="n">
        <f aca="false">IF(S$4&lt;'Biaya Bulanan'!$I$32,0,IF(S$4&lt;=3,'Biaya Bulanan'!$V$32,IF(S$4&lt;=12,'Biaya Bulanan'!$W$32,'Biaya Bulanan'!$X$32)))*'Biaya Bulanan'!$T$32</f>
        <v>15600566</v>
      </c>
      <c r="T11" s="45" t="n">
        <f aca="false">IF(T$4&lt;'Biaya Bulanan'!$I$32,0,IF(T$4&lt;=3,'Biaya Bulanan'!$V$32,IF(T$4&lt;=12,'Biaya Bulanan'!$W$32,'Biaya Bulanan'!$X$32)))*'Biaya Bulanan'!$T$32</f>
        <v>15600566</v>
      </c>
      <c r="U11" s="45" t="n">
        <f aca="false">IF(U$4&lt;'Biaya Bulanan'!$I$32,0,IF(U$4&lt;=3,'Biaya Bulanan'!$V$32,IF(U$4&lt;=12,'Biaya Bulanan'!$W$32,'Biaya Bulanan'!$X$32)))*'Biaya Bulanan'!$T$32</f>
        <v>15600566</v>
      </c>
      <c r="V11" s="45" t="n">
        <f aca="false">IF(V$4&lt;'Biaya Bulanan'!$I$32,0,IF(V$4&lt;=3,'Biaya Bulanan'!$V$32,IF(V$4&lt;=12,'Biaya Bulanan'!$W$32,'Biaya Bulanan'!$X$32)))*'Biaya Bulanan'!$T$32</f>
        <v>15600566</v>
      </c>
      <c r="W11" s="45" t="n">
        <f aca="false">IF(W$4&lt;'Biaya Bulanan'!$I$32,0,IF(W$4&lt;=3,'Biaya Bulanan'!$V$32,IF(W$4&lt;=12,'Biaya Bulanan'!$W$32,'Biaya Bulanan'!$X$32)))*'Biaya Bulanan'!$T$32</f>
        <v>15600566</v>
      </c>
      <c r="X11" s="45" t="n">
        <f aca="false">IF(X$4&lt;'Biaya Bulanan'!$I$32,0,IF(X$4&lt;=3,'Biaya Bulanan'!$V$32,IF(X$4&lt;=12,'Biaya Bulanan'!$W$32,'Biaya Bulanan'!$X$32)))*'Biaya Bulanan'!$T$32</f>
        <v>15600566</v>
      </c>
      <c r="Y11" s="45" t="n">
        <f aca="false">IF(Y$4&lt;'Biaya Bulanan'!$I$32,0,IF(Y$4&lt;=3,'Biaya Bulanan'!$V$32,IF(Y$4&lt;=12,'Biaya Bulanan'!$W$32,'Biaya Bulanan'!$X$32)))*'Biaya Bulanan'!$T$32</f>
        <v>15600566</v>
      </c>
      <c r="Z11" s="45" t="n">
        <f aca="false">IF(Z$4&lt;'Biaya Bulanan'!$I$32,0,IF(Z$4&lt;=3,'Biaya Bulanan'!$V$32,IF(Z$4&lt;=12,'Biaya Bulanan'!$W$32,'Biaya Bulanan'!$X$32)))*'Biaya Bulanan'!$T$32</f>
        <v>15600566</v>
      </c>
      <c r="AA11" s="45" t="n">
        <f aca="false">IF(AA$4&lt;'Biaya Bulanan'!$I$32,0,IF(AA$4&lt;=3,'Biaya Bulanan'!$V$32,IF(AA$4&lt;=12,'Biaya Bulanan'!$W$32,'Biaya Bulanan'!$X$32)))*'Biaya Bulanan'!$T$32</f>
        <v>15600566</v>
      </c>
    </row>
    <row r="12" customFormat="false" ht="15" hidden="false" customHeight="false" outlineLevel="0" collapsed="false">
      <c r="A12" s="18" t="n">
        <v>8</v>
      </c>
      <c r="B12" s="43" t="str">
        <f aca="false">'Biaya Bulanan'!$B$33</f>
        <v>Teknologi</v>
      </c>
      <c r="C12" s="43" t="str">
        <f aca="false">'Biaya Bulanan'!$C$33</f>
        <v>Backend Engineer (Senior)</v>
      </c>
      <c r="D12" s="45" t="n">
        <f aca="false">IF(D$4&lt;'Biaya Bulanan'!$I$33,0,IF(D$4&lt;=3,'Biaya Bulanan'!$V$33,IF(D$4&lt;=12,'Biaya Bulanan'!$W$33,'Biaya Bulanan'!$X$33)))*'Biaya Bulanan'!$T$33</f>
        <v>25533126</v>
      </c>
      <c r="E12" s="45" t="n">
        <f aca="false">IF(E$4&lt;'Biaya Bulanan'!$I$33,0,IF(E$4&lt;=3,'Biaya Bulanan'!$V$33,IF(E$4&lt;=12,'Biaya Bulanan'!$W$33,'Biaya Bulanan'!$X$33)))*'Biaya Bulanan'!$T$33</f>
        <v>25533126</v>
      </c>
      <c r="F12" s="45" t="n">
        <f aca="false">IF(F$4&lt;'Biaya Bulanan'!$I$33,0,IF(F$4&lt;=3,'Biaya Bulanan'!$V$33,IF(F$4&lt;=12,'Biaya Bulanan'!$W$33,'Biaya Bulanan'!$X$33)))*'Biaya Bulanan'!$T$33</f>
        <v>25533126</v>
      </c>
      <c r="G12" s="45" t="n">
        <f aca="false">IF(G$4&lt;'Biaya Bulanan'!$I$33,0,IF(G$4&lt;=3,'Biaya Bulanan'!$V$33,IF(G$4&lt;=12,'Biaya Bulanan'!$W$33,'Biaya Bulanan'!$X$33)))*'Biaya Bulanan'!$T$33</f>
        <v>25533126</v>
      </c>
      <c r="H12" s="45" t="n">
        <f aca="false">IF(H$4&lt;'Biaya Bulanan'!$I$33,0,IF(H$4&lt;=3,'Biaya Bulanan'!$V$33,IF(H$4&lt;=12,'Biaya Bulanan'!$W$33,'Biaya Bulanan'!$X$33)))*'Biaya Bulanan'!$T$33</f>
        <v>25533126</v>
      </c>
      <c r="I12" s="45" t="n">
        <f aca="false">IF(I$4&lt;'Biaya Bulanan'!$I$33,0,IF(I$4&lt;=3,'Biaya Bulanan'!$V$33,IF(I$4&lt;=12,'Biaya Bulanan'!$W$33,'Biaya Bulanan'!$X$33)))*'Biaya Bulanan'!$T$33</f>
        <v>25533126</v>
      </c>
      <c r="J12" s="45" t="n">
        <f aca="false">IF(J$4&lt;'Biaya Bulanan'!$I$33,0,IF(J$4&lt;=3,'Biaya Bulanan'!$V$33,IF(J$4&lt;=12,'Biaya Bulanan'!$W$33,'Biaya Bulanan'!$X$33)))*'Biaya Bulanan'!$T$33</f>
        <v>25533126</v>
      </c>
      <c r="K12" s="45" t="n">
        <f aca="false">IF(K$4&lt;'Biaya Bulanan'!$I$33,0,IF(K$4&lt;=3,'Biaya Bulanan'!$V$33,IF(K$4&lt;=12,'Biaya Bulanan'!$W$33,'Biaya Bulanan'!$X$33)))*'Biaya Bulanan'!$T$33</f>
        <v>25533126</v>
      </c>
      <c r="L12" s="45" t="n">
        <f aca="false">IF(L$4&lt;'Biaya Bulanan'!$I$33,0,IF(L$4&lt;=3,'Biaya Bulanan'!$V$33,IF(L$4&lt;=12,'Biaya Bulanan'!$W$33,'Biaya Bulanan'!$X$33)))*'Biaya Bulanan'!$T$33</f>
        <v>25533126</v>
      </c>
      <c r="M12" s="45" t="n">
        <f aca="false">IF(M$4&lt;'Biaya Bulanan'!$I$33,0,IF(M$4&lt;=3,'Biaya Bulanan'!$V$33,IF(M$4&lt;=12,'Biaya Bulanan'!$W$33,'Biaya Bulanan'!$X$33)))*'Biaya Bulanan'!$T$33</f>
        <v>25533126</v>
      </c>
      <c r="N12" s="45" t="n">
        <f aca="false">IF(N$4&lt;'Biaya Bulanan'!$I$33,0,IF(N$4&lt;=3,'Biaya Bulanan'!$V$33,IF(N$4&lt;=12,'Biaya Bulanan'!$W$33,'Biaya Bulanan'!$X$33)))*'Biaya Bulanan'!$T$33</f>
        <v>25533126</v>
      </c>
      <c r="O12" s="45" t="n">
        <f aca="false">IF(O$4&lt;'Biaya Bulanan'!$I$33,0,IF(O$4&lt;=3,'Biaya Bulanan'!$V$33,IF(O$4&lt;=12,'Biaya Bulanan'!$W$33,'Biaya Bulanan'!$X$33)))*'Biaya Bulanan'!$T$33</f>
        <v>25533126</v>
      </c>
      <c r="P12" s="45" t="n">
        <f aca="false">IF(P$4&lt;'Biaya Bulanan'!$I$33,0,IF(P$4&lt;=3,'Biaya Bulanan'!$V$33,IF(P$4&lt;=12,'Biaya Bulanan'!$W$33,'Biaya Bulanan'!$X$33)))*'Biaya Bulanan'!$T$33</f>
        <v>25533126</v>
      </c>
      <c r="Q12" s="45" t="n">
        <f aca="false">IF(Q$4&lt;'Biaya Bulanan'!$I$33,0,IF(Q$4&lt;=3,'Biaya Bulanan'!$V$33,IF(Q$4&lt;=12,'Biaya Bulanan'!$W$33,'Biaya Bulanan'!$X$33)))*'Biaya Bulanan'!$T$33</f>
        <v>25533126</v>
      </c>
      <c r="R12" s="45" t="n">
        <f aca="false">IF(R$4&lt;'Biaya Bulanan'!$I$33,0,IF(R$4&lt;=3,'Biaya Bulanan'!$V$33,IF(R$4&lt;=12,'Biaya Bulanan'!$W$33,'Biaya Bulanan'!$X$33)))*'Biaya Bulanan'!$T$33</f>
        <v>25533126</v>
      </c>
      <c r="S12" s="45" t="n">
        <f aca="false">IF(S$4&lt;'Biaya Bulanan'!$I$33,0,IF(S$4&lt;=3,'Biaya Bulanan'!$V$33,IF(S$4&lt;=12,'Biaya Bulanan'!$W$33,'Biaya Bulanan'!$X$33)))*'Biaya Bulanan'!$T$33</f>
        <v>25533126</v>
      </c>
      <c r="T12" s="45" t="n">
        <f aca="false">IF(T$4&lt;'Biaya Bulanan'!$I$33,0,IF(T$4&lt;=3,'Biaya Bulanan'!$V$33,IF(T$4&lt;=12,'Biaya Bulanan'!$W$33,'Biaya Bulanan'!$X$33)))*'Biaya Bulanan'!$T$33</f>
        <v>25533126</v>
      </c>
      <c r="U12" s="45" t="n">
        <f aca="false">IF(U$4&lt;'Biaya Bulanan'!$I$33,0,IF(U$4&lt;=3,'Biaya Bulanan'!$V$33,IF(U$4&lt;=12,'Biaya Bulanan'!$W$33,'Biaya Bulanan'!$X$33)))*'Biaya Bulanan'!$T$33</f>
        <v>25533126</v>
      </c>
      <c r="V12" s="45" t="n">
        <f aca="false">IF(V$4&lt;'Biaya Bulanan'!$I$33,0,IF(V$4&lt;=3,'Biaya Bulanan'!$V$33,IF(V$4&lt;=12,'Biaya Bulanan'!$W$33,'Biaya Bulanan'!$X$33)))*'Biaya Bulanan'!$T$33</f>
        <v>25533126</v>
      </c>
      <c r="W12" s="45" t="n">
        <f aca="false">IF(W$4&lt;'Biaya Bulanan'!$I$33,0,IF(W$4&lt;=3,'Biaya Bulanan'!$V$33,IF(W$4&lt;=12,'Biaya Bulanan'!$W$33,'Biaya Bulanan'!$X$33)))*'Biaya Bulanan'!$T$33</f>
        <v>25533126</v>
      </c>
      <c r="X12" s="45" t="n">
        <f aca="false">IF(X$4&lt;'Biaya Bulanan'!$I$33,0,IF(X$4&lt;=3,'Biaya Bulanan'!$V$33,IF(X$4&lt;=12,'Biaya Bulanan'!$W$33,'Biaya Bulanan'!$X$33)))*'Biaya Bulanan'!$T$33</f>
        <v>25533126</v>
      </c>
      <c r="Y12" s="45" t="n">
        <f aca="false">IF(Y$4&lt;'Biaya Bulanan'!$I$33,0,IF(Y$4&lt;=3,'Biaya Bulanan'!$V$33,IF(Y$4&lt;=12,'Biaya Bulanan'!$W$33,'Biaya Bulanan'!$X$33)))*'Biaya Bulanan'!$T$33</f>
        <v>25533126</v>
      </c>
      <c r="Z12" s="45" t="n">
        <f aca="false">IF(Z$4&lt;'Biaya Bulanan'!$I$33,0,IF(Z$4&lt;=3,'Biaya Bulanan'!$V$33,IF(Z$4&lt;=12,'Biaya Bulanan'!$W$33,'Biaya Bulanan'!$X$33)))*'Biaya Bulanan'!$T$33</f>
        <v>25533126</v>
      </c>
      <c r="AA12" s="45" t="n">
        <f aca="false">IF(AA$4&lt;'Biaya Bulanan'!$I$33,0,IF(AA$4&lt;=3,'Biaya Bulanan'!$V$33,IF(AA$4&lt;=12,'Biaya Bulanan'!$W$33,'Biaya Bulanan'!$X$33)))*'Biaya Bulanan'!$T$33</f>
        <v>25533126</v>
      </c>
    </row>
    <row r="13" customFormat="false" ht="15" hidden="false" customHeight="false" outlineLevel="0" collapsed="false">
      <c r="A13" s="18" t="n">
        <v>9</v>
      </c>
      <c r="B13" s="43" t="str">
        <f aca="false">'Biaya Bulanan'!$B$34</f>
        <v>Teknologi</v>
      </c>
      <c r="C13" s="43" t="str">
        <f aca="false">'Biaya Bulanan'!$C$34</f>
        <v>Backend Engineer (Senior) - gelombang 2</v>
      </c>
      <c r="D13" s="45" t="n">
        <f aca="false">IF(D$4&lt;'Biaya Bulanan'!$I$34,0,IF(D$4&lt;=3,'Biaya Bulanan'!$V$34,IF(D$4&lt;=12,'Biaya Bulanan'!$W$34,'Biaya Bulanan'!$X$34)))*'Biaya Bulanan'!$T$34</f>
        <v>0</v>
      </c>
      <c r="E13" s="45" t="n">
        <f aca="false">IF(E$4&lt;'Biaya Bulanan'!$I$34,0,IF(E$4&lt;=3,'Biaya Bulanan'!$V$34,IF(E$4&lt;=12,'Biaya Bulanan'!$W$34,'Biaya Bulanan'!$X$34)))*'Biaya Bulanan'!$T$34</f>
        <v>0</v>
      </c>
      <c r="F13" s="45" t="n">
        <f aca="false">IF(F$4&lt;'Biaya Bulanan'!$I$34,0,IF(F$4&lt;=3,'Biaya Bulanan'!$V$34,IF(F$4&lt;=12,'Biaya Bulanan'!$W$34,'Biaya Bulanan'!$X$34)))*'Biaya Bulanan'!$T$34</f>
        <v>0</v>
      </c>
      <c r="G13" s="45" t="n">
        <f aca="false">IF(G$4&lt;'Biaya Bulanan'!$I$34,0,IF(G$4&lt;=3,'Biaya Bulanan'!$V$34,IF(G$4&lt;=12,'Biaya Bulanan'!$W$34,'Biaya Bulanan'!$X$34)))*'Biaya Bulanan'!$T$34</f>
        <v>0</v>
      </c>
      <c r="H13" s="45" t="n">
        <f aca="false">IF(H$4&lt;'Biaya Bulanan'!$I$34,0,IF(H$4&lt;=3,'Biaya Bulanan'!$V$34,IF(H$4&lt;=12,'Biaya Bulanan'!$W$34,'Biaya Bulanan'!$X$34)))*'Biaya Bulanan'!$T$34</f>
        <v>0</v>
      </c>
      <c r="I13" s="45" t="n">
        <f aca="false">IF(I$4&lt;'Biaya Bulanan'!$I$34,0,IF(I$4&lt;=3,'Biaya Bulanan'!$V$34,IF(I$4&lt;=12,'Biaya Bulanan'!$W$34,'Biaya Bulanan'!$X$34)))*'Biaya Bulanan'!$T$34</f>
        <v>0</v>
      </c>
      <c r="J13" s="45" t="n">
        <f aca="false">IF(J$4&lt;'Biaya Bulanan'!$I$34,0,IF(J$4&lt;=3,'Biaya Bulanan'!$V$34,IF(J$4&lt;=12,'Biaya Bulanan'!$W$34,'Biaya Bulanan'!$X$34)))*'Biaya Bulanan'!$T$34</f>
        <v>0</v>
      </c>
      <c r="K13" s="45" t="n">
        <f aca="false">IF(K$4&lt;'Biaya Bulanan'!$I$34,0,IF(K$4&lt;=3,'Biaya Bulanan'!$V$34,IF(K$4&lt;=12,'Biaya Bulanan'!$W$34,'Biaya Bulanan'!$X$34)))*'Biaya Bulanan'!$T$34</f>
        <v>0</v>
      </c>
      <c r="L13" s="45" t="n">
        <f aca="false">IF(L$4&lt;'Biaya Bulanan'!$I$34,0,IF(L$4&lt;=3,'Biaya Bulanan'!$V$34,IF(L$4&lt;=12,'Biaya Bulanan'!$W$34,'Biaya Bulanan'!$X$34)))*'Biaya Bulanan'!$T$34</f>
        <v>0</v>
      </c>
      <c r="M13" s="45" t="n">
        <f aca="false">IF(M$4&lt;'Biaya Bulanan'!$I$34,0,IF(M$4&lt;=3,'Biaya Bulanan'!$V$34,IF(M$4&lt;=12,'Biaya Bulanan'!$W$34,'Biaya Bulanan'!$X$34)))*'Biaya Bulanan'!$T$34</f>
        <v>0</v>
      </c>
      <c r="N13" s="45" t="n">
        <f aca="false">IF(N$4&lt;'Biaya Bulanan'!$I$34,0,IF(N$4&lt;=3,'Biaya Bulanan'!$V$34,IF(N$4&lt;=12,'Biaya Bulanan'!$W$34,'Biaya Bulanan'!$X$34)))*'Biaya Bulanan'!$T$34</f>
        <v>0</v>
      </c>
      <c r="O13" s="45" t="n">
        <f aca="false">IF(O$4&lt;'Biaya Bulanan'!$I$34,0,IF(O$4&lt;=3,'Biaya Bulanan'!$V$34,IF(O$4&lt;=12,'Biaya Bulanan'!$W$34,'Biaya Bulanan'!$X$34)))*'Biaya Bulanan'!$T$34</f>
        <v>0</v>
      </c>
      <c r="P13" s="45" t="n">
        <f aca="false">IF(P$4&lt;'Biaya Bulanan'!$I$34,0,IF(P$4&lt;=3,'Biaya Bulanan'!$V$34,IF(P$4&lt;=12,'Biaya Bulanan'!$W$34,'Biaya Bulanan'!$X$34)))*'Biaya Bulanan'!$T$34</f>
        <v>0</v>
      </c>
      <c r="Q13" s="45" t="n">
        <f aca="false">IF(Q$4&lt;'Biaya Bulanan'!$I$34,0,IF(Q$4&lt;=3,'Biaya Bulanan'!$V$34,IF(Q$4&lt;=12,'Biaya Bulanan'!$W$34,'Biaya Bulanan'!$X$34)))*'Biaya Bulanan'!$T$34</f>
        <v>0</v>
      </c>
      <c r="R13" s="45" t="n">
        <f aca="false">IF(R$4&lt;'Biaya Bulanan'!$I$34,0,IF(R$4&lt;=3,'Biaya Bulanan'!$V$34,IF(R$4&lt;=12,'Biaya Bulanan'!$W$34,'Biaya Bulanan'!$X$34)))*'Biaya Bulanan'!$T$34</f>
        <v>0</v>
      </c>
      <c r="S13" s="45" t="n">
        <f aca="false">IF(S$4&lt;'Biaya Bulanan'!$I$34,0,IF(S$4&lt;=3,'Biaya Bulanan'!$V$34,IF(S$4&lt;=12,'Biaya Bulanan'!$W$34,'Biaya Bulanan'!$X$34)))*'Biaya Bulanan'!$T$34</f>
        <v>0</v>
      </c>
      <c r="T13" s="45" t="n">
        <f aca="false">IF(T$4&lt;'Biaya Bulanan'!$I$34,0,IF(T$4&lt;=3,'Biaya Bulanan'!$V$34,IF(T$4&lt;=12,'Biaya Bulanan'!$W$34,'Biaya Bulanan'!$X$34)))*'Biaya Bulanan'!$T$34</f>
        <v>0</v>
      </c>
      <c r="U13" s="45" t="n">
        <f aca="false">IF(U$4&lt;'Biaya Bulanan'!$I$34,0,IF(U$4&lt;=3,'Biaya Bulanan'!$V$34,IF(U$4&lt;=12,'Biaya Bulanan'!$W$34,'Biaya Bulanan'!$X$34)))*'Biaya Bulanan'!$T$34</f>
        <v>0</v>
      </c>
      <c r="V13" s="45" t="n">
        <f aca="false">IF(V$4&lt;'Biaya Bulanan'!$I$34,0,IF(V$4&lt;=3,'Biaya Bulanan'!$V$34,IF(V$4&lt;=12,'Biaya Bulanan'!$W$34,'Biaya Bulanan'!$X$34)))*'Biaya Bulanan'!$T$34</f>
        <v>25533126</v>
      </c>
      <c r="W13" s="45" t="n">
        <f aca="false">IF(W$4&lt;'Biaya Bulanan'!$I$34,0,IF(W$4&lt;=3,'Biaya Bulanan'!$V$34,IF(W$4&lt;=12,'Biaya Bulanan'!$W$34,'Biaya Bulanan'!$X$34)))*'Biaya Bulanan'!$T$34</f>
        <v>25533126</v>
      </c>
      <c r="X13" s="45" t="n">
        <f aca="false">IF(X$4&lt;'Biaya Bulanan'!$I$34,0,IF(X$4&lt;=3,'Biaya Bulanan'!$V$34,IF(X$4&lt;=12,'Biaya Bulanan'!$W$34,'Biaya Bulanan'!$X$34)))*'Biaya Bulanan'!$T$34</f>
        <v>25533126</v>
      </c>
      <c r="Y13" s="45" t="n">
        <f aca="false">IF(Y$4&lt;'Biaya Bulanan'!$I$34,0,IF(Y$4&lt;=3,'Biaya Bulanan'!$V$34,IF(Y$4&lt;=12,'Biaya Bulanan'!$W$34,'Biaya Bulanan'!$X$34)))*'Biaya Bulanan'!$T$34</f>
        <v>25533126</v>
      </c>
      <c r="Z13" s="45" t="n">
        <f aca="false">IF(Z$4&lt;'Biaya Bulanan'!$I$34,0,IF(Z$4&lt;=3,'Biaya Bulanan'!$V$34,IF(Z$4&lt;=12,'Biaya Bulanan'!$W$34,'Biaya Bulanan'!$X$34)))*'Biaya Bulanan'!$T$34</f>
        <v>25533126</v>
      </c>
      <c r="AA13" s="45" t="n">
        <f aca="false">IF(AA$4&lt;'Biaya Bulanan'!$I$34,0,IF(AA$4&lt;=3,'Biaya Bulanan'!$V$34,IF(AA$4&lt;=12,'Biaya Bulanan'!$W$34,'Biaya Bulanan'!$X$34)))*'Biaya Bulanan'!$T$34</f>
        <v>25533126</v>
      </c>
    </row>
    <row r="14" customFormat="false" ht="15" hidden="false" customHeight="false" outlineLevel="0" collapsed="false">
      <c r="A14" s="18" t="n">
        <v>10</v>
      </c>
      <c r="B14" s="43" t="str">
        <f aca="false">'Biaya Bulanan'!$B$35</f>
        <v>Teknologi</v>
      </c>
      <c r="C14" s="43" t="str">
        <f aca="false">'Biaya Bulanan'!$C$35</f>
        <v>Backend Engineer (Mid)</v>
      </c>
      <c r="D14" s="45" t="n">
        <f aca="false">IF(D$4&lt;'Biaya Bulanan'!$I$35,0,IF(D$4&lt;=3,'Biaya Bulanan'!$V$35,IF(D$4&lt;=12,'Biaya Bulanan'!$W$35,'Biaya Bulanan'!$X$35)))*'Biaya Bulanan'!$T$35</f>
        <v>0</v>
      </c>
      <c r="E14" s="45" t="n">
        <f aca="false">IF(E$4&lt;'Biaya Bulanan'!$I$35,0,IF(E$4&lt;=3,'Biaya Bulanan'!$V$35,IF(E$4&lt;=12,'Biaya Bulanan'!$W$35,'Biaya Bulanan'!$X$35)))*'Biaya Bulanan'!$T$35</f>
        <v>0</v>
      </c>
      <c r="F14" s="45" t="n">
        <f aca="false">IF(F$4&lt;'Biaya Bulanan'!$I$35,0,IF(F$4&lt;=3,'Biaya Bulanan'!$V$35,IF(F$4&lt;=12,'Biaya Bulanan'!$W$35,'Biaya Bulanan'!$X$35)))*'Biaya Bulanan'!$T$35</f>
        <v>0</v>
      </c>
      <c r="G14" s="45" t="n">
        <f aca="false">IF(G$4&lt;'Biaya Bulanan'!$I$35,0,IF(G$4&lt;=3,'Biaya Bulanan'!$V$35,IF(G$4&lt;=12,'Biaya Bulanan'!$W$35,'Biaya Bulanan'!$X$35)))*'Biaya Bulanan'!$T$35</f>
        <v>15600566</v>
      </c>
      <c r="H14" s="45" t="n">
        <f aca="false">IF(H$4&lt;'Biaya Bulanan'!$I$35,0,IF(H$4&lt;=3,'Biaya Bulanan'!$V$35,IF(H$4&lt;=12,'Biaya Bulanan'!$W$35,'Biaya Bulanan'!$X$35)))*'Biaya Bulanan'!$T$35</f>
        <v>15600566</v>
      </c>
      <c r="I14" s="45" t="n">
        <f aca="false">IF(I$4&lt;'Biaya Bulanan'!$I$35,0,IF(I$4&lt;=3,'Biaya Bulanan'!$V$35,IF(I$4&lt;=12,'Biaya Bulanan'!$W$35,'Biaya Bulanan'!$X$35)))*'Biaya Bulanan'!$T$35</f>
        <v>15600566</v>
      </c>
      <c r="J14" s="45" t="n">
        <f aca="false">IF(J$4&lt;'Biaya Bulanan'!$I$35,0,IF(J$4&lt;=3,'Biaya Bulanan'!$V$35,IF(J$4&lt;=12,'Biaya Bulanan'!$W$35,'Biaya Bulanan'!$X$35)))*'Biaya Bulanan'!$T$35</f>
        <v>15600566</v>
      </c>
      <c r="K14" s="45" t="n">
        <f aca="false">IF(K$4&lt;'Biaya Bulanan'!$I$35,0,IF(K$4&lt;=3,'Biaya Bulanan'!$V$35,IF(K$4&lt;=12,'Biaya Bulanan'!$W$35,'Biaya Bulanan'!$X$35)))*'Biaya Bulanan'!$T$35</f>
        <v>15600566</v>
      </c>
      <c r="L14" s="45" t="n">
        <f aca="false">IF(L$4&lt;'Biaya Bulanan'!$I$35,0,IF(L$4&lt;=3,'Biaya Bulanan'!$V$35,IF(L$4&lt;=12,'Biaya Bulanan'!$W$35,'Biaya Bulanan'!$X$35)))*'Biaya Bulanan'!$T$35</f>
        <v>15600566</v>
      </c>
      <c r="M14" s="45" t="n">
        <f aca="false">IF(M$4&lt;'Biaya Bulanan'!$I$35,0,IF(M$4&lt;=3,'Biaya Bulanan'!$V$35,IF(M$4&lt;=12,'Biaya Bulanan'!$W$35,'Biaya Bulanan'!$X$35)))*'Biaya Bulanan'!$T$35</f>
        <v>15600566</v>
      </c>
      <c r="N14" s="45" t="n">
        <f aca="false">IF(N$4&lt;'Biaya Bulanan'!$I$35,0,IF(N$4&lt;=3,'Biaya Bulanan'!$V$35,IF(N$4&lt;=12,'Biaya Bulanan'!$W$35,'Biaya Bulanan'!$X$35)))*'Biaya Bulanan'!$T$35</f>
        <v>15600566</v>
      </c>
      <c r="O14" s="45" t="n">
        <f aca="false">IF(O$4&lt;'Biaya Bulanan'!$I$35,0,IF(O$4&lt;=3,'Biaya Bulanan'!$V$35,IF(O$4&lt;=12,'Biaya Bulanan'!$W$35,'Biaya Bulanan'!$X$35)))*'Biaya Bulanan'!$T$35</f>
        <v>15600566</v>
      </c>
      <c r="P14" s="45" t="n">
        <f aca="false">IF(P$4&lt;'Biaya Bulanan'!$I$35,0,IF(P$4&lt;=3,'Biaya Bulanan'!$V$35,IF(P$4&lt;=12,'Biaya Bulanan'!$W$35,'Biaya Bulanan'!$X$35)))*'Biaya Bulanan'!$T$35</f>
        <v>15600566</v>
      </c>
      <c r="Q14" s="45" t="n">
        <f aca="false">IF(Q$4&lt;'Biaya Bulanan'!$I$35,0,IF(Q$4&lt;=3,'Biaya Bulanan'!$V$35,IF(Q$4&lt;=12,'Biaya Bulanan'!$W$35,'Biaya Bulanan'!$X$35)))*'Biaya Bulanan'!$T$35</f>
        <v>15600566</v>
      </c>
      <c r="R14" s="45" t="n">
        <f aca="false">IF(R$4&lt;'Biaya Bulanan'!$I$35,0,IF(R$4&lt;=3,'Biaya Bulanan'!$V$35,IF(R$4&lt;=12,'Biaya Bulanan'!$W$35,'Biaya Bulanan'!$X$35)))*'Biaya Bulanan'!$T$35</f>
        <v>15600566</v>
      </c>
      <c r="S14" s="45" t="n">
        <f aca="false">IF(S$4&lt;'Biaya Bulanan'!$I$35,0,IF(S$4&lt;=3,'Biaya Bulanan'!$V$35,IF(S$4&lt;=12,'Biaya Bulanan'!$W$35,'Biaya Bulanan'!$X$35)))*'Biaya Bulanan'!$T$35</f>
        <v>15600566</v>
      </c>
      <c r="T14" s="45" t="n">
        <f aca="false">IF(T$4&lt;'Biaya Bulanan'!$I$35,0,IF(T$4&lt;=3,'Biaya Bulanan'!$V$35,IF(T$4&lt;=12,'Biaya Bulanan'!$W$35,'Biaya Bulanan'!$X$35)))*'Biaya Bulanan'!$T$35</f>
        <v>15600566</v>
      </c>
      <c r="U14" s="45" t="n">
        <f aca="false">IF(U$4&lt;'Biaya Bulanan'!$I$35,0,IF(U$4&lt;=3,'Biaya Bulanan'!$V$35,IF(U$4&lt;=12,'Biaya Bulanan'!$W$35,'Biaya Bulanan'!$X$35)))*'Biaya Bulanan'!$T$35</f>
        <v>15600566</v>
      </c>
      <c r="V14" s="45" t="n">
        <f aca="false">IF(V$4&lt;'Biaya Bulanan'!$I$35,0,IF(V$4&lt;=3,'Biaya Bulanan'!$V$35,IF(V$4&lt;=12,'Biaya Bulanan'!$W$35,'Biaya Bulanan'!$X$35)))*'Biaya Bulanan'!$T$35</f>
        <v>15600566</v>
      </c>
      <c r="W14" s="45" t="n">
        <f aca="false">IF(W$4&lt;'Biaya Bulanan'!$I$35,0,IF(W$4&lt;=3,'Biaya Bulanan'!$V$35,IF(W$4&lt;=12,'Biaya Bulanan'!$W$35,'Biaya Bulanan'!$X$35)))*'Biaya Bulanan'!$T$35</f>
        <v>15600566</v>
      </c>
      <c r="X14" s="45" t="n">
        <f aca="false">IF(X$4&lt;'Biaya Bulanan'!$I$35,0,IF(X$4&lt;=3,'Biaya Bulanan'!$V$35,IF(X$4&lt;=12,'Biaya Bulanan'!$W$35,'Biaya Bulanan'!$X$35)))*'Biaya Bulanan'!$T$35</f>
        <v>15600566</v>
      </c>
      <c r="Y14" s="45" t="n">
        <f aca="false">IF(Y$4&lt;'Biaya Bulanan'!$I$35,0,IF(Y$4&lt;=3,'Biaya Bulanan'!$V$35,IF(Y$4&lt;=12,'Biaya Bulanan'!$W$35,'Biaya Bulanan'!$X$35)))*'Biaya Bulanan'!$T$35</f>
        <v>15600566</v>
      </c>
      <c r="Z14" s="45" t="n">
        <f aca="false">IF(Z$4&lt;'Biaya Bulanan'!$I$35,0,IF(Z$4&lt;=3,'Biaya Bulanan'!$V$35,IF(Z$4&lt;=12,'Biaya Bulanan'!$W$35,'Biaya Bulanan'!$X$35)))*'Biaya Bulanan'!$T$35</f>
        <v>15600566</v>
      </c>
      <c r="AA14" s="45" t="n">
        <f aca="false">IF(AA$4&lt;'Biaya Bulanan'!$I$35,0,IF(AA$4&lt;=3,'Biaya Bulanan'!$V$35,IF(AA$4&lt;=12,'Biaya Bulanan'!$W$35,'Biaya Bulanan'!$X$35)))*'Biaya Bulanan'!$T$35</f>
        <v>15600566</v>
      </c>
    </row>
    <row r="15" customFormat="false" ht="15" hidden="false" customHeight="false" outlineLevel="0" collapsed="false">
      <c r="A15" s="18" t="n">
        <v>11</v>
      </c>
      <c r="B15" s="43" t="str">
        <f aca="false">'Biaya Bulanan'!$B$36</f>
        <v>Teknologi</v>
      </c>
      <c r="C15" s="43" t="str">
        <f aca="false">'Biaya Bulanan'!$C$36</f>
        <v>Backend Engineer (Mid) - gelombang 2</v>
      </c>
      <c r="D15" s="45" t="n">
        <f aca="false">IF(D$4&lt;'Biaya Bulanan'!$I$36,0,IF(D$4&lt;=3,'Biaya Bulanan'!$V$36,IF(D$4&lt;=12,'Biaya Bulanan'!$W$36,'Biaya Bulanan'!$X$36)))*'Biaya Bulanan'!$T$36</f>
        <v>0</v>
      </c>
      <c r="E15" s="45" t="n">
        <f aca="false">IF(E$4&lt;'Biaya Bulanan'!$I$36,0,IF(E$4&lt;=3,'Biaya Bulanan'!$V$36,IF(E$4&lt;=12,'Biaya Bulanan'!$W$36,'Biaya Bulanan'!$X$36)))*'Biaya Bulanan'!$T$36</f>
        <v>0</v>
      </c>
      <c r="F15" s="45" t="n">
        <f aca="false">IF(F$4&lt;'Biaya Bulanan'!$I$36,0,IF(F$4&lt;=3,'Biaya Bulanan'!$V$36,IF(F$4&lt;=12,'Biaya Bulanan'!$W$36,'Biaya Bulanan'!$X$36)))*'Biaya Bulanan'!$T$36</f>
        <v>0</v>
      </c>
      <c r="G15" s="45" t="n">
        <f aca="false">IF(G$4&lt;'Biaya Bulanan'!$I$36,0,IF(G$4&lt;=3,'Biaya Bulanan'!$V$36,IF(G$4&lt;=12,'Biaya Bulanan'!$W$36,'Biaya Bulanan'!$X$36)))*'Biaya Bulanan'!$T$36</f>
        <v>0</v>
      </c>
      <c r="H15" s="45" t="n">
        <f aca="false">IF(H$4&lt;'Biaya Bulanan'!$I$36,0,IF(H$4&lt;=3,'Biaya Bulanan'!$V$36,IF(H$4&lt;=12,'Biaya Bulanan'!$W$36,'Biaya Bulanan'!$X$36)))*'Biaya Bulanan'!$T$36</f>
        <v>0</v>
      </c>
      <c r="I15" s="45" t="n">
        <f aca="false">IF(I$4&lt;'Biaya Bulanan'!$I$36,0,IF(I$4&lt;=3,'Biaya Bulanan'!$V$36,IF(I$4&lt;=12,'Biaya Bulanan'!$W$36,'Biaya Bulanan'!$X$36)))*'Biaya Bulanan'!$T$36</f>
        <v>0</v>
      </c>
      <c r="J15" s="45" t="n">
        <f aca="false">IF(J$4&lt;'Biaya Bulanan'!$I$36,0,IF(J$4&lt;=3,'Biaya Bulanan'!$V$36,IF(J$4&lt;=12,'Biaya Bulanan'!$W$36,'Biaya Bulanan'!$X$36)))*'Biaya Bulanan'!$T$36</f>
        <v>0</v>
      </c>
      <c r="K15" s="45" t="n">
        <f aca="false">IF(K$4&lt;'Biaya Bulanan'!$I$36,0,IF(K$4&lt;=3,'Biaya Bulanan'!$V$36,IF(K$4&lt;=12,'Biaya Bulanan'!$W$36,'Biaya Bulanan'!$X$36)))*'Biaya Bulanan'!$T$36</f>
        <v>0</v>
      </c>
      <c r="L15" s="45" t="n">
        <f aca="false">IF(L$4&lt;'Biaya Bulanan'!$I$36,0,IF(L$4&lt;=3,'Biaya Bulanan'!$V$36,IF(L$4&lt;=12,'Biaya Bulanan'!$W$36,'Biaya Bulanan'!$X$36)))*'Biaya Bulanan'!$T$36</f>
        <v>0</v>
      </c>
      <c r="M15" s="45" t="n">
        <f aca="false">IF(M$4&lt;'Biaya Bulanan'!$I$36,0,IF(M$4&lt;=3,'Biaya Bulanan'!$V$36,IF(M$4&lt;=12,'Biaya Bulanan'!$W$36,'Biaya Bulanan'!$X$36)))*'Biaya Bulanan'!$T$36</f>
        <v>0</v>
      </c>
      <c r="N15" s="45" t="n">
        <f aca="false">IF(N$4&lt;'Biaya Bulanan'!$I$36,0,IF(N$4&lt;=3,'Biaya Bulanan'!$V$36,IF(N$4&lt;=12,'Biaya Bulanan'!$W$36,'Biaya Bulanan'!$X$36)))*'Biaya Bulanan'!$T$36</f>
        <v>0</v>
      </c>
      <c r="O15" s="45" t="n">
        <f aca="false">IF(O$4&lt;'Biaya Bulanan'!$I$36,0,IF(O$4&lt;=3,'Biaya Bulanan'!$V$36,IF(O$4&lt;=12,'Biaya Bulanan'!$W$36,'Biaya Bulanan'!$X$36)))*'Biaya Bulanan'!$T$36</f>
        <v>0</v>
      </c>
      <c r="P15" s="45" t="n">
        <f aca="false">IF(P$4&lt;'Biaya Bulanan'!$I$36,0,IF(P$4&lt;=3,'Biaya Bulanan'!$V$36,IF(P$4&lt;=12,'Biaya Bulanan'!$W$36,'Biaya Bulanan'!$X$36)))*'Biaya Bulanan'!$T$36</f>
        <v>15600566</v>
      </c>
      <c r="Q15" s="45" t="n">
        <f aca="false">IF(Q$4&lt;'Biaya Bulanan'!$I$36,0,IF(Q$4&lt;=3,'Biaya Bulanan'!$V$36,IF(Q$4&lt;=12,'Biaya Bulanan'!$W$36,'Biaya Bulanan'!$X$36)))*'Biaya Bulanan'!$T$36</f>
        <v>15600566</v>
      </c>
      <c r="R15" s="45" t="n">
        <f aca="false">IF(R$4&lt;'Biaya Bulanan'!$I$36,0,IF(R$4&lt;=3,'Biaya Bulanan'!$V$36,IF(R$4&lt;=12,'Biaya Bulanan'!$W$36,'Biaya Bulanan'!$X$36)))*'Biaya Bulanan'!$T$36</f>
        <v>15600566</v>
      </c>
      <c r="S15" s="45" t="n">
        <f aca="false">IF(S$4&lt;'Biaya Bulanan'!$I$36,0,IF(S$4&lt;=3,'Biaya Bulanan'!$V$36,IF(S$4&lt;=12,'Biaya Bulanan'!$W$36,'Biaya Bulanan'!$X$36)))*'Biaya Bulanan'!$T$36</f>
        <v>15600566</v>
      </c>
      <c r="T15" s="45" t="n">
        <f aca="false">IF(T$4&lt;'Biaya Bulanan'!$I$36,0,IF(T$4&lt;=3,'Biaya Bulanan'!$V$36,IF(T$4&lt;=12,'Biaya Bulanan'!$W$36,'Biaya Bulanan'!$X$36)))*'Biaya Bulanan'!$T$36</f>
        <v>15600566</v>
      </c>
      <c r="U15" s="45" t="n">
        <f aca="false">IF(U$4&lt;'Biaya Bulanan'!$I$36,0,IF(U$4&lt;=3,'Biaya Bulanan'!$V$36,IF(U$4&lt;=12,'Biaya Bulanan'!$W$36,'Biaya Bulanan'!$X$36)))*'Biaya Bulanan'!$T$36</f>
        <v>15600566</v>
      </c>
      <c r="V15" s="45" t="n">
        <f aca="false">IF(V$4&lt;'Biaya Bulanan'!$I$36,0,IF(V$4&lt;=3,'Biaya Bulanan'!$V$36,IF(V$4&lt;=12,'Biaya Bulanan'!$W$36,'Biaya Bulanan'!$X$36)))*'Biaya Bulanan'!$T$36</f>
        <v>15600566</v>
      </c>
      <c r="W15" s="45" t="n">
        <f aca="false">IF(W$4&lt;'Biaya Bulanan'!$I$36,0,IF(W$4&lt;=3,'Biaya Bulanan'!$V$36,IF(W$4&lt;=12,'Biaya Bulanan'!$W$36,'Biaya Bulanan'!$X$36)))*'Biaya Bulanan'!$T$36</f>
        <v>15600566</v>
      </c>
      <c r="X15" s="45" t="n">
        <f aca="false">IF(X$4&lt;'Biaya Bulanan'!$I$36,0,IF(X$4&lt;=3,'Biaya Bulanan'!$V$36,IF(X$4&lt;=12,'Biaya Bulanan'!$W$36,'Biaya Bulanan'!$X$36)))*'Biaya Bulanan'!$T$36</f>
        <v>15600566</v>
      </c>
      <c r="Y15" s="45" t="n">
        <f aca="false">IF(Y$4&lt;'Biaya Bulanan'!$I$36,0,IF(Y$4&lt;=3,'Biaya Bulanan'!$V$36,IF(Y$4&lt;=12,'Biaya Bulanan'!$W$36,'Biaya Bulanan'!$X$36)))*'Biaya Bulanan'!$T$36</f>
        <v>15600566</v>
      </c>
      <c r="Z15" s="45" t="n">
        <f aca="false">IF(Z$4&lt;'Biaya Bulanan'!$I$36,0,IF(Z$4&lt;=3,'Biaya Bulanan'!$V$36,IF(Z$4&lt;=12,'Biaya Bulanan'!$W$36,'Biaya Bulanan'!$X$36)))*'Biaya Bulanan'!$T$36</f>
        <v>15600566</v>
      </c>
      <c r="AA15" s="45" t="n">
        <f aca="false">IF(AA$4&lt;'Biaya Bulanan'!$I$36,0,IF(AA$4&lt;=3,'Biaya Bulanan'!$V$36,IF(AA$4&lt;=12,'Biaya Bulanan'!$W$36,'Biaya Bulanan'!$X$36)))*'Biaya Bulanan'!$T$36</f>
        <v>15600566</v>
      </c>
    </row>
    <row r="16" customFormat="false" ht="15" hidden="false" customHeight="false" outlineLevel="0" collapsed="false">
      <c r="A16" s="18" t="n">
        <v>12</v>
      </c>
      <c r="B16" s="43" t="str">
        <f aca="false">'Biaya Bulanan'!$B$37</f>
        <v>Teknologi</v>
      </c>
      <c r="C16" s="43" t="str">
        <f aca="false">'Biaya Bulanan'!$C$37</f>
        <v>QA Engineer</v>
      </c>
      <c r="D16" s="45" t="n">
        <f aca="false">IF(D$4&lt;'Biaya Bulanan'!$I$37,0,IF(D$4&lt;=3,'Biaya Bulanan'!$V$37,IF(D$4&lt;=12,'Biaya Bulanan'!$W$37,'Biaya Bulanan'!$X$37)))*'Biaya Bulanan'!$T$37</f>
        <v>0</v>
      </c>
      <c r="E16" s="45" t="n">
        <f aca="false">IF(E$4&lt;'Biaya Bulanan'!$I$37,0,IF(E$4&lt;=3,'Biaya Bulanan'!$V$37,IF(E$4&lt;=12,'Biaya Bulanan'!$W$37,'Biaya Bulanan'!$X$37)))*'Biaya Bulanan'!$T$37</f>
        <v>0</v>
      </c>
      <c r="F16" s="45" t="n">
        <f aca="false">IF(F$4&lt;'Biaya Bulanan'!$I$37,0,IF(F$4&lt;=3,'Biaya Bulanan'!$V$37,IF(F$4&lt;=12,'Biaya Bulanan'!$W$37,'Biaya Bulanan'!$X$37)))*'Biaya Bulanan'!$T$37</f>
        <v>0</v>
      </c>
      <c r="G16" s="45" t="n">
        <f aca="false">IF(G$4&lt;'Biaya Bulanan'!$I$37,0,IF(G$4&lt;=3,'Biaya Bulanan'!$V$37,IF(G$4&lt;=12,'Biaya Bulanan'!$W$37,'Biaya Bulanan'!$X$37)))*'Biaya Bulanan'!$T$37</f>
        <v>0</v>
      </c>
      <c r="H16" s="45" t="n">
        <f aca="false">IF(H$4&lt;'Biaya Bulanan'!$I$37,0,IF(H$4&lt;=3,'Biaya Bulanan'!$V$37,IF(H$4&lt;=12,'Biaya Bulanan'!$W$37,'Biaya Bulanan'!$X$37)))*'Biaya Bulanan'!$T$37</f>
        <v>0</v>
      </c>
      <c r="I16" s="45" t="n">
        <f aca="false">IF(I$4&lt;'Biaya Bulanan'!$I$37,0,IF(I$4&lt;=3,'Biaya Bulanan'!$V$37,IF(I$4&lt;=12,'Biaya Bulanan'!$W$37,'Biaya Bulanan'!$X$37)))*'Biaya Bulanan'!$T$37</f>
        <v>13075700</v>
      </c>
      <c r="J16" s="45" t="n">
        <f aca="false">IF(J$4&lt;'Biaya Bulanan'!$I$37,0,IF(J$4&lt;=3,'Biaya Bulanan'!$V$37,IF(J$4&lt;=12,'Biaya Bulanan'!$W$37,'Biaya Bulanan'!$X$37)))*'Biaya Bulanan'!$T$37</f>
        <v>13075700</v>
      </c>
      <c r="K16" s="45" t="n">
        <f aca="false">IF(K$4&lt;'Biaya Bulanan'!$I$37,0,IF(K$4&lt;=3,'Biaya Bulanan'!$V$37,IF(K$4&lt;=12,'Biaya Bulanan'!$W$37,'Biaya Bulanan'!$X$37)))*'Biaya Bulanan'!$T$37</f>
        <v>13075700</v>
      </c>
      <c r="L16" s="45" t="n">
        <f aca="false">IF(L$4&lt;'Biaya Bulanan'!$I$37,0,IF(L$4&lt;=3,'Biaya Bulanan'!$V$37,IF(L$4&lt;=12,'Biaya Bulanan'!$W$37,'Biaya Bulanan'!$X$37)))*'Biaya Bulanan'!$T$37</f>
        <v>13075700</v>
      </c>
      <c r="M16" s="45" t="n">
        <f aca="false">IF(M$4&lt;'Biaya Bulanan'!$I$37,0,IF(M$4&lt;=3,'Biaya Bulanan'!$V$37,IF(M$4&lt;=12,'Biaya Bulanan'!$W$37,'Biaya Bulanan'!$X$37)))*'Biaya Bulanan'!$T$37</f>
        <v>13075700</v>
      </c>
      <c r="N16" s="45" t="n">
        <f aca="false">IF(N$4&lt;'Biaya Bulanan'!$I$37,0,IF(N$4&lt;=3,'Biaya Bulanan'!$V$37,IF(N$4&lt;=12,'Biaya Bulanan'!$W$37,'Biaya Bulanan'!$X$37)))*'Biaya Bulanan'!$T$37</f>
        <v>13075700</v>
      </c>
      <c r="O16" s="45" t="n">
        <f aca="false">IF(O$4&lt;'Biaya Bulanan'!$I$37,0,IF(O$4&lt;=3,'Biaya Bulanan'!$V$37,IF(O$4&lt;=12,'Biaya Bulanan'!$W$37,'Biaya Bulanan'!$X$37)))*'Biaya Bulanan'!$T$37</f>
        <v>13075700</v>
      </c>
      <c r="P16" s="45" t="n">
        <f aca="false">IF(P$4&lt;'Biaya Bulanan'!$I$37,0,IF(P$4&lt;=3,'Biaya Bulanan'!$V$37,IF(P$4&lt;=12,'Biaya Bulanan'!$W$37,'Biaya Bulanan'!$X$37)))*'Biaya Bulanan'!$T$37</f>
        <v>13075700</v>
      </c>
      <c r="Q16" s="45" t="n">
        <f aca="false">IF(Q$4&lt;'Biaya Bulanan'!$I$37,0,IF(Q$4&lt;=3,'Biaya Bulanan'!$V$37,IF(Q$4&lt;=12,'Biaya Bulanan'!$W$37,'Biaya Bulanan'!$X$37)))*'Biaya Bulanan'!$T$37</f>
        <v>13075700</v>
      </c>
      <c r="R16" s="45" t="n">
        <f aca="false">IF(R$4&lt;'Biaya Bulanan'!$I$37,0,IF(R$4&lt;=3,'Biaya Bulanan'!$V$37,IF(R$4&lt;=12,'Biaya Bulanan'!$W$37,'Biaya Bulanan'!$X$37)))*'Biaya Bulanan'!$T$37</f>
        <v>13075700</v>
      </c>
      <c r="S16" s="45" t="n">
        <f aca="false">IF(S$4&lt;'Biaya Bulanan'!$I$37,0,IF(S$4&lt;=3,'Biaya Bulanan'!$V$37,IF(S$4&lt;=12,'Biaya Bulanan'!$W$37,'Biaya Bulanan'!$X$37)))*'Biaya Bulanan'!$T$37</f>
        <v>13075700</v>
      </c>
      <c r="T16" s="45" t="n">
        <f aca="false">IF(T$4&lt;'Biaya Bulanan'!$I$37,0,IF(T$4&lt;=3,'Biaya Bulanan'!$V$37,IF(T$4&lt;=12,'Biaya Bulanan'!$W$37,'Biaya Bulanan'!$X$37)))*'Biaya Bulanan'!$T$37</f>
        <v>13075700</v>
      </c>
      <c r="U16" s="45" t="n">
        <f aca="false">IF(U$4&lt;'Biaya Bulanan'!$I$37,0,IF(U$4&lt;=3,'Biaya Bulanan'!$V$37,IF(U$4&lt;=12,'Biaya Bulanan'!$W$37,'Biaya Bulanan'!$X$37)))*'Biaya Bulanan'!$T$37</f>
        <v>13075700</v>
      </c>
      <c r="V16" s="45" t="n">
        <f aca="false">IF(V$4&lt;'Biaya Bulanan'!$I$37,0,IF(V$4&lt;=3,'Biaya Bulanan'!$V$37,IF(V$4&lt;=12,'Biaya Bulanan'!$W$37,'Biaya Bulanan'!$X$37)))*'Biaya Bulanan'!$T$37</f>
        <v>13075700</v>
      </c>
      <c r="W16" s="45" t="n">
        <f aca="false">IF(W$4&lt;'Biaya Bulanan'!$I$37,0,IF(W$4&lt;=3,'Biaya Bulanan'!$V$37,IF(W$4&lt;=12,'Biaya Bulanan'!$W$37,'Biaya Bulanan'!$X$37)))*'Biaya Bulanan'!$T$37</f>
        <v>13075700</v>
      </c>
      <c r="X16" s="45" t="n">
        <f aca="false">IF(X$4&lt;'Biaya Bulanan'!$I$37,0,IF(X$4&lt;=3,'Biaya Bulanan'!$V$37,IF(X$4&lt;=12,'Biaya Bulanan'!$W$37,'Biaya Bulanan'!$X$37)))*'Biaya Bulanan'!$T$37</f>
        <v>13075700</v>
      </c>
      <c r="Y16" s="45" t="n">
        <f aca="false">IF(Y$4&lt;'Biaya Bulanan'!$I$37,0,IF(Y$4&lt;=3,'Biaya Bulanan'!$V$37,IF(Y$4&lt;=12,'Biaya Bulanan'!$W$37,'Biaya Bulanan'!$X$37)))*'Biaya Bulanan'!$T$37</f>
        <v>13075700</v>
      </c>
      <c r="Z16" s="45" t="n">
        <f aca="false">IF(Z$4&lt;'Biaya Bulanan'!$I$37,0,IF(Z$4&lt;=3,'Biaya Bulanan'!$V$37,IF(Z$4&lt;=12,'Biaya Bulanan'!$W$37,'Biaya Bulanan'!$X$37)))*'Biaya Bulanan'!$T$37</f>
        <v>13075700</v>
      </c>
      <c r="AA16" s="45" t="n">
        <f aca="false">IF(AA$4&lt;'Biaya Bulanan'!$I$37,0,IF(AA$4&lt;=3,'Biaya Bulanan'!$V$37,IF(AA$4&lt;=12,'Biaya Bulanan'!$W$37,'Biaya Bulanan'!$X$37)))*'Biaya Bulanan'!$T$37</f>
        <v>13075700</v>
      </c>
    </row>
    <row r="17" customFormat="false" ht="15" hidden="false" customHeight="false" outlineLevel="0" collapsed="false">
      <c r="A17" s="18" t="n">
        <v>13</v>
      </c>
      <c r="B17" s="43" t="str">
        <f aca="false">'Biaya Bulanan'!$B$38</f>
        <v>Teknologi</v>
      </c>
      <c r="C17" s="43" t="str">
        <f aca="false">'Biaya Bulanan'!$C$38</f>
        <v>QA Engineer - gelombang 2</v>
      </c>
      <c r="D17" s="45" t="n">
        <f aca="false">IF(D$4&lt;'Biaya Bulanan'!$I$38,0,IF(D$4&lt;=3,'Biaya Bulanan'!$V$38,IF(D$4&lt;=12,'Biaya Bulanan'!$W$38,'Biaya Bulanan'!$X$38)))*'Biaya Bulanan'!$T$38</f>
        <v>0</v>
      </c>
      <c r="E17" s="45" t="n">
        <f aca="false">IF(E$4&lt;'Biaya Bulanan'!$I$38,0,IF(E$4&lt;=3,'Biaya Bulanan'!$V$38,IF(E$4&lt;=12,'Biaya Bulanan'!$W$38,'Biaya Bulanan'!$X$38)))*'Biaya Bulanan'!$T$38</f>
        <v>0</v>
      </c>
      <c r="F17" s="45" t="n">
        <f aca="false">IF(F$4&lt;'Biaya Bulanan'!$I$38,0,IF(F$4&lt;=3,'Biaya Bulanan'!$V$38,IF(F$4&lt;=12,'Biaya Bulanan'!$W$38,'Biaya Bulanan'!$X$38)))*'Biaya Bulanan'!$T$38</f>
        <v>0</v>
      </c>
      <c r="G17" s="45" t="n">
        <f aca="false">IF(G$4&lt;'Biaya Bulanan'!$I$38,0,IF(G$4&lt;=3,'Biaya Bulanan'!$V$38,IF(G$4&lt;=12,'Biaya Bulanan'!$W$38,'Biaya Bulanan'!$X$38)))*'Biaya Bulanan'!$T$38</f>
        <v>0</v>
      </c>
      <c r="H17" s="45" t="n">
        <f aca="false">IF(H$4&lt;'Biaya Bulanan'!$I$38,0,IF(H$4&lt;=3,'Biaya Bulanan'!$V$38,IF(H$4&lt;=12,'Biaya Bulanan'!$W$38,'Biaya Bulanan'!$X$38)))*'Biaya Bulanan'!$T$38</f>
        <v>0</v>
      </c>
      <c r="I17" s="45" t="n">
        <f aca="false">IF(I$4&lt;'Biaya Bulanan'!$I$38,0,IF(I$4&lt;=3,'Biaya Bulanan'!$V$38,IF(I$4&lt;=12,'Biaya Bulanan'!$W$38,'Biaya Bulanan'!$X$38)))*'Biaya Bulanan'!$T$38</f>
        <v>0</v>
      </c>
      <c r="J17" s="45" t="n">
        <f aca="false">IF(J$4&lt;'Biaya Bulanan'!$I$38,0,IF(J$4&lt;=3,'Biaya Bulanan'!$V$38,IF(J$4&lt;=12,'Biaya Bulanan'!$W$38,'Biaya Bulanan'!$X$38)))*'Biaya Bulanan'!$T$38</f>
        <v>0</v>
      </c>
      <c r="K17" s="45" t="n">
        <f aca="false">IF(K$4&lt;'Biaya Bulanan'!$I$38,0,IF(K$4&lt;=3,'Biaya Bulanan'!$V$38,IF(K$4&lt;=12,'Biaya Bulanan'!$W$38,'Biaya Bulanan'!$X$38)))*'Biaya Bulanan'!$T$38</f>
        <v>0</v>
      </c>
      <c r="L17" s="45" t="n">
        <f aca="false">IF(L$4&lt;'Biaya Bulanan'!$I$38,0,IF(L$4&lt;=3,'Biaya Bulanan'!$V$38,IF(L$4&lt;=12,'Biaya Bulanan'!$W$38,'Biaya Bulanan'!$X$38)))*'Biaya Bulanan'!$T$38</f>
        <v>0</v>
      </c>
      <c r="M17" s="45" t="n">
        <f aca="false">IF(M$4&lt;'Biaya Bulanan'!$I$38,0,IF(M$4&lt;=3,'Biaya Bulanan'!$V$38,IF(M$4&lt;=12,'Biaya Bulanan'!$W$38,'Biaya Bulanan'!$X$38)))*'Biaya Bulanan'!$T$38</f>
        <v>0</v>
      </c>
      <c r="N17" s="45" t="n">
        <f aca="false">IF(N$4&lt;'Biaya Bulanan'!$I$38,0,IF(N$4&lt;=3,'Biaya Bulanan'!$V$38,IF(N$4&lt;=12,'Biaya Bulanan'!$W$38,'Biaya Bulanan'!$X$38)))*'Biaya Bulanan'!$T$38</f>
        <v>0</v>
      </c>
      <c r="O17" s="45" t="n">
        <f aca="false">IF(O$4&lt;'Biaya Bulanan'!$I$38,0,IF(O$4&lt;=3,'Biaya Bulanan'!$V$38,IF(O$4&lt;=12,'Biaya Bulanan'!$W$38,'Biaya Bulanan'!$X$38)))*'Biaya Bulanan'!$T$38</f>
        <v>0</v>
      </c>
      <c r="P17" s="45" t="n">
        <f aca="false">IF(P$4&lt;'Biaya Bulanan'!$I$38,0,IF(P$4&lt;=3,'Biaya Bulanan'!$V$38,IF(P$4&lt;=12,'Biaya Bulanan'!$W$38,'Biaya Bulanan'!$X$38)))*'Biaya Bulanan'!$T$38</f>
        <v>0</v>
      </c>
      <c r="Q17" s="45" t="n">
        <f aca="false">IF(Q$4&lt;'Biaya Bulanan'!$I$38,0,IF(Q$4&lt;=3,'Biaya Bulanan'!$V$38,IF(Q$4&lt;=12,'Biaya Bulanan'!$W$38,'Biaya Bulanan'!$X$38)))*'Biaya Bulanan'!$T$38</f>
        <v>0</v>
      </c>
      <c r="R17" s="45" t="n">
        <f aca="false">IF(R$4&lt;'Biaya Bulanan'!$I$38,0,IF(R$4&lt;=3,'Biaya Bulanan'!$V$38,IF(R$4&lt;=12,'Biaya Bulanan'!$W$38,'Biaya Bulanan'!$X$38)))*'Biaya Bulanan'!$T$38</f>
        <v>13075700</v>
      </c>
      <c r="S17" s="45" t="n">
        <f aca="false">IF(S$4&lt;'Biaya Bulanan'!$I$38,0,IF(S$4&lt;=3,'Biaya Bulanan'!$V$38,IF(S$4&lt;=12,'Biaya Bulanan'!$W$38,'Biaya Bulanan'!$X$38)))*'Biaya Bulanan'!$T$38</f>
        <v>13075700</v>
      </c>
      <c r="T17" s="45" t="n">
        <f aca="false">IF(T$4&lt;'Biaya Bulanan'!$I$38,0,IF(T$4&lt;=3,'Biaya Bulanan'!$V$38,IF(T$4&lt;=12,'Biaya Bulanan'!$W$38,'Biaya Bulanan'!$X$38)))*'Biaya Bulanan'!$T$38</f>
        <v>13075700</v>
      </c>
      <c r="U17" s="45" t="n">
        <f aca="false">IF(U$4&lt;'Biaya Bulanan'!$I$38,0,IF(U$4&lt;=3,'Biaya Bulanan'!$V$38,IF(U$4&lt;=12,'Biaya Bulanan'!$W$38,'Biaya Bulanan'!$X$38)))*'Biaya Bulanan'!$T$38</f>
        <v>13075700</v>
      </c>
      <c r="V17" s="45" t="n">
        <f aca="false">IF(V$4&lt;'Biaya Bulanan'!$I$38,0,IF(V$4&lt;=3,'Biaya Bulanan'!$V$38,IF(V$4&lt;=12,'Biaya Bulanan'!$W$38,'Biaya Bulanan'!$X$38)))*'Biaya Bulanan'!$T$38</f>
        <v>13075700</v>
      </c>
      <c r="W17" s="45" t="n">
        <f aca="false">IF(W$4&lt;'Biaya Bulanan'!$I$38,0,IF(W$4&lt;=3,'Biaya Bulanan'!$V$38,IF(W$4&lt;=12,'Biaya Bulanan'!$W$38,'Biaya Bulanan'!$X$38)))*'Biaya Bulanan'!$T$38</f>
        <v>13075700</v>
      </c>
      <c r="X17" s="45" t="n">
        <f aca="false">IF(X$4&lt;'Biaya Bulanan'!$I$38,0,IF(X$4&lt;=3,'Biaya Bulanan'!$V$38,IF(X$4&lt;=12,'Biaya Bulanan'!$W$38,'Biaya Bulanan'!$X$38)))*'Biaya Bulanan'!$T$38</f>
        <v>13075700</v>
      </c>
      <c r="Y17" s="45" t="n">
        <f aca="false">IF(Y$4&lt;'Biaya Bulanan'!$I$38,0,IF(Y$4&lt;=3,'Biaya Bulanan'!$V$38,IF(Y$4&lt;=12,'Biaya Bulanan'!$W$38,'Biaya Bulanan'!$X$38)))*'Biaya Bulanan'!$T$38</f>
        <v>13075700</v>
      </c>
      <c r="Z17" s="45" t="n">
        <f aca="false">IF(Z$4&lt;'Biaya Bulanan'!$I$38,0,IF(Z$4&lt;=3,'Biaya Bulanan'!$V$38,IF(Z$4&lt;=12,'Biaya Bulanan'!$W$38,'Biaya Bulanan'!$X$38)))*'Biaya Bulanan'!$T$38</f>
        <v>13075700</v>
      </c>
      <c r="AA17" s="45" t="n">
        <f aca="false">IF(AA$4&lt;'Biaya Bulanan'!$I$38,0,IF(AA$4&lt;=3,'Biaya Bulanan'!$V$38,IF(AA$4&lt;=12,'Biaya Bulanan'!$W$38,'Biaya Bulanan'!$X$38)))*'Biaya Bulanan'!$T$38</f>
        <v>13075700</v>
      </c>
    </row>
    <row r="18" customFormat="false" ht="15" hidden="false" customHeight="false" outlineLevel="0" collapsed="false">
      <c r="A18" s="18" t="n">
        <v>14</v>
      </c>
      <c r="B18" s="43" t="str">
        <f aca="false">'Biaya Bulanan'!$B$39</f>
        <v>Teknologi</v>
      </c>
      <c r="C18" s="43" t="str">
        <f aca="false">'Biaya Bulanan'!$C$39</f>
        <v>Junior Software Engineer</v>
      </c>
      <c r="D18" s="45" t="n">
        <f aca="false">IF(D$4&lt;'Biaya Bulanan'!$I$39,0,IF(D$4&lt;=3,'Biaya Bulanan'!$V$39,IF(D$4&lt;=12,'Biaya Bulanan'!$W$39,'Biaya Bulanan'!$X$39)))*'Biaya Bulanan'!$T$39</f>
        <v>0</v>
      </c>
      <c r="E18" s="45" t="n">
        <f aca="false">IF(E$4&lt;'Biaya Bulanan'!$I$39,0,IF(E$4&lt;=3,'Biaya Bulanan'!$V$39,IF(E$4&lt;=12,'Biaya Bulanan'!$W$39,'Biaya Bulanan'!$X$39)))*'Biaya Bulanan'!$T$39</f>
        <v>0</v>
      </c>
      <c r="F18" s="45" t="n">
        <f aca="false">IF(F$4&lt;'Biaya Bulanan'!$I$39,0,IF(F$4&lt;=3,'Biaya Bulanan'!$V$39,IF(F$4&lt;=12,'Biaya Bulanan'!$W$39,'Biaya Bulanan'!$X$39)))*'Biaya Bulanan'!$T$39</f>
        <v>0</v>
      </c>
      <c r="G18" s="45" t="n">
        <f aca="false">IF(G$4&lt;'Biaya Bulanan'!$I$39,0,IF(G$4&lt;=3,'Biaya Bulanan'!$V$39,IF(G$4&lt;=12,'Biaya Bulanan'!$W$39,'Biaya Bulanan'!$X$39)))*'Biaya Bulanan'!$T$39</f>
        <v>0</v>
      </c>
      <c r="H18" s="45" t="n">
        <f aca="false">IF(H$4&lt;'Biaya Bulanan'!$I$39,0,IF(H$4&lt;=3,'Biaya Bulanan'!$V$39,IF(H$4&lt;=12,'Biaya Bulanan'!$W$39,'Biaya Bulanan'!$X$39)))*'Biaya Bulanan'!$T$39</f>
        <v>0</v>
      </c>
      <c r="I18" s="45" t="n">
        <f aca="false">IF(I$4&lt;'Biaya Bulanan'!$I$39,0,IF(I$4&lt;=3,'Biaya Bulanan'!$V$39,IF(I$4&lt;=12,'Biaya Bulanan'!$W$39,'Biaya Bulanan'!$X$39)))*'Biaya Bulanan'!$T$39</f>
        <v>0</v>
      </c>
      <c r="J18" s="45" t="n">
        <f aca="false">IF(J$4&lt;'Biaya Bulanan'!$I$39,0,IF(J$4&lt;=3,'Biaya Bulanan'!$V$39,IF(J$4&lt;=12,'Biaya Bulanan'!$W$39,'Biaya Bulanan'!$X$39)))*'Biaya Bulanan'!$T$39</f>
        <v>0</v>
      </c>
      <c r="K18" s="45" t="n">
        <f aca="false">IF(K$4&lt;'Biaya Bulanan'!$I$39,0,IF(K$4&lt;=3,'Biaya Bulanan'!$V$39,IF(K$4&lt;=12,'Biaya Bulanan'!$W$39,'Biaya Bulanan'!$X$39)))*'Biaya Bulanan'!$T$39</f>
        <v>0</v>
      </c>
      <c r="L18" s="45" t="n">
        <f aca="false">IF(L$4&lt;'Biaya Bulanan'!$I$39,0,IF(L$4&lt;=3,'Biaya Bulanan'!$V$39,IF(L$4&lt;=12,'Biaya Bulanan'!$W$39,'Biaya Bulanan'!$X$39)))*'Biaya Bulanan'!$T$39</f>
        <v>0</v>
      </c>
      <c r="M18" s="45" t="n">
        <f aca="false">IF(M$4&lt;'Biaya Bulanan'!$I$39,0,IF(M$4&lt;=3,'Biaya Bulanan'!$V$39,IF(M$4&lt;=12,'Biaya Bulanan'!$W$39,'Biaya Bulanan'!$X$39)))*'Biaya Bulanan'!$T$39</f>
        <v>0</v>
      </c>
      <c r="N18" s="45" t="n">
        <f aca="false">IF(N$4&lt;'Biaya Bulanan'!$I$39,0,IF(N$4&lt;=3,'Biaya Bulanan'!$V$39,IF(N$4&lt;=12,'Biaya Bulanan'!$W$39,'Biaya Bulanan'!$X$39)))*'Biaya Bulanan'!$T$39</f>
        <v>0</v>
      </c>
      <c r="O18" s="45" t="n">
        <f aca="false">IF(O$4&lt;'Biaya Bulanan'!$I$39,0,IF(O$4&lt;=3,'Biaya Bulanan'!$V$39,IF(O$4&lt;=12,'Biaya Bulanan'!$W$39,'Biaya Bulanan'!$X$39)))*'Biaya Bulanan'!$T$39</f>
        <v>0</v>
      </c>
      <c r="P18" s="45" t="n">
        <f aca="false">IF(P$4&lt;'Biaya Bulanan'!$I$39,0,IF(P$4&lt;=3,'Biaya Bulanan'!$V$39,IF(P$4&lt;=12,'Biaya Bulanan'!$W$39,'Biaya Bulanan'!$X$39)))*'Biaya Bulanan'!$T$39</f>
        <v>0</v>
      </c>
      <c r="Q18" s="45" t="n">
        <f aca="false">IF(Q$4&lt;'Biaya Bulanan'!$I$39,0,IF(Q$4&lt;=3,'Biaya Bulanan'!$V$39,IF(Q$4&lt;=12,'Biaya Bulanan'!$W$39,'Biaya Bulanan'!$X$39)))*'Biaya Bulanan'!$T$39</f>
        <v>0</v>
      </c>
      <c r="R18" s="45" t="n">
        <f aca="false">IF(R$4&lt;'Biaya Bulanan'!$I$39,0,IF(R$4&lt;=3,'Biaya Bulanan'!$V$39,IF(R$4&lt;=12,'Biaya Bulanan'!$W$39,'Biaya Bulanan'!$X$39)))*'Biaya Bulanan'!$T$39</f>
        <v>0</v>
      </c>
      <c r="S18" s="45" t="n">
        <f aca="false">IF(S$4&lt;'Biaya Bulanan'!$I$39,0,IF(S$4&lt;=3,'Biaya Bulanan'!$V$39,IF(S$4&lt;=12,'Biaya Bulanan'!$W$39,'Biaya Bulanan'!$X$39)))*'Biaya Bulanan'!$T$39</f>
        <v>9806775</v>
      </c>
      <c r="T18" s="45" t="n">
        <f aca="false">IF(T$4&lt;'Biaya Bulanan'!$I$39,0,IF(T$4&lt;=3,'Biaya Bulanan'!$V$39,IF(T$4&lt;=12,'Biaya Bulanan'!$W$39,'Biaya Bulanan'!$X$39)))*'Biaya Bulanan'!$T$39</f>
        <v>9806775</v>
      </c>
      <c r="U18" s="45" t="n">
        <f aca="false">IF(U$4&lt;'Biaya Bulanan'!$I$39,0,IF(U$4&lt;=3,'Biaya Bulanan'!$V$39,IF(U$4&lt;=12,'Biaya Bulanan'!$W$39,'Biaya Bulanan'!$X$39)))*'Biaya Bulanan'!$T$39</f>
        <v>9806775</v>
      </c>
      <c r="V18" s="45" t="n">
        <f aca="false">IF(V$4&lt;'Biaya Bulanan'!$I$39,0,IF(V$4&lt;=3,'Biaya Bulanan'!$V$39,IF(V$4&lt;=12,'Biaya Bulanan'!$W$39,'Biaya Bulanan'!$X$39)))*'Biaya Bulanan'!$T$39</f>
        <v>9806775</v>
      </c>
      <c r="W18" s="45" t="n">
        <f aca="false">IF(W$4&lt;'Biaya Bulanan'!$I$39,0,IF(W$4&lt;=3,'Biaya Bulanan'!$V$39,IF(W$4&lt;=12,'Biaya Bulanan'!$W$39,'Biaya Bulanan'!$X$39)))*'Biaya Bulanan'!$T$39</f>
        <v>9806775</v>
      </c>
      <c r="X18" s="45" t="n">
        <f aca="false">IF(X$4&lt;'Biaya Bulanan'!$I$39,0,IF(X$4&lt;=3,'Biaya Bulanan'!$V$39,IF(X$4&lt;=12,'Biaya Bulanan'!$W$39,'Biaya Bulanan'!$X$39)))*'Biaya Bulanan'!$T$39</f>
        <v>9806775</v>
      </c>
      <c r="Y18" s="45" t="n">
        <f aca="false">IF(Y$4&lt;'Biaya Bulanan'!$I$39,0,IF(Y$4&lt;=3,'Biaya Bulanan'!$V$39,IF(Y$4&lt;=12,'Biaya Bulanan'!$W$39,'Biaya Bulanan'!$X$39)))*'Biaya Bulanan'!$T$39</f>
        <v>9806775</v>
      </c>
      <c r="Z18" s="45" t="n">
        <f aca="false">IF(Z$4&lt;'Biaya Bulanan'!$I$39,0,IF(Z$4&lt;=3,'Biaya Bulanan'!$V$39,IF(Z$4&lt;=12,'Biaya Bulanan'!$W$39,'Biaya Bulanan'!$X$39)))*'Biaya Bulanan'!$T$39</f>
        <v>9806775</v>
      </c>
      <c r="AA18" s="45" t="n">
        <f aca="false">IF(AA$4&lt;'Biaya Bulanan'!$I$39,0,IF(AA$4&lt;=3,'Biaya Bulanan'!$V$39,IF(AA$4&lt;=12,'Biaya Bulanan'!$W$39,'Biaya Bulanan'!$X$39)))*'Biaya Bulanan'!$T$39</f>
        <v>9806775</v>
      </c>
    </row>
    <row r="19" customFormat="false" ht="15" hidden="false" customHeight="false" outlineLevel="0" collapsed="false">
      <c r="A19" s="18" t="n">
        <v>15</v>
      </c>
      <c r="B19" s="43" t="str">
        <f aca="false">'Biaya Bulanan'!$B$40</f>
        <v>Teknologi</v>
      </c>
      <c r="C19" s="43" t="str">
        <f aca="false">'Biaya Bulanan'!$C$40</f>
        <v>Junior Software Engineer - Padang</v>
      </c>
      <c r="D19" s="45" t="n">
        <f aca="false">IF(D$4&lt;'Biaya Bulanan'!$I$40,0,IF(D$4&lt;=3,'Biaya Bulanan'!$V$40,IF(D$4&lt;=12,'Biaya Bulanan'!$W$40,'Biaya Bulanan'!$X$40)))*'Biaya Bulanan'!$T$40</f>
        <v>0</v>
      </c>
      <c r="E19" s="45" t="n">
        <f aca="false">IF(E$4&lt;'Biaya Bulanan'!$I$40,0,IF(E$4&lt;=3,'Biaya Bulanan'!$V$40,IF(E$4&lt;=12,'Biaya Bulanan'!$W$40,'Biaya Bulanan'!$X$40)))*'Biaya Bulanan'!$T$40</f>
        <v>0</v>
      </c>
      <c r="F19" s="45" t="n">
        <f aca="false">IF(F$4&lt;'Biaya Bulanan'!$I$40,0,IF(F$4&lt;=3,'Biaya Bulanan'!$V$40,IF(F$4&lt;=12,'Biaya Bulanan'!$W$40,'Biaya Bulanan'!$X$40)))*'Biaya Bulanan'!$T$40</f>
        <v>0</v>
      </c>
      <c r="G19" s="45" t="n">
        <f aca="false">IF(G$4&lt;'Biaya Bulanan'!$I$40,0,IF(G$4&lt;=3,'Biaya Bulanan'!$V$40,IF(G$4&lt;=12,'Biaya Bulanan'!$W$40,'Biaya Bulanan'!$X$40)))*'Biaya Bulanan'!$T$40</f>
        <v>0</v>
      </c>
      <c r="H19" s="45" t="n">
        <f aca="false">IF(H$4&lt;'Biaya Bulanan'!$I$40,0,IF(H$4&lt;=3,'Biaya Bulanan'!$V$40,IF(H$4&lt;=12,'Biaya Bulanan'!$W$40,'Biaya Bulanan'!$X$40)))*'Biaya Bulanan'!$T$40</f>
        <v>0</v>
      </c>
      <c r="I19" s="45" t="n">
        <f aca="false">IF(I$4&lt;'Biaya Bulanan'!$I$40,0,IF(I$4&lt;=3,'Biaya Bulanan'!$V$40,IF(I$4&lt;=12,'Biaya Bulanan'!$W$40,'Biaya Bulanan'!$X$40)))*'Biaya Bulanan'!$T$40</f>
        <v>0</v>
      </c>
      <c r="J19" s="45" t="n">
        <f aca="false">IF(J$4&lt;'Biaya Bulanan'!$I$40,0,IF(J$4&lt;=3,'Biaya Bulanan'!$V$40,IF(J$4&lt;=12,'Biaya Bulanan'!$W$40,'Biaya Bulanan'!$X$40)))*'Biaya Bulanan'!$T$40</f>
        <v>0</v>
      </c>
      <c r="K19" s="45" t="n">
        <f aca="false">IF(K$4&lt;'Biaya Bulanan'!$I$40,0,IF(K$4&lt;=3,'Biaya Bulanan'!$V$40,IF(K$4&lt;=12,'Biaya Bulanan'!$W$40,'Biaya Bulanan'!$X$40)))*'Biaya Bulanan'!$T$40</f>
        <v>0</v>
      </c>
      <c r="L19" s="45" t="n">
        <f aca="false">IF(L$4&lt;'Biaya Bulanan'!$I$40,0,IF(L$4&lt;=3,'Biaya Bulanan'!$V$40,IF(L$4&lt;=12,'Biaya Bulanan'!$W$40,'Biaya Bulanan'!$X$40)))*'Biaya Bulanan'!$T$40</f>
        <v>0</v>
      </c>
      <c r="M19" s="45" t="n">
        <f aca="false">IF(M$4&lt;'Biaya Bulanan'!$I$40,0,IF(M$4&lt;=3,'Biaya Bulanan'!$V$40,IF(M$4&lt;=12,'Biaya Bulanan'!$W$40,'Biaya Bulanan'!$X$40)))*'Biaya Bulanan'!$T$40</f>
        <v>0</v>
      </c>
      <c r="N19" s="45" t="n">
        <f aca="false">IF(N$4&lt;'Biaya Bulanan'!$I$40,0,IF(N$4&lt;=3,'Biaya Bulanan'!$V$40,IF(N$4&lt;=12,'Biaya Bulanan'!$W$40,'Biaya Bulanan'!$X$40)))*'Biaya Bulanan'!$T$40</f>
        <v>0</v>
      </c>
      <c r="O19" s="45" t="n">
        <f aca="false">IF(O$4&lt;'Biaya Bulanan'!$I$40,0,IF(O$4&lt;=3,'Biaya Bulanan'!$V$40,IF(O$4&lt;=12,'Biaya Bulanan'!$W$40,'Biaya Bulanan'!$X$40)))*'Biaya Bulanan'!$T$40</f>
        <v>0</v>
      </c>
      <c r="P19" s="45" t="n">
        <f aca="false">IF(P$4&lt;'Biaya Bulanan'!$I$40,0,IF(P$4&lt;=3,'Biaya Bulanan'!$V$40,IF(P$4&lt;=12,'Biaya Bulanan'!$W$40,'Biaya Bulanan'!$X$40)))*'Biaya Bulanan'!$T$40</f>
        <v>0</v>
      </c>
      <c r="Q19" s="45" t="n">
        <f aca="false">IF(Q$4&lt;'Biaya Bulanan'!$I$40,0,IF(Q$4&lt;=3,'Biaya Bulanan'!$V$40,IF(Q$4&lt;=12,'Biaya Bulanan'!$W$40,'Biaya Bulanan'!$X$40)))*'Biaya Bulanan'!$T$40</f>
        <v>0</v>
      </c>
      <c r="R19" s="45" t="n">
        <f aca="false">IF(R$4&lt;'Biaya Bulanan'!$I$40,0,IF(R$4&lt;=3,'Biaya Bulanan'!$V$40,IF(R$4&lt;=12,'Biaya Bulanan'!$W$40,'Biaya Bulanan'!$X$40)))*'Biaya Bulanan'!$T$40</f>
        <v>0</v>
      </c>
      <c r="S19" s="45" t="n">
        <f aca="false">IF(S$4&lt;'Biaya Bulanan'!$I$40,0,IF(S$4&lt;=3,'Biaya Bulanan'!$V$40,IF(S$4&lt;=12,'Biaya Bulanan'!$W$40,'Biaya Bulanan'!$X$40)))*'Biaya Bulanan'!$T$40</f>
        <v>0</v>
      </c>
      <c r="T19" s="45" t="n">
        <f aca="false">IF(T$4&lt;'Biaya Bulanan'!$I$40,0,IF(T$4&lt;=3,'Biaya Bulanan'!$V$40,IF(T$4&lt;=12,'Biaya Bulanan'!$W$40,'Biaya Bulanan'!$X$40)))*'Biaya Bulanan'!$T$40</f>
        <v>0</v>
      </c>
      <c r="U19" s="45" t="n">
        <f aca="false">IF(U$4&lt;'Biaya Bulanan'!$I$40,0,IF(U$4&lt;=3,'Biaya Bulanan'!$V$40,IF(U$4&lt;=12,'Biaya Bulanan'!$W$40,'Biaya Bulanan'!$X$40)))*'Biaya Bulanan'!$T$40</f>
        <v>9152990</v>
      </c>
      <c r="V19" s="45" t="n">
        <f aca="false">IF(V$4&lt;'Biaya Bulanan'!$I$40,0,IF(V$4&lt;=3,'Biaya Bulanan'!$V$40,IF(V$4&lt;=12,'Biaya Bulanan'!$W$40,'Biaya Bulanan'!$X$40)))*'Biaya Bulanan'!$T$40</f>
        <v>9152990</v>
      </c>
      <c r="W19" s="45" t="n">
        <f aca="false">IF(W$4&lt;'Biaya Bulanan'!$I$40,0,IF(W$4&lt;=3,'Biaya Bulanan'!$V$40,IF(W$4&lt;=12,'Biaya Bulanan'!$W$40,'Biaya Bulanan'!$X$40)))*'Biaya Bulanan'!$T$40</f>
        <v>9152990</v>
      </c>
      <c r="X19" s="45" t="n">
        <f aca="false">IF(X$4&lt;'Biaya Bulanan'!$I$40,0,IF(X$4&lt;=3,'Biaya Bulanan'!$V$40,IF(X$4&lt;=12,'Biaya Bulanan'!$W$40,'Biaya Bulanan'!$X$40)))*'Biaya Bulanan'!$T$40</f>
        <v>9152990</v>
      </c>
      <c r="Y19" s="45" t="n">
        <f aca="false">IF(Y$4&lt;'Biaya Bulanan'!$I$40,0,IF(Y$4&lt;=3,'Biaya Bulanan'!$V$40,IF(Y$4&lt;=12,'Biaya Bulanan'!$W$40,'Biaya Bulanan'!$X$40)))*'Biaya Bulanan'!$T$40</f>
        <v>9152990</v>
      </c>
      <c r="Z19" s="45" t="n">
        <f aca="false">IF(Z$4&lt;'Biaya Bulanan'!$I$40,0,IF(Z$4&lt;=3,'Biaya Bulanan'!$V$40,IF(Z$4&lt;=12,'Biaya Bulanan'!$W$40,'Biaya Bulanan'!$X$40)))*'Biaya Bulanan'!$T$40</f>
        <v>9152990</v>
      </c>
      <c r="AA19" s="45" t="n">
        <f aca="false">IF(AA$4&lt;'Biaya Bulanan'!$I$40,0,IF(AA$4&lt;=3,'Biaya Bulanan'!$V$40,IF(AA$4&lt;=12,'Biaya Bulanan'!$W$40,'Biaya Bulanan'!$X$40)))*'Biaya Bulanan'!$T$40</f>
        <v>9152990</v>
      </c>
    </row>
    <row r="20" customFormat="false" ht="15" hidden="false" customHeight="false" outlineLevel="0" collapsed="false">
      <c r="A20" s="18" t="n">
        <v>16</v>
      </c>
      <c r="B20" s="43" t="str">
        <f aca="false">'Biaya Bulanan'!$B$41</f>
        <v>Teknologi</v>
      </c>
      <c r="C20" s="43" t="str">
        <f aca="false">'Biaya Bulanan'!$C$41</f>
        <v>Product Designer (UI/UX)</v>
      </c>
      <c r="D20" s="45" t="n">
        <f aca="false">IF(D$4&lt;'Biaya Bulanan'!$I$41,0,IF(D$4&lt;=3,'Biaya Bulanan'!$V$41,IF(D$4&lt;=12,'Biaya Bulanan'!$W$41,'Biaya Bulanan'!$X$41)))*'Biaya Bulanan'!$T$41</f>
        <v>0</v>
      </c>
      <c r="E20" s="45" t="n">
        <f aca="false">IF(E$4&lt;'Biaya Bulanan'!$I$41,0,IF(E$4&lt;=3,'Biaya Bulanan'!$V$41,IF(E$4&lt;=12,'Biaya Bulanan'!$W$41,'Biaya Bulanan'!$X$41)))*'Biaya Bulanan'!$T$41</f>
        <v>16842136</v>
      </c>
      <c r="F20" s="45" t="n">
        <f aca="false">IF(F$4&lt;'Biaya Bulanan'!$I$41,0,IF(F$4&lt;=3,'Biaya Bulanan'!$V$41,IF(F$4&lt;=12,'Biaya Bulanan'!$W$41,'Biaya Bulanan'!$X$41)))*'Biaya Bulanan'!$T$41</f>
        <v>16842136</v>
      </c>
      <c r="G20" s="45" t="n">
        <f aca="false">IF(G$4&lt;'Biaya Bulanan'!$I$41,0,IF(G$4&lt;=3,'Biaya Bulanan'!$V$41,IF(G$4&lt;=12,'Biaya Bulanan'!$W$41,'Biaya Bulanan'!$X$41)))*'Biaya Bulanan'!$T$41</f>
        <v>16842136</v>
      </c>
      <c r="H20" s="45" t="n">
        <f aca="false">IF(H$4&lt;'Biaya Bulanan'!$I$41,0,IF(H$4&lt;=3,'Biaya Bulanan'!$V$41,IF(H$4&lt;=12,'Biaya Bulanan'!$W$41,'Biaya Bulanan'!$X$41)))*'Biaya Bulanan'!$T$41</f>
        <v>16842136</v>
      </c>
      <c r="I20" s="45" t="n">
        <f aca="false">IF(I$4&lt;'Biaya Bulanan'!$I$41,0,IF(I$4&lt;=3,'Biaya Bulanan'!$V$41,IF(I$4&lt;=12,'Biaya Bulanan'!$W$41,'Biaya Bulanan'!$X$41)))*'Biaya Bulanan'!$T$41</f>
        <v>16842136</v>
      </c>
      <c r="J20" s="45" t="n">
        <f aca="false">IF(J$4&lt;'Biaya Bulanan'!$I$41,0,IF(J$4&lt;=3,'Biaya Bulanan'!$V$41,IF(J$4&lt;=12,'Biaya Bulanan'!$W$41,'Biaya Bulanan'!$X$41)))*'Biaya Bulanan'!$T$41</f>
        <v>16842136</v>
      </c>
      <c r="K20" s="45" t="n">
        <f aca="false">IF(K$4&lt;'Biaya Bulanan'!$I$41,0,IF(K$4&lt;=3,'Biaya Bulanan'!$V$41,IF(K$4&lt;=12,'Biaya Bulanan'!$W$41,'Biaya Bulanan'!$X$41)))*'Biaya Bulanan'!$T$41</f>
        <v>16842136</v>
      </c>
      <c r="L20" s="45" t="n">
        <f aca="false">IF(L$4&lt;'Biaya Bulanan'!$I$41,0,IF(L$4&lt;=3,'Biaya Bulanan'!$V$41,IF(L$4&lt;=12,'Biaya Bulanan'!$W$41,'Biaya Bulanan'!$X$41)))*'Biaya Bulanan'!$T$41</f>
        <v>16842136</v>
      </c>
      <c r="M20" s="45" t="n">
        <f aca="false">IF(M$4&lt;'Biaya Bulanan'!$I$41,0,IF(M$4&lt;=3,'Biaya Bulanan'!$V$41,IF(M$4&lt;=12,'Biaya Bulanan'!$W$41,'Biaya Bulanan'!$X$41)))*'Biaya Bulanan'!$T$41</f>
        <v>16842136</v>
      </c>
      <c r="N20" s="45" t="n">
        <f aca="false">IF(N$4&lt;'Biaya Bulanan'!$I$41,0,IF(N$4&lt;=3,'Biaya Bulanan'!$V$41,IF(N$4&lt;=12,'Biaya Bulanan'!$W$41,'Biaya Bulanan'!$X$41)))*'Biaya Bulanan'!$T$41</f>
        <v>16842136</v>
      </c>
      <c r="O20" s="45" t="n">
        <f aca="false">IF(O$4&lt;'Biaya Bulanan'!$I$41,0,IF(O$4&lt;=3,'Biaya Bulanan'!$V$41,IF(O$4&lt;=12,'Biaya Bulanan'!$W$41,'Biaya Bulanan'!$X$41)))*'Biaya Bulanan'!$T$41</f>
        <v>16842136</v>
      </c>
      <c r="P20" s="45" t="n">
        <f aca="false">IF(P$4&lt;'Biaya Bulanan'!$I$41,0,IF(P$4&lt;=3,'Biaya Bulanan'!$V$41,IF(P$4&lt;=12,'Biaya Bulanan'!$W$41,'Biaya Bulanan'!$X$41)))*'Biaya Bulanan'!$T$41</f>
        <v>16842136</v>
      </c>
      <c r="Q20" s="45" t="n">
        <f aca="false">IF(Q$4&lt;'Biaya Bulanan'!$I$41,0,IF(Q$4&lt;=3,'Biaya Bulanan'!$V$41,IF(Q$4&lt;=12,'Biaya Bulanan'!$W$41,'Biaya Bulanan'!$X$41)))*'Biaya Bulanan'!$T$41</f>
        <v>16842136</v>
      </c>
      <c r="R20" s="45" t="n">
        <f aca="false">IF(R$4&lt;'Biaya Bulanan'!$I$41,0,IF(R$4&lt;=3,'Biaya Bulanan'!$V$41,IF(R$4&lt;=12,'Biaya Bulanan'!$W$41,'Biaya Bulanan'!$X$41)))*'Biaya Bulanan'!$T$41</f>
        <v>16842136</v>
      </c>
      <c r="S20" s="45" t="n">
        <f aca="false">IF(S$4&lt;'Biaya Bulanan'!$I$41,0,IF(S$4&lt;=3,'Biaya Bulanan'!$V$41,IF(S$4&lt;=12,'Biaya Bulanan'!$W$41,'Biaya Bulanan'!$X$41)))*'Biaya Bulanan'!$T$41</f>
        <v>16842136</v>
      </c>
      <c r="T20" s="45" t="n">
        <f aca="false">IF(T$4&lt;'Biaya Bulanan'!$I$41,0,IF(T$4&lt;=3,'Biaya Bulanan'!$V$41,IF(T$4&lt;=12,'Biaya Bulanan'!$W$41,'Biaya Bulanan'!$X$41)))*'Biaya Bulanan'!$T$41</f>
        <v>16842136</v>
      </c>
      <c r="U20" s="45" t="n">
        <f aca="false">IF(U$4&lt;'Biaya Bulanan'!$I$41,0,IF(U$4&lt;=3,'Biaya Bulanan'!$V$41,IF(U$4&lt;=12,'Biaya Bulanan'!$W$41,'Biaya Bulanan'!$X$41)))*'Biaya Bulanan'!$T$41</f>
        <v>16842136</v>
      </c>
      <c r="V20" s="45" t="n">
        <f aca="false">IF(V$4&lt;'Biaya Bulanan'!$I$41,0,IF(V$4&lt;=3,'Biaya Bulanan'!$V$41,IF(V$4&lt;=12,'Biaya Bulanan'!$W$41,'Biaya Bulanan'!$X$41)))*'Biaya Bulanan'!$T$41</f>
        <v>16842136</v>
      </c>
      <c r="W20" s="45" t="n">
        <f aca="false">IF(W$4&lt;'Biaya Bulanan'!$I$41,0,IF(W$4&lt;=3,'Biaya Bulanan'!$V$41,IF(W$4&lt;=12,'Biaya Bulanan'!$W$41,'Biaya Bulanan'!$X$41)))*'Biaya Bulanan'!$T$41</f>
        <v>16842136</v>
      </c>
      <c r="X20" s="45" t="n">
        <f aca="false">IF(X$4&lt;'Biaya Bulanan'!$I$41,0,IF(X$4&lt;=3,'Biaya Bulanan'!$V$41,IF(X$4&lt;=12,'Biaya Bulanan'!$W$41,'Biaya Bulanan'!$X$41)))*'Biaya Bulanan'!$T$41</f>
        <v>16842136</v>
      </c>
      <c r="Y20" s="45" t="n">
        <f aca="false">IF(Y$4&lt;'Biaya Bulanan'!$I$41,0,IF(Y$4&lt;=3,'Biaya Bulanan'!$V$41,IF(Y$4&lt;=12,'Biaya Bulanan'!$W$41,'Biaya Bulanan'!$X$41)))*'Biaya Bulanan'!$T$41</f>
        <v>16842136</v>
      </c>
      <c r="Z20" s="45" t="n">
        <f aca="false">IF(Z$4&lt;'Biaya Bulanan'!$I$41,0,IF(Z$4&lt;=3,'Biaya Bulanan'!$V$41,IF(Z$4&lt;=12,'Biaya Bulanan'!$W$41,'Biaya Bulanan'!$X$41)))*'Biaya Bulanan'!$T$41</f>
        <v>16842136</v>
      </c>
      <c r="AA20" s="45" t="n">
        <f aca="false">IF(AA$4&lt;'Biaya Bulanan'!$I$41,0,IF(AA$4&lt;=3,'Biaya Bulanan'!$V$41,IF(AA$4&lt;=12,'Biaya Bulanan'!$W$41,'Biaya Bulanan'!$X$41)))*'Biaya Bulanan'!$T$41</f>
        <v>16842136</v>
      </c>
    </row>
    <row r="21" customFormat="false" ht="15" hidden="false" customHeight="false" outlineLevel="0" collapsed="false">
      <c r="A21" s="18" t="n">
        <v>17</v>
      </c>
      <c r="B21" s="43" t="str">
        <f aca="false">'Biaya Bulanan'!$B$42</f>
        <v>Teknologi</v>
      </c>
      <c r="C21" s="43" t="str">
        <f aca="false">'Biaya Bulanan'!$C$42</f>
        <v>Product Designer (UI/UX) - gelombang 2</v>
      </c>
      <c r="D21" s="45" t="n">
        <f aca="false">IF(D$4&lt;'Biaya Bulanan'!$I$42,0,IF(D$4&lt;=3,'Biaya Bulanan'!$V$42,IF(D$4&lt;=12,'Biaya Bulanan'!$W$42,'Biaya Bulanan'!$X$42)))*'Biaya Bulanan'!$T$42</f>
        <v>0</v>
      </c>
      <c r="E21" s="45" t="n">
        <f aca="false">IF(E$4&lt;'Biaya Bulanan'!$I$42,0,IF(E$4&lt;=3,'Biaya Bulanan'!$V$42,IF(E$4&lt;=12,'Biaya Bulanan'!$W$42,'Biaya Bulanan'!$X$42)))*'Biaya Bulanan'!$T$42</f>
        <v>0</v>
      </c>
      <c r="F21" s="45" t="n">
        <f aca="false">IF(F$4&lt;'Biaya Bulanan'!$I$42,0,IF(F$4&lt;=3,'Biaya Bulanan'!$V$42,IF(F$4&lt;=12,'Biaya Bulanan'!$W$42,'Biaya Bulanan'!$X$42)))*'Biaya Bulanan'!$T$42</f>
        <v>0</v>
      </c>
      <c r="G21" s="45" t="n">
        <f aca="false">IF(G$4&lt;'Biaya Bulanan'!$I$42,0,IF(G$4&lt;=3,'Biaya Bulanan'!$V$42,IF(G$4&lt;=12,'Biaya Bulanan'!$W$42,'Biaya Bulanan'!$X$42)))*'Biaya Bulanan'!$T$42</f>
        <v>0</v>
      </c>
      <c r="H21" s="45" t="n">
        <f aca="false">IF(H$4&lt;'Biaya Bulanan'!$I$42,0,IF(H$4&lt;=3,'Biaya Bulanan'!$V$42,IF(H$4&lt;=12,'Biaya Bulanan'!$W$42,'Biaya Bulanan'!$X$42)))*'Biaya Bulanan'!$T$42</f>
        <v>0</v>
      </c>
      <c r="I21" s="45" t="n">
        <f aca="false">IF(I$4&lt;'Biaya Bulanan'!$I$42,0,IF(I$4&lt;=3,'Biaya Bulanan'!$V$42,IF(I$4&lt;=12,'Biaya Bulanan'!$W$42,'Biaya Bulanan'!$X$42)))*'Biaya Bulanan'!$T$42</f>
        <v>0</v>
      </c>
      <c r="J21" s="45" t="n">
        <f aca="false">IF(J$4&lt;'Biaya Bulanan'!$I$42,0,IF(J$4&lt;=3,'Biaya Bulanan'!$V$42,IF(J$4&lt;=12,'Biaya Bulanan'!$W$42,'Biaya Bulanan'!$X$42)))*'Biaya Bulanan'!$T$42</f>
        <v>0</v>
      </c>
      <c r="K21" s="45" t="n">
        <f aca="false">IF(K$4&lt;'Biaya Bulanan'!$I$42,0,IF(K$4&lt;=3,'Biaya Bulanan'!$V$42,IF(K$4&lt;=12,'Biaya Bulanan'!$W$42,'Biaya Bulanan'!$X$42)))*'Biaya Bulanan'!$T$42</f>
        <v>0</v>
      </c>
      <c r="L21" s="45" t="n">
        <f aca="false">IF(L$4&lt;'Biaya Bulanan'!$I$42,0,IF(L$4&lt;=3,'Biaya Bulanan'!$V$42,IF(L$4&lt;=12,'Biaya Bulanan'!$W$42,'Biaya Bulanan'!$X$42)))*'Biaya Bulanan'!$T$42</f>
        <v>0</v>
      </c>
      <c r="M21" s="45" t="n">
        <f aca="false">IF(M$4&lt;'Biaya Bulanan'!$I$42,0,IF(M$4&lt;=3,'Biaya Bulanan'!$V$42,IF(M$4&lt;=12,'Biaya Bulanan'!$W$42,'Biaya Bulanan'!$X$42)))*'Biaya Bulanan'!$T$42</f>
        <v>0</v>
      </c>
      <c r="N21" s="45" t="n">
        <f aca="false">IF(N$4&lt;'Biaya Bulanan'!$I$42,0,IF(N$4&lt;=3,'Biaya Bulanan'!$V$42,IF(N$4&lt;=12,'Biaya Bulanan'!$W$42,'Biaya Bulanan'!$X$42)))*'Biaya Bulanan'!$T$42</f>
        <v>0</v>
      </c>
      <c r="O21" s="45" t="n">
        <f aca="false">IF(O$4&lt;'Biaya Bulanan'!$I$42,0,IF(O$4&lt;=3,'Biaya Bulanan'!$V$42,IF(O$4&lt;=12,'Biaya Bulanan'!$W$42,'Biaya Bulanan'!$X$42)))*'Biaya Bulanan'!$T$42</f>
        <v>0</v>
      </c>
      <c r="P21" s="45" t="n">
        <f aca="false">IF(P$4&lt;'Biaya Bulanan'!$I$42,0,IF(P$4&lt;=3,'Biaya Bulanan'!$V$42,IF(P$4&lt;=12,'Biaya Bulanan'!$W$42,'Biaya Bulanan'!$X$42)))*'Biaya Bulanan'!$T$42</f>
        <v>0</v>
      </c>
      <c r="Q21" s="45" t="n">
        <f aca="false">IF(Q$4&lt;'Biaya Bulanan'!$I$42,0,IF(Q$4&lt;=3,'Biaya Bulanan'!$V$42,IF(Q$4&lt;=12,'Biaya Bulanan'!$W$42,'Biaya Bulanan'!$X$42)))*'Biaya Bulanan'!$T$42</f>
        <v>0</v>
      </c>
      <c r="R21" s="45" t="n">
        <f aca="false">IF(R$4&lt;'Biaya Bulanan'!$I$42,0,IF(R$4&lt;=3,'Biaya Bulanan'!$V$42,IF(R$4&lt;=12,'Biaya Bulanan'!$W$42,'Biaya Bulanan'!$X$42)))*'Biaya Bulanan'!$T$42</f>
        <v>0</v>
      </c>
      <c r="S21" s="45" t="n">
        <f aca="false">IF(S$4&lt;'Biaya Bulanan'!$I$42,0,IF(S$4&lt;=3,'Biaya Bulanan'!$V$42,IF(S$4&lt;=12,'Biaya Bulanan'!$W$42,'Biaya Bulanan'!$X$42)))*'Biaya Bulanan'!$T$42</f>
        <v>0</v>
      </c>
      <c r="T21" s="45" t="n">
        <f aca="false">IF(T$4&lt;'Biaya Bulanan'!$I$42,0,IF(T$4&lt;=3,'Biaya Bulanan'!$V$42,IF(T$4&lt;=12,'Biaya Bulanan'!$W$42,'Biaya Bulanan'!$X$42)))*'Biaya Bulanan'!$T$42</f>
        <v>16842136</v>
      </c>
      <c r="U21" s="45" t="n">
        <f aca="false">IF(U$4&lt;'Biaya Bulanan'!$I$42,0,IF(U$4&lt;=3,'Biaya Bulanan'!$V$42,IF(U$4&lt;=12,'Biaya Bulanan'!$W$42,'Biaya Bulanan'!$X$42)))*'Biaya Bulanan'!$T$42</f>
        <v>16842136</v>
      </c>
      <c r="V21" s="45" t="n">
        <f aca="false">IF(V$4&lt;'Biaya Bulanan'!$I$42,0,IF(V$4&lt;=3,'Biaya Bulanan'!$V$42,IF(V$4&lt;=12,'Biaya Bulanan'!$W$42,'Biaya Bulanan'!$X$42)))*'Biaya Bulanan'!$T$42</f>
        <v>16842136</v>
      </c>
      <c r="W21" s="45" t="n">
        <f aca="false">IF(W$4&lt;'Biaya Bulanan'!$I$42,0,IF(W$4&lt;=3,'Biaya Bulanan'!$V$42,IF(W$4&lt;=12,'Biaya Bulanan'!$W$42,'Biaya Bulanan'!$X$42)))*'Biaya Bulanan'!$T$42</f>
        <v>16842136</v>
      </c>
      <c r="X21" s="45" t="n">
        <f aca="false">IF(X$4&lt;'Biaya Bulanan'!$I$42,0,IF(X$4&lt;=3,'Biaya Bulanan'!$V$42,IF(X$4&lt;=12,'Biaya Bulanan'!$W$42,'Biaya Bulanan'!$X$42)))*'Biaya Bulanan'!$T$42</f>
        <v>16842136</v>
      </c>
      <c r="Y21" s="45" t="n">
        <f aca="false">IF(Y$4&lt;'Biaya Bulanan'!$I$42,0,IF(Y$4&lt;=3,'Biaya Bulanan'!$V$42,IF(Y$4&lt;=12,'Biaya Bulanan'!$W$42,'Biaya Bulanan'!$X$42)))*'Biaya Bulanan'!$T$42</f>
        <v>16842136</v>
      </c>
      <c r="Z21" s="45" t="n">
        <f aca="false">IF(Z$4&lt;'Biaya Bulanan'!$I$42,0,IF(Z$4&lt;=3,'Biaya Bulanan'!$V$42,IF(Z$4&lt;=12,'Biaya Bulanan'!$W$42,'Biaya Bulanan'!$X$42)))*'Biaya Bulanan'!$T$42</f>
        <v>16842136</v>
      </c>
      <c r="AA21" s="45" t="n">
        <f aca="false">IF(AA$4&lt;'Biaya Bulanan'!$I$42,0,IF(AA$4&lt;=3,'Biaya Bulanan'!$V$42,IF(AA$4&lt;=12,'Biaya Bulanan'!$W$42,'Biaya Bulanan'!$X$42)))*'Biaya Bulanan'!$T$42</f>
        <v>16842136</v>
      </c>
    </row>
    <row r="22" customFormat="false" ht="15" hidden="false" customHeight="false" outlineLevel="0" collapsed="false">
      <c r="A22" s="18" t="n">
        <v>18</v>
      </c>
      <c r="B22" s="43" t="str">
        <f aca="false">'Biaya Bulanan'!$B$43</f>
        <v>Teknologi</v>
      </c>
      <c r="C22" s="43" t="str">
        <f aca="false">'Biaya Bulanan'!$C$43</f>
        <v>Data Analyst</v>
      </c>
      <c r="D22" s="45" t="n">
        <f aca="false">IF(D$4&lt;'Biaya Bulanan'!$I$43,0,IF(D$4&lt;=3,'Biaya Bulanan'!$V$43,IF(D$4&lt;=12,'Biaya Bulanan'!$W$43,'Biaya Bulanan'!$X$43)))*'Biaya Bulanan'!$T$43</f>
        <v>0</v>
      </c>
      <c r="E22" s="45" t="n">
        <f aca="false">IF(E$4&lt;'Biaya Bulanan'!$I$43,0,IF(E$4&lt;=3,'Biaya Bulanan'!$V$43,IF(E$4&lt;=12,'Biaya Bulanan'!$W$43,'Biaya Bulanan'!$X$43)))*'Biaya Bulanan'!$T$43</f>
        <v>0</v>
      </c>
      <c r="F22" s="45" t="n">
        <f aca="false">IF(F$4&lt;'Biaya Bulanan'!$I$43,0,IF(F$4&lt;=3,'Biaya Bulanan'!$V$43,IF(F$4&lt;=12,'Biaya Bulanan'!$W$43,'Biaya Bulanan'!$X$43)))*'Biaya Bulanan'!$T$43</f>
        <v>0</v>
      </c>
      <c r="G22" s="45" t="n">
        <f aca="false">IF(G$4&lt;'Biaya Bulanan'!$I$43,0,IF(G$4&lt;=3,'Biaya Bulanan'!$V$43,IF(G$4&lt;=12,'Biaya Bulanan'!$W$43,'Biaya Bulanan'!$X$43)))*'Biaya Bulanan'!$T$43</f>
        <v>0</v>
      </c>
      <c r="H22" s="45" t="n">
        <f aca="false">IF(H$4&lt;'Biaya Bulanan'!$I$43,0,IF(H$4&lt;=3,'Biaya Bulanan'!$V$43,IF(H$4&lt;=12,'Biaya Bulanan'!$W$43,'Biaya Bulanan'!$X$43)))*'Biaya Bulanan'!$T$43</f>
        <v>0</v>
      </c>
      <c r="I22" s="45" t="n">
        <f aca="false">IF(I$4&lt;'Biaya Bulanan'!$I$43,0,IF(I$4&lt;=3,'Biaya Bulanan'!$V$43,IF(I$4&lt;=12,'Biaya Bulanan'!$W$43,'Biaya Bulanan'!$X$43)))*'Biaya Bulanan'!$T$43</f>
        <v>0</v>
      </c>
      <c r="J22" s="45" t="n">
        <f aca="false">IF(J$4&lt;'Biaya Bulanan'!$I$43,0,IF(J$4&lt;=3,'Biaya Bulanan'!$V$43,IF(J$4&lt;=12,'Biaya Bulanan'!$W$43,'Biaya Bulanan'!$X$43)))*'Biaya Bulanan'!$T$43</f>
        <v>0</v>
      </c>
      <c r="K22" s="45" t="n">
        <f aca="false">IF(K$4&lt;'Biaya Bulanan'!$I$43,0,IF(K$4&lt;=3,'Biaya Bulanan'!$V$43,IF(K$4&lt;=12,'Biaya Bulanan'!$W$43,'Biaya Bulanan'!$X$43)))*'Biaya Bulanan'!$T$43</f>
        <v>0</v>
      </c>
      <c r="L22" s="45" t="n">
        <f aca="false">IF(L$4&lt;'Biaya Bulanan'!$I$43,0,IF(L$4&lt;=3,'Biaya Bulanan'!$V$43,IF(L$4&lt;=12,'Biaya Bulanan'!$W$43,'Biaya Bulanan'!$X$43)))*'Biaya Bulanan'!$T$43</f>
        <v>0</v>
      </c>
      <c r="M22" s="45" t="n">
        <f aca="false">IF(M$4&lt;'Biaya Bulanan'!$I$43,0,IF(M$4&lt;=3,'Biaya Bulanan'!$V$43,IF(M$4&lt;=12,'Biaya Bulanan'!$W$43,'Biaya Bulanan'!$X$43)))*'Biaya Bulanan'!$T$43</f>
        <v>0</v>
      </c>
      <c r="N22" s="45" t="n">
        <f aca="false">IF(N$4&lt;'Biaya Bulanan'!$I$43,0,IF(N$4&lt;=3,'Biaya Bulanan'!$V$43,IF(N$4&lt;=12,'Biaya Bulanan'!$W$43,'Biaya Bulanan'!$X$43)))*'Biaya Bulanan'!$T$43</f>
        <v>0</v>
      </c>
      <c r="O22" s="45" t="n">
        <f aca="false">IF(O$4&lt;'Biaya Bulanan'!$I$43,0,IF(O$4&lt;=3,'Biaya Bulanan'!$V$43,IF(O$4&lt;=12,'Biaya Bulanan'!$W$43,'Biaya Bulanan'!$X$43)))*'Biaya Bulanan'!$T$43</f>
        <v>0</v>
      </c>
      <c r="P22" s="45" t="n">
        <f aca="false">IF(P$4&lt;'Biaya Bulanan'!$I$43,0,IF(P$4&lt;=3,'Biaya Bulanan'!$V$43,IF(P$4&lt;=12,'Biaya Bulanan'!$W$43,'Biaya Bulanan'!$X$43)))*'Biaya Bulanan'!$T$43</f>
        <v>14979781</v>
      </c>
      <c r="Q22" s="45" t="n">
        <f aca="false">IF(Q$4&lt;'Biaya Bulanan'!$I$43,0,IF(Q$4&lt;=3,'Biaya Bulanan'!$V$43,IF(Q$4&lt;=12,'Biaya Bulanan'!$W$43,'Biaya Bulanan'!$X$43)))*'Biaya Bulanan'!$T$43</f>
        <v>14979781</v>
      </c>
      <c r="R22" s="45" t="n">
        <f aca="false">IF(R$4&lt;'Biaya Bulanan'!$I$43,0,IF(R$4&lt;=3,'Biaya Bulanan'!$V$43,IF(R$4&lt;=12,'Biaya Bulanan'!$W$43,'Biaya Bulanan'!$X$43)))*'Biaya Bulanan'!$T$43</f>
        <v>14979781</v>
      </c>
      <c r="S22" s="45" t="n">
        <f aca="false">IF(S$4&lt;'Biaya Bulanan'!$I$43,0,IF(S$4&lt;=3,'Biaya Bulanan'!$V$43,IF(S$4&lt;=12,'Biaya Bulanan'!$W$43,'Biaya Bulanan'!$X$43)))*'Biaya Bulanan'!$T$43</f>
        <v>14979781</v>
      </c>
      <c r="T22" s="45" t="n">
        <f aca="false">IF(T$4&lt;'Biaya Bulanan'!$I$43,0,IF(T$4&lt;=3,'Biaya Bulanan'!$V$43,IF(T$4&lt;=12,'Biaya Bulanan'!$W$43,'Biaya Bulanan'!$X$43)))*'Biaya Bulanan'!$T$43</f>
        <v>14979781</v>
      </c>
      <c r="U22" s="45" t="n">
        <f aca="false">IF(U$4&lt;'Biaya Bulanan'!$I$43,0,IF(U$4&lt;=3,'Biaya Bulanan'!$V$43,IF(U$4&lt;=12,'Biaya Bulanan'!$W$43,'Biaya Bulanan'!$X$43)))*'Biaya Bulanan'!$T$43</f>
        <v>14979781</v>
      </c>
      <c r="V22" s="45" t="n">
        <f aca="false">IF(V$4&lt;'Biaya Bulanan'!$I$43,0,IF(V$4&lt;=3,'Biaya Bulanan'!$V$43,IF(V$4&lt;=12,'Biaya Bulanan'!$W$43,'Biaya Bulanan'!$X$43)))*'Biaya Bulanan'!$T$43</f>
        <v>14979781</v>
      </c>
      <c r="W22" s="45" t="n">
        <f aca="false">IF(W$4&lt;'Biaya Bulanan'!$I$43,0,IF(W$4&lt;=3,'Biaya Bulanan'!$V$43,IF(W$4&lt;=12,'Biaya Bulanan'!$W$43,'Biaya Bulanan'!$X$43)))*'Biaya Bulanan'!$T$43</f>
        <v>14979781</v>
      </c>
      <c r="X22" s="45" t="n">
        <f aca="false">IF(X$4&lt;'Biaya Bulanan'!$I$43,0,IF(X$4&lt;=3,'Biaya Bulanan'!$V$43,IF(X$4&lt;=12,'Biaya Bulanan'!$W$43,'Biaya Bulanan'!$X$43)))*'Biaya Bulanan'!$T$43</f>
        <v>14979781</v>
      </c>
      <c r="Y22" s="45" t="n">
        <f aca="false">IF(Y$4&lt;'Biaya Bulanan'!$I$43,0,IF(Y$4&lt;=3,'Biaya Bulanan'!$V$43,IF(Y$4&lt;=12,'Biaya Bulanan'!$W$43,'Biaya Bulanan'!$X$43)))*'Biaya Bulanan'!$T$43</f>
        <v>14979781</v>
      </c>
      <c r="Z22" s="45" t="n">
        <f aca="false">IF(Z$4&lt;'Biaya Bulanan'!$I$43,0,IF(Z$4&lt;=3,'Biaya Bulanan'!$V$43,IF(Z$4&lt;=12,'Biaya Bulanan'!$W$43,'Biaya Bulanan'!$X$43)))*'Biaya Bulanan'!$T$43</f>
        <v>14979781</v>
      </c>
      <c r="AA22" s="45" t="n">
        <f aca="false">IF(AA$4&lt;'Biaya Bulanan'!$I$43,0,IF(AA$4&lt;=3,'Biaya Bulanan'!$V$43,IF(AA$4&lt;=12,'Biaya Bulanan'!$W$43,'Biaya Bulanan'!$X$43)))*'Biaya Bulanan'!$T$43</f>
        <v>14979781</v>
      </c>
    </row>
    <row r="23" customFormat="false" ht="15" hidden="false" customHeight="false" outlineLevel="0" collapsed="false">
      <c r="A23" s="18" t="n">
        <v>19</v>
      </c>
      <c r="B23" s="43" t="str">
        <f aca="false">'Biaya Bulanan'!$B$44</f>
        <v>Operasi</v>
      </c>
      <c r="C23" s="43" t="str">
        <f aca="false">'Biaya Bulanan'!$C$44</f>
        <v>Direktur Operasi (COO)</v>
      </c>
      <c r="D23" s="45" t="n">
        <f aca="false">IF(D$4&lt;'Biaya Bulanan'!$I$44,0,IF(D$4&lt;=3,'Biaya Bulanan'!$V$44,IF(D$4&lt;=12,'Biaya Bulanan'!$W$44,'Biaya Bulanan'!$X$44)))*'Biaya Bulanan'!$T$44</f>
        <v>25533126</v>
      </c>
      <c r="E23" s="45" t="n">
        <f aca="false">IF(E$4&lt;'Biaya Bulanan'!$I$44,0,IF(E$4&lt;=3,'Biaya Bulanan'!$V$44,IF(E$4&lt;=12,'Biaya Bulanan'!$W$44,'Biaya Bulanan'!$X$44)))*'Biaya Bulanan'!$T$44</f>
        <v>25533126</v>
      </c>
      <c r="F23" s="45" t="n">
        <f aca="false">IF(F$4&lt;'Biaya Bulanan'!$I$44,0,IF(F$4&lt;=3,'Biaya Bulanan'!$V$44,IF(F$4&lt;=12,'Biaya Bulanan'!$W$44,'Biaya Bulanan'!$X$44)))*'Biaya Bulanan'!$T$44</f>
        <v>25533126</v>
      </c>
      <c r="G23" s="45" t="n">
        <f aca="false">IF(G$4&lt;'Biaya Bulanan'!$I$44,0,IF(G$4&lt;=3,'Biaya Bulanan'!$V$44,IF(G$4&lt;=12,'Biaya Bulanan'!$W$44,'Biaya Bulanan'!$X$44)))*'Biaya Bulanan'!$T$44</f>
        <v>25533126</v>
      </c>
      <c r="H23" s="45" t="n">
        <f aca="false">IF(H$4&lt;'Biaya Bulanan'!$I$44,0,IF(H$4&lt;=3,'Biaya Bulanan'!$V$44,IF(H$4&lt;=12,'Biaya Bulanan'!$W$44,'Biaya Bulanan'!$X$44)))*'Biaya Bulanan'!$T$44</f>
        <v>25533126</v>
      </c>
      <c r="I23" s="45" t="n">
        <f aca="false">IF(I$4&lt;'Biaya Bulanan'!$I$44,0,IF(I$4&lt;=3,'Biaya Bulanan'!$V$44,IF(I$4&lt;=12,'Biaya Bulanan'!$W$44,'Biaya Bulanan'!$X$44)))*'Biaya Bulanan'!$T$44</f>
        <v>25533126</v>
      </c>
      <c r="J23" s="45" t="n">
        <f aca="false">IF(J$4&lt;'Biaya Bulanan'!$I$44,0,IF(J$4&lt;=3,'Biaya Bulanan'!$V$44,IF(J$4&lt;=12,'Biaya Bulanan'!$W$44,'Biaya Bulanan'!$X$44)))*'Biaya Bulanan'!$T$44</f>
        <v>25533126</v>
      </c>
      <c r="K23" s="45" t="n">
        <f aca="false">IF(K$4&lt;'Biaya Bulanan'!$I$44,0,IF(K$4&lt;=3,'Biaya Bulanan'!$V$44,IF(K$4&lt;=12,'Biaya Bulanan'!$W$44,'Biaya Bulanan'!$X$44)))*'Biaya Bulanan'!$T$44</f>
        <v>25533126</v>
      </c>
      <c r="L23" s="45" t="n">
        <f aca="false">IF(L$4&lt;'Biaya Bulanan'!$I$44,0,IF(L$4&lt;=3,'Biaya Bulanan'!$V$44,IF(L$4&lt;=12,'Biaya Bulanan'!$W$44,'Biaya Bulanan'!$X$44)))*'Biaya Bulanan'!$T$44</f>
        <v>25533126</v>
      </c>
      <c r="M23" s="45" t="n">
        <f aca="false">IF(M$4&lt;'Biaya Bulanan'!$I$44,0,IF(M$4&lt;=3,'Biaya Bulanan'!$V$44,IF(M$4&lt;=12,'Biaya Bulanan'!$W$44,'Biaya Bulanan'!$X$44)))*'Biaya Bulanan'!$T$44</f>
        <v>25533126</v>
      </c>
      <c r="N23" s="45" t="n">
        <f aca="false">IF(N$4&lt;'Biaya Bulanan'!$I$44,0,IF(N$4&lt;=3,'Biaya Bulanan'!$V$44,IF(N$4&lt;=12,'Biaya Bulanan'!$W$44,'Biaya Bulanan'!$X$44)))*'Biaya Bulanan'!$T$44</f>
        <v>25533126</v>
      </c>
      <c r="O23" s="45" t="n">
        <f aca="false">IF(O$4&lt;'Biaya Bulanan'!$I$44,0,IF(O$4&lt;=3,'Biaya Bulanan'!$V$44,IF(O$4&lt;=12,'Biaya Bulanan'!$W$44,'Biaya Bulanan'!$X$44)))*'Biaya Bulanan'!$T$44</f>
        <v>25533126</v>
      </c>
      <c r="P23" s="45" t="n">
        <f aca="false">IF(P$4&lt;'Biaya Bulanan'!$I$44,0,IF(P$4&lt;=3,'Biaya Bulanan'!$V$44,IF(P$4&lt;=12,'Biaya Bulanan'!$W$44,'Biaya Bulanan'!$X$44)))*'Biaya Bulanan'!$T$44</f>
        <v>25533126</v>
      </c>
      <c r="Q23" s="45" t="n">
        <f aca="false">IF(Q$4&lt;'Biaya Bulanan'!$I$44,0,IF(Q$4&lt;=3,'Biaya Bulanan'!$V$44,IF(Q$4&lt;=12,'Biaya Bulanan'!$W$44,'Biaya Bulanan'!$X$44)))*'Biaya Bulanan'!$T$44</f>
        <v>25533126</v>
      </c>
      <c r="R23" s="45" t="n">
        <f aca="false">IF(R$4&lt;'Biaya Bulanan'!$I$44,0,IF(R$4&lt;=3,'Biaya Bulanan'!$V$44,IF(R$4&lt;=12,'Biaya Bulanan'!$W$44,'Biaya Bulanan'!$X$44)))*'Biaya Bulanan'!$T$44</f>
        <v>25533126</v>
      </c>
      <c r="S23" s="45" t="n">
        <f aca="false">IF(S$4&lt;'Biaya Bulanan'!$I$44,0,IF(S$4&lt;=3,'Biaya Bulanan'!$V$44,IF(S$4&lt;=12,'Biaya Bulanan'!$W$44,'Biaya Bulanan'!$X$44)))*'Biaya Bulanan'!$T$44</f>
        <v>25533126</v>
      </c>
      <c r="T23" s="45" t="n">
        <f aca="false">IF(T$4&lt;'Biaya Bulanan'!$I$44,0,IF(T$4&lt;=3,'Biaya Bulanan'!$V$44,IF(T$4&lt;=12,'Biaya Bulanan'!$W$44,'Biaya Bulanan'!$X$44)))*'Biaya Bulanan'!$T$44</f>
        <v>25533126</v>
      </c>
      <c r="U23" s="45" t="n">
        <f aca="false">IF(U$4&lt;'Biaya Bulanan'!$I$44,0,IF(U$4&lt;=3,'Biaya Bulanan'!$V$44,IF(U$4&lt;=12,'Biaya Bulanan'!$W$44,'Biaya Bulanan'!$X$44)))*'Biaya Bulanan'!$T$44</f>
        <v>25533126</v>
      </c>
      <c r="V23" s="45" t="n">
        <f aca="false">IF(V$4&lt;'Biaya Bulanan'!$I$44,0,IF(V$4&lt;=3,'Biaya Bulanan'!$V$44,IF(V$4&lt;=12,'Biaya Bulanan'!$W$44,'Biaya Bulanan'!$X$44)))*'Biaya Bulanan'!$T$44</f>
        <v>25533126</v>
      </c>
      <c r="W23" s="45" t="n">
        <f aca="false">IF(W$4&lt;'Biaya Bulanan'!$I$44,0,IF(W$4&lt;=3,'Biaya Bulanan'!$V$44,IF(W$4&lt;=12,'Biaya Bulanan'!$W$44,'Biaya Bulanan'!$X$44)))*'Biaya Bulanan'!$T$44</f>
        <v>25533126</v>
      </c>
      <c r="X23" s="45" t="n">
        <f aca="false">IF(X$4&lt;'Biaya Bulanan'!$I$44,0,IF(X$4&lt;=3,'Biaya Bulanan'!$V$44,IF(X$4&lt;=12,'Biaya Bulanan'!$W$44,'Biaya Bulanan'!$X$44)))*'Biaya Bulanan'!$T$44</f>
        <v>25533126</v>
      </c>
      <c r="Y23" s="45" t="n">
        <f aca="false">IF(Y$4&lt;'Biaya Bulanan'!$I$44,0,IF(Y$4&lt;=3,'Biaya Bulanan'!$V$44,IF(Y$4&lt;=12,'Biaya Bulanan'!$W$44,'Biaya Bulanan'!$X$44)))*'Biaya Bulanan'!$T$44</f>
        <v>25533126</v>
      </c>
      <c r="Z23" s="45" t="n">
        <f aca="false">IF(Z$4&lt;'Biaya Bulanan'!$I$44,0,IF(Z$4&lt;=3,'Biaya Bulanan'!$V$44,IF(Z$4&lt;=12,'Biaya Bulanan'!$W$44,'Biaya Bulanan'!$X$44)))*'Biaya Bulanan'!$T$44</f>
        <v>25533126</v>
      </c>
      <c r="AA23" s="45" t="n">
        <f aca="false">IF(AA$4&lt;'Biaya Bulanan'!$I$44,0,IF(AA$4&lt;=3,'Biaya Bulanan'!$V$44,IF(AA$4&lt;=12,'Biaya Bulanan'!$W$44,'Biaya Bulanan'!$X$44)))*'Biaya Bulanan'!$T$44</f>
        <v>25533126</v>
      </c>
    </row>
    <row r="24" customFormat="false" ht="15" hidden="false" customHeight="false" outlineLevel="0" collapsed="false">
      <c r="A24" s="18" t="n">
        <v>20</v>
      </c>
      <c r="B24" s="43" t="str">
        <f aca="false">'Biaya Bulanan'!$B$45</f>
        <v>Operasi</v>
      </c>
      <c r="C24" s="43" t="str">
        <f aca="false">'Biaya Bulanan'!$C$45</f>
        <v>City Manager Pekanbaru</v>
      </c>
      <c r="D24" s="45" t="n">
        <f aca="false">IF(D$4&lt;'Biaya Bulanan'!$I$45,0,IF(D$4&lt;=3,'Biaya Bulanan'!$V$45,IF(D$4&lt;=12,'Biaya Bulanan'!$W$45,'Biaya Bulanan'!$X$45)))*'Biaya Bulanan'!$T$45</f>
        <v>0</v>
      </c>
      <c r="E24" s="45" t="n">
        <f aca="false">IF(E$4&lt;'Biaya Bulanan'!$I$45,0,IF(E$4&lt;=3,'Biaya Bulanan'!$V$45,IF(E$4&lt;=12,'Biaya Bulanan'!$W$45,'Biaya Bulanan'!$X$45)))*'Biaya Bulanan'!$T$45</f>
        <v>18137606</v>
      </c>
      <c r="F24" s="45" t="n">
        <f aca="false">IF(F$4&lt;'Biaya Bulanan'!$I$45,0,IF(F$4&lt;=3,'Biaya Bulanan'!$V$45,IF(F$4&lt;=12,'Biaya Bulanan'!$W$45,'Biaya Bulanan'!$X$45)))*'Biaya Bulanan'!$T$45</f>
        <v>18137606</v>
      </c>
      <c r="G24" s="45" t="n">
        <f aca="false">IF(G$4&lt;'Biaya Bulanan'!$I$45,0,IF(G$4&lt;=3,'Biaya Bulanan'!$V$45,IF(G$4&lt;=12,'Biaya Bulanan'!$W$45,'Biaya Bulanan'!$X$45)))*'Biaya Bulanan'!$T$45</f>
        <v>18137606</v>
      </c>
      <c r="H24" s="45" t="n">
        <f aca="false">IF(H$4&lt;'Biaya Bulanan'!$I$45,0,IF(H$4&lt;=3,'Biaya Bulanan'!$V$45,IF(H$4&lt;=12,'Biaya Bulanan'!$W$45,'Biaya Bulanan'!$X$45)))*'Biaya Bulanan'!$T$45</f>
        <v>18137606</v>
      </c>
      <c r="I24" s="45" t="n">
        <f aca="false">IF(I$4&lt;'Biaya Bulanan'!$I$45,0,IF(I$4&lt;=3,'Biaya Bulanan'!$V$45,IF(I$4&lt;=12,'Biaya Bulanan'!$W$45,'Biaya Bulanan'!$X$45)))*'Biaya Bulanan'!$T$45</f>
        <v>18137606</v>
      </c>
      <c r="J24" s="45" t="n">
        <f aca="false">IF(J$4&lt;'Biaya Bulanan'!$I$45,0,IF(J$4&lt;=3,'Biaya Bulanan'!$V$45,IF(J$4&lt;=12,'Biaya Bulanan'!$W$45,'Biaya Bulanan'!$X$45)))*'Biaya Bulanan'!$T$45</f>
        <v>18137606</v>
      </c>
      <c r="K24" s="45" t="n">
        <f aca="false">IF(K$4&lt;'Biaya Bulanan'!$I$45,0,IF(K$4&lt;=3,'Biaya Bulanan'!$V$45,IF(K$4&lt;=12,'Biaya Bulanan'!$W$45,'Biaya Bulanan'!$X$45)))*'Biaya Bulanan'!$T$45</f>
        <v>18137606</v>
      </c>
      <c r="L24" s="45" t="n">
        <f aca="false">IF(L$4&lt;'Biaya Bulanan'!$I$45,0,IF(L$4&lt;=3,'Biaya Bulanan'!$V$45,IF(L$4&lt;=12,'Biaya Bulanan'!$W$45,'Biaya Bulanan'!$X$45)))*'Biaya Bulanan'!$T$45</f>
        <v>18137606</v>
      </c>
      <c r="M24" s="45" t="n">
        <f aca="false">IF(M$4&lt;'Biaya Bulanan'!$I$45,0,IF(M$4&lt;=3,'Biaya Bulanan'!$V$45,IF(M$4&lt;=12,'Biaya Bulanan'!$W$45,'Biaya Bulanan'!$X$45)))*'Biaya Bulanan'!$T$45</f>
        <v>18137606</v>
      </c>
      <c r="N24" s="45" t="n">
        <f aca="false">IF(N$4&lt;'Biaya Bulanan'!$I$45,0,IF(N$4&lt;=3,'Biaya Bulanan'!$V$45,IF(N$4&lt;=12,'Biaya Bulanan'!$W$45,'Biaya Bulanan'!$X$45)))*'Biaya Bulanan'!$T$45</f>
        <v>18137606</v>
      </c>
      <c r="O24" s="45" t="n">
        <f aca="false">IF(O$4&lt;'Biaya Bulanan'!$I$45,0,IF(O$4&lt;=3,'Biaya Bulanan'!$V$45,IF(O$4&lt;=12,'Biaya Bulanan'!$W$45,'Biaya Bulanan'!$X$45)))*'Biaya Bulanan'!$T$45</f>
        <v>18137606</v>
      </c>
      <c r="P24" s="45" t="n">
        <f aca="false">IF(P$4&lt;'Biaya Bulanan'!$I$45,0,IF(P$4&lt;=3,'Biaya Bulanan'!$V$45,IF(P$4&lt;=12,'Biaya Bulanan'!$W$45,'Biaya Bulanan'!$X$45)))*'Biaya Bulanan'!$T$45</f>
        <v>18137606</v>
      </c>
      <c r="Q24" s="45" t="n">
        <f aca="false">IF(Q$4&lt;'Biaya Bulanan'!$I$45,0,IF(Q$4&lt;=3,'Biaya Bulanan'!$V$45,IF(Q$4&lt;=12,'Biaya Bulanan'!$W$45,'Biaya Bulanan'!$X$45)))*'Biaya Bulanan'!$T$45</f>
        <v>18137606</v>
      </c>
      <c r="R24" s="45" t="n">
        <f aca="false">IF(R$4&lt;'Biaya Bulanan'!$I$45,0,IF(R$4&lt;=3,'Biaya Bulanan'!$V$45,IF(R$4&lt;=12,'Biaya Bulanan'!$W$45,'Biaya Bulanan'!$X$45)))*'Biaya Bulanan'!$T$45</f>
        <v>18137606</v>
      </c>
      <c r="S24" s="45" t="n">
        <f aca="false">IF(S$4&lt;'Biaya Bulanan'!$I$45,0,IF(S$4&lt;=3,'Biaya Bulanan'!$V$45,IF(S$4&lt;=12,'Biaya Bulanan'!$W$45,'Biaya Bulanan'!$X$45)))*'Biaya Bulanan'!$T$45</f>
        <v>18137606</v>
      </c>
      <c r="T24" s="45" t="n">
        <f aca="false">IF(T$4&lt;'Biaya Bulanan'!$I$45,0,IF(T$4&lt;=3,'Biaya Bulanan'!$V$45,IF(T$4&lt;=12,'Biaya Bulanan'!$W$45,'Biaya Bulanan'!$X$45)))*'Biaya Bulanan'!$T$45</f>
        <v>18137606</v>
      </c>
      <c r="U24" s="45" t="n">
        <f aca="false">IF(U$4&lt;'Biaya Bulanan'!$I$45,0,IF(U$4&lt;=3,'Biaya Bulanan'!$V$45,IF(U$4&lt;=12,'Biaya Bulanan'!$W$45,'Biaya Bulanan'!$X$45)))*'Biaya Bulanan'!$T$45</f>
        <v>18137606</v>
      </c>
      <c r="V24" s="45" t="n">
        <f aca="false">IF(V$4&lt;'Biaya Bulanan'!$I$45,0,IF(V$4&lt;=3,'Biaya Bulanan'!$V$45,IF(V$4&lt;=12,'Biaya Bulanan'!$W$45,'Biaya Bulanan'!$X$45)))*'Biaya Bulanan'!$T$45</f>
        <v>18137606</v>
      </c>
      <c r="W24" s="45" t="n">
        <f aca="false">IF(W$4&lt;'Biaya Bulanan'!$I$45,0,IF(W$4&lt;=3,'Biaya Bulanan'!$V$45,IF(W$4&lt;=12,'Biaya Bulanan'!$W$45,'Biaya Bulanan'!$X$45)))*'Biaya Bulanan'!$T$45</f>
        <v>18137606</v>
      </c>
      <c r="X24" s="45" t="n">
        <f aca="false">IF(X$4&lt;'Biaya Bulanan'!$I$45,0,IF(X$4&lt;=3,'Biaya Bulanan'!$V$45,IF(X$4&lt;=12,'Biaya Bulanan'!$W$45,'Biaya Bulanan'!$X$45)))*'Biaya Bulanan'!$T$45</f>
        <v>18137606</v>
      </c>
      <c r="Y24" s="45" t="n">
        <f aca="false">IF(Y$4&lt;'Biaya Bulanan'!$I$45,0,IF(Y$4&lt;=3,'Biaya Bulanan'!$V$45,IF(Y$4&lt;=12,'Biaya Bulanan'!$W$45,'Biaya Bulanan'!$X$45)))*'Biaya Bulanan'!$T$45</f>
        <v>18137606</v>
      </c>
      <c r="Z24" s="45" t="n">
        <f aca="false">IF(Z$4&lt;'Biaya Bulanan'!$I$45,0,IF(Z$4&lt;=3,'Biaya Bulanan'!$V$45,IF(Z$4&lt;=12,'Biaya Bulanan'!$W$45,'Biaya Bulanan'!$X$45)))*'Biaya Bulanan'!$T$45</f>
        <v>18137606</v>
      </c>
      <c r="AA24" s="45" t="n">
        <f aca="false">IF(AA$4&lt;'Biaya Bulanan'!$I$45,0,IF(AA$4&lt;=3,'Biaya Bulanan'!$V$45,IF(AA$4&lt;=12,'Biaya Bulanan'!$W$45,'Biaya Bulanan'!$X$45)))*'Biaya Bulanan'!$T$45</f>
        <v>18137606</v>
      </c>
    </row>
    <row r="25" customFormat="false" ht="15" hidden="false" customHeight="false" outlineLevel="0" collapsed="false">
      <c r="A25" s="18" t="n">
        <v>21</v>
      </c>
      <c r="B25" s="43" t="str">
        <f aca="false">'Biaya Bulanan'!$B$46</f>
        <v>Operasi</v>
      </c>
      <c r="C25" s="43" t="str">
        <f aca="false">'Biaya Bulanan'!$C$46</f>
        <v>Ops Supervisor Pekanbaru</v>
      </c>
      <c r="D25" s="45" t="n">
        <f aca="false">IF(D$4&lt;'Biaya Bulanan'!$I$46,0,IF(D$4&lt;=3,'Biaya Bulanan'!$V$46,IF(D$4&lt;=12,'Biaya Bulanan'!$W$46,'Biaya Bulanan'!$X$46)))*'Biaya Bulanan'!$T$46</f>
        <v>0</v>
      </c>
      <c r="E25" s="45" t="n">
        <f aca="false">IF(E$4&lt;'Biaya Bulanan'!$I$46,0,IF(E$4&lt;=3,'Biaya Bulanan'!$V$46,IF(E$4&lt;=12,'Biaya Bulanan'!$W$46,'Biaya Bulanan'!$X$46)))*'Biaya Bulanan'!$T$46</f>
        <v>0</v>
      </c>
      <c r="F25" s="45" t="n">
        <f aca="false">IF(F$4&lt;'Biaya Bulanan'!$I$46,0,IF(F$4&lt;=3,'Biaya Bulanan'!$V$46,IF(F$4&lt;=12,'Biaya Bulanan'!$W$46,'Biaya Bulanan'!$X$46)))*'Biaya Bulanan'!$T$46</f>
        <v>0</v>
      </c>
      <c r="G25" s="45" t="n">
        <f aca="false">IF(G$4&lt;'Biaya Bulanan'!$I$46,0,IF(G$4&lt;=3,'Biaya Bulanan'!$V$46,IF(G$4&lt;=12,'Biaya Bulanan'!$W$46,'Biaya Bulanan'!$X$46)))*'Biaya Bulanan'!$T$46</f>
        <v>9835650</v>
      </c>
      <c r="H25" s="45" t="n">
        <f aca="false">IF(H$4&lt;'Biaya Bulanan'!$I$46,0,IF(H$4&lt;=3,'Biaya Bulanan'!$V$46,IF(H$4&lt;=12,'Biaya Bulanan'!$W$46,'Biaya Bulanan'!$X$46)))*'Biaya Bulanan'!$T$46</f>
        <v>9835650</v>
      </c>
      <c r="I25" s="45" t="n">
        <f aca="false">IF(I$4&lt;'Biaya Bulanan'!$I$46,0,IF(I$4&lt;=3,'Biaya Bulanan'!$V$46,IF(I$4&lt;=12,'Biaya Bulanan'!$W$46,'Biaya Bulanan'!$X$46)))*'Biaya Bulanan'!$T$46</f>
        <v>9835650</v>
      </c>
      <c r="J25" s="45" t="n">
        <f aca="false">IF(J$4&lt;'Biaya Bulanan'!$I$46,0,IF(J$4&lt;=3,'Biaya Bulanan'!$V$46,IF(J$4&lt;=12,'Biaya Bulanan'!$W$46,'Biaya Bulanan'!$X$46)))*'Biaya Bulanan'!$T$46</f>
        <v>9835650</v>
      </c>
      <c r="K25" s="45" t="n">
        <f aca="false">IF(K$4&lt;'Biaya Bulanan'!$I$46,0,IF(K$4&lt;=3,'Biaya Bulanan'!$V$46,IF(K$4&lt;=12,'Biaya Bulanan'!$W$46,'Biaya Bulanan'!$X$46)))*'Biaya Bulanan'!$T$46</f>
        <v>9835650</v>
      </c>
      <c r="L25" s="45" t="n">
        <f aca="false">IF(L$4&lt;'Biaya Bulanan'!$I$46,0,IF(L$4&lt;=3,'Biaya Bulanan'!$V$46,IF(L$4&lt;=12,'Biaya Bulanan'!$W$46,'Biaya Bulanan'!$X$46)))*'Biaya Bulanan'!$T$46</f>
        <v>9835650</v>
      </c>
      <c r="M25" s="45" t="n">
        <f aca="false">IF(M$4&lt;'Biaya Bulanan'!$I$46,0,IF(M$4&lt;=3,'Biaya Bulanan'!$V$46,IF(M$4&lt;=12,'Biaya Bulanan'!$W$46,'Biaya Bulanan'!$X$46)))*'Biaya Bulanan'!$T$46</f>
        <v>9835650</v>
      </c>
      <c r="N25" s="45" t="n">
        <f aca="false">IF(N$4&lt;'Biaya Bulanan'!$I$46,0,IF(N$4&lt;=3,'Biaya Bulanan'!$V$46,IF(N$4&lt;=12,'Biaya Bulanan'!$W$46,'Biaya Bulanan'!$X$46)))*'Biaya Bulanan'!$T$46</f>
        <v>9835650</v>
      </c>
      <c r="O25" s="45" t="n">
        <f aca="false">IF(O$4&lt;'Biaya Bulanan'!$I$46,0,IF(O$4&lt;=3,'Biaya Bulanan'!$V$46,IF(O$4&lt;=12,'Biaya Bulanan'!$W$46,'Biaya Bulanan'!$X$46)))*'Biaya Bulanan'!$T$46</f>
        <v>9835650</v>
      </c>
      <c r="P25" s="45" t="n">
        <f aca="false">IF(P$4&lt;'Biaya Bulanan'!$I$46,0,IF(P$4&lt;=3,'Biaya Bulanan'!$V$46,IF(P$4&lt;=12,'Biaya Bulanan'!$W$46,'Biaya Bulanan'!$X$46)))*'Biaya Bulanan'!$T$46</f>
        <v>9835650</v>
      </c>
      <c r="Q25" s="45" t="n">
        <f aca="false">IF(Q$4&lt;'Biaya Bulanan'!$I$46,0,IF(Q$4&lt;=3,'Biaya Bulanan'!$V$46,IF(Q$4&lt;=12,'Biaya Bulanan'!$W$46,'Biaya Bulanan'!$X$46)))*'Biaya Bulanan'!$T$46</f>
        <v>9835650</v>
      </c>
      <c r="R25" s="45" t="n">
        <f aca="false">IF(R$4&lt;'Biaya Bulanan'!$I$46,0,IF(R$4&lt;=3,'Biaya Bulanan'!$V$46,IF(R$4&lt;=12,'Biaya Bulanan'!$W$46,'Biaya Bulanan'!$X$46)))*'Biaya Bulanan'!$T$46</f>
        <v>9835650</v>
      </c>
      <c r="S25" s="45" t="n">
        <f aca="false">IF(S$4&lt;'Biaya Bulanan'!$I$46,0,IF(S$4&lt;=3,'Biaya Bulanan'!$V$46,IF(S$4&lt;=12,'Biaya Bulanan'!$W$46,'Biaya Bulanan'!$X$46)))*'Biaya Bulanan'!$T$46</f>
        <v>9835650</v>
      </c>
      <c r="T25" s="45" t="n">
        <f aca="false">IF(T$4&lt;'Biaya Bulanan'!$I$46,0,IF(T$4&lt;=3,'Biaya Bulanan'!$V$46,IF(T$4&lt;=12,'Biaya Bulanan'!$W$46,'Biaya Bulanan'!$X$46)))*'Biaya Bulanan'!$T$46</f>
        <v>9835650</v>
      </c>
      <c r="U25" s="45" t="n">
        <f aca="false">IF(U$4&lt;'Biaya Bulanan'!$I$46,0,IF(U$4&lt;=3,'Biaya Bulanan'!$V$46,IF(U$4&lt;=12,'Biaya Bulanan'!$W$46,'Biaya Bulanan'!$X$46)))*'Biaya Bulanan'!$T$46</f>
        <v>9835650</v>
      </c>
      <c r="V25" s="45" t="n">
        <f aca="false">IF(V$4&lt;'Biaya Bulanan'!$I$46,0,IF(V$4&lt;=3,'Biaya Bulanan'!$V$46,IF(V$4&lt;=12,'Biaya Bulanan'!$W$46,'Biaya Bulanan'!$X$46)))*'Biaya Bulanan'!$T$46</f>
        <v>9835650</v>
      </c>
      <c r="W25" s="45" t="n">
        <f aca="false">IF(W$4&lt;'Biaya Bulanan'!$I$46,0,IF(W$4&lt;=3,'Biaya Bulanan'!$V$46,IF(W$4&lt;=12,'Biaya Bulanan'!$W$46,'Biaya Bulanan'!$X$46)))*'Biaya Bulanan'!$T$46</f>
        <v>9835650</v>
      </c>
      <c r="X25" s="45" t="n">
        <f aca="false">IF(X$4&lt;'Biaya Bulanan'!$I$46,0,IF(X$4&lt;=3,'Biaya Bulanan'!$V$46,IF(X$4&lt;=12,'Biaya Bulanan'!$W$46,'Biaya Bulanan'!$X$46)))*'Biaya Bulanan'!$T$46</f>
        <v>9835650</v>
      </c>
      <c r="Y25" s="45" t="n">
        <f aca="false">IF(Y$4&lt;'Biaya Bulanan'!$I$46,0,IF(Y$4&lt;=3,'Biaya Bulanan'!$V$46,IF(Y$4&lt;=12,'Biaya Bulanan'!$W$46,'Biaya Bulanan'!$X$46)))*'Biaya Bulanan'!$T$46</f>
        <v>9835650</v>
      </c>
      <c r="Z25" s="45" t="n">
        <f aca="false">IF(Z$4&lt;'Biaya Bulanan'!$I$46,0,IF(Z$4&lt;=3,'Biaya Bulanan'!$V$46,IF(Z$4&lt;=12,'Biaya Bulanan'!$W$46,'Biaya Bulanan'!$X$46)))*'Biaya Bulanan'!$T$46</f>
        <v>9835650</v>
      </c>
      <c r="AA25" s="45" t="n">
        <f aca="false">IF(AA$4&lt;'Biaya Bulanan'!$I$46,0,IF(AA$4&lt;=3,'Biaya Bulanan'!$V$46,IF(AA$4&lt;=12,'Biaya Bulanan'!$W$46,'Biaya Bulanan'!$X$46)))*'Biaya Bulanan'!$T$46</f>
        <v>9835650</v>
      </c>
    </row>
    <row r="26" customFormat="false" ht="15" hidden="false" customHeight="false" outlineLevel="0" collapsed="false">
      <c r="A26" s="18" t="n">
        <v>22</v>
      </c>
      <c r="B26" s="43" t="str">
        <f aca="false">'Biaya Bulanan'!$B$47</f>
        <v>Operasi</v>
      </c>
      <c r="C26" s="43" t="str">
        <f aca="false">'Biaya Bulanan'!$C$47</f>
        <v>Partner Acquisition Pekanbaru</v>
      </c>
      <c r="D26" s="45" t="n">
        <f aca="false">IF(D$4&lt;'Biaya Bulanan'!$I$47,0,IF(D$4&lt;=3,'Biaya Bulanan'!$V$47,IF(D$4&lt;=12,'Biaya Bulanan'!$W$47,'Biaya Bulanan'!$X$47)))*'Biaya Bulanan'!$T$47</f>
        <v>0</v>
      </c>
      <c r="E26" s="45" t="n">
        <f aca="false">IF(E$4&lt;'Biaya Bulanan'!$I$47,0,IF(E$4&lt;=3,'Biaya Bulanan'!$V$47,IF(E$4&lt;=12,'Biaya Bulanan'!$W$47,'Biaya Bulanan'!$X$47)))*'Biaya Bulanan'!$T$47</f>
        <v>0</v>
      </c>
      <c r="F26" s="45" t="n">
        <f aca="false">IF(F$4&lt;'Biaya Bulanan'!$I$47,0,IF(F$4&lt;=3,'Biaya Bulanan'!$V$47,IF(F$4&lt;=12,'Biaya Bulanan'!$W$47,'Biaya Bulanan'!$X$47)))*'Biaya Bulanan'!$T$47</f>
        <v>0</v>
      </c>
      <c r="G26" s="45" t="n">
        <f aca="false">IF(G$4&lt;'Biaya Bulanan'!$I$47,0,IF(G$4&lt;=3,'Biaya Bulanan'!$V$47,IF(G$4&lt;=12,'Biaya Bulanan'!$W$47,'Biaya Bulanan'!$X$47)))*'Biaya Bulanan'!$T$47</f>
        <v>13769910</v>
      </c>
      <c r="H26" s="45" t="n">
        <f aca="false">IF(H$4&lt;'Biaya Bulanan'!$I$47,0,IF(H$4&lt;=3,'Biaya Bulanan'!$V$47,IF(H$4&lt;=12,'Biaya Bulanan'!$W$47,'Biaya Bulanan'!$X$47)))*'Biaya Bulanan'!$T$47</f>
        <v>13769910</v>
      </c>
      <c r="I26" s="45" t="n">
        <f aca="false">IF(I$4&lt;'Biaya Bulanan'!$I$47,0,IF(I$4&lt;=3,'Biaya Bulanan'!$V$47,IF(I$4&lt;=12,'Biaya Bulanan'!$W$47,'Biaya Bulanan'!$X$47)))*'Biaya Bulanan'!$T$47</f>
        <v>13769910</v>
      </c>
      <c r="J26" s="45" t="n">
        <f aca="false">IF(J$4&lt;'Biaya Bulanan'!$I$47,0,IF(J$4&lt;=3,'Biaya Bulanan'!$V$47,IF(J$4&lt;=12,'Biaya Bulanan'!$W$47,'Biaya Bulanan'!$X$47)))*'Biaya Bulanan'!$T$47</f>
        <v>13769910</v>
      </c>
      <c r="K26" s="45" t="n">
        <f aca="false">IF(K$4&lt;'Biaya Bulanan'!$I$47,0,IF(K$4&lt;=3,'Biaya Bulanan'!$V$47,IF(K$4&lt;=12,'Biaya Bulanan'!$W$47,'Biaya Bulanan'!$X$47)))*'Biaya Bulanan'!$T$47</f>
        <v>13769910</v>
      </c>
      <c r="L26" s="45" t="n">
        <f aca="false">IF(L$4&lt;'Biaya Bulanan'!$I$47,0,IF(L$4&lt;=3,'Biaya Bulanan'!$V$47,IF(L$4&lt;=12,'Biaya Bulanan'!$W$47,'Biaya Bulanan'!$X$47)))*'Biaya Bulanan'!$T$47</f>
        <v>13769910</v>
      </c>
      <c r="M26" s="45" t="n">
        <f aca="false">IF(M$4&lt;'Biaya Bulanan'!$I$47,0,IF(M$4&lt;=3,'Biaya Bulanan'!$V$47,IF(M$4&lt;=12,'Biaya Bulanan'!$W$47,'Biaya Bulanan'!$X$47)))*'Biaya Bulanan'!$T$47</f>
        <v>13769910</v>
      </c>
      <c r="N26" s="45" t="n">
        <f aca="false">IF(N$4&lt;'Biaya Bulanan'!$I$47,0,IF(N$4&lt;=3,'Biaya Bulanan'!$V$47,IF(N$4&lt;=12,'Biaya Bulanan'!$W$47,'Biaya Bulanan'!$X$47)))*'Biaya Bulanan'!$T$47</f>
        <v>13769910</v>
      </c>
      <c r="O26" s="45" t="n">
        <f aca="false">IF(O$4&lt;'Biaya Bulanan'!$I$47,0,IF(O$4&lt;=3,'Biaya Bulanan'!$V$47,IF(O$4&lt;=12,'Biaya Bulanan'!$W$47,'Biaya Bulanan'!$X$47)))*'Biaya Bulanan'!$T$47</f>
        <v>13769910</v>
      </c>
      <c r="P26" s="45" t="n">
        <f aca="false">IF(P$4&lt;'Biaya Bulanan'!$I$47,0,IF(P$4&lt;=3,'Biaya Bulanan'!$V$47,IF(P$4&lt;=12,'Biaya Bulanan'!$W$47,'Biaya Bulanan'!$X$47)))*'Biaya Bulanan'!$T$47</f>
        <v>13769910</v>
      </c>
      <c r="Q26" s="45" t="n">
        <f aca="false">IF(Q$4&lt;'Biaya Bulanan'!$I$47,0,IF(Q$4&lt;=3,'Biaya Bulanan'!$V$47,IF(Q$4&lt;=12,'Biaya Bulanan'!$W$47,'Biaya Bulanan'!$X$47)))*'Biaya Bulanan'!$T$47</f>
        <v>13769910</v>
      </c>
      <c r="R26" s="45" t="n">
        <f aca="false">IF(R$4&lt;'Biaya Bulanan'!$I$47,0,IF(R$4&lt;=3,'Biaya Bulanan'!$V$47,IF(R$4&lt;=12,'Biaya Bulanan'!$W$47,'Biaya Bulanan'!$X$47)))*'Biaya Bulanan'!$T$47</f>
        <v>13769910</v>
      </c>
      <c r="S26" s="45" t="n">
        <f aca="false">IF(S$4&lt;'Biaya Bulanan'!$I$47,0,IF(S$4&lt;=3,'Biaya Bulanan'!$V$47,IF(S$4&lt;=12,'Biaya Bulanan'!$W$47,'Biaya Bulanan'!$X$47)))*'Biaya Bulanan'!$T$47</f>
        <v>13769910</v>
      </c>
      <c r="T26" s="45" t="n">
        <f aca="false">IF(T$4&lt;'Biaya Bulanan'!$I$47,0,IF(T$4&lt;=3,'Biaya Bulanan'!$V$47,IF(T$4&lt;=12,'Biaya Bulanan'!$W$47,'Biaya Bulanan'!$X$47)))*'Biaya Bulanan'!$T$47</f>
        <v>13769910</v>
      </c>
      <c r="U26" s="45" t="n">
        <f aca="false">IF(U$4&lt;'Biaya Bulanan'!$I$47,0,IF(U$4&lt;=3,'Biaya Bulanan'!$V$47,IF(U$4&lt;=12,'Biaya Bulanan'!$W$47,'Biaya Bulanan'!$X$47)))*'Biaya Bulanan'!$T$47</f>
        <v>13769910</v>
      </c>
      <c r="V26" s="45" t="n">
        <f aca="false">IF(V$4&lt;'Biaya Bulanan'!$I$47,0,IF(V$4&lt;=3,'Biaya Bulanan'!$V$47,IF(V$4&lt;=12,'Biaya Bulanan'!$W$47,'Biaya Bulanan'!$X$47)))*'Biaya Bulanan'!$T$47</f>
        <v>13769910</v>
      </c>
      <c r="W26" s="45" t="n">
        <f aca="false">IF(W$4&lt;'Biaya Bulanan'!$I$47,0,IF(W$4&lt;=3,'Biaya Bulanan'!$V$47,IF(W$4&lt;=12,'Biaya Bulanan'!$W$47,'Biaya Bulanan'!$X$47)))*'Biaya Bulanan'!$T$47</f>
        <v>13769910</v>
      </c>
      <c r="X26" s="45" t="n">
        <f aca="false">IF(X$4&lt;'Biaya Bulanan'!$I$47,0,IF(X$4&lt;=3,'Biaya Bulanan'!$V$47,IF(X$4&lt;=12,'Biaya Bulanan'!$W$47,'Biaya Bulanan'!$X$47)))*'Biaya Bulanan'!$T$47</f>
        <v>13769910</v>
      </c>
      <c r="Y26" s="45" t="n">
        <f aca="false">IF(Y$4&lt;'Biaya Bulanan'!$I$47,0,IF(Y$4&lt;=3,'Biaya Bulanan'!$V$47,IF(Y$4&lt;=12,'Biaya Bulanan'!$W$47,'Biaya Bulanan'!$X$47)))*'Biaya Bulanan'!$T$47</f>
        <v>13769910</v>
      </c>
      <c r="Z26" s="45" t="n">
        <f aca="false">IF(Z$4&lt;'Biaya Bulanan'!$I$47,0,IF(Z$4&lt;=3,'Biaya Bulanan'!$V$47,IF(Z$4&lt;=12,'Biaya Bulanan'!$W$47,'Biaya Bulanan'!$X$47)))*'Biaya Bulanan'!$T$47</f>
        <v>13769910</v>
      </c>
      <c r="AA26" s="45" t="n">
        <f aca="false">IF(AA$4&lt;'Biaya Bulanan'!$I$47,0,IF(AA$4&lt;=3,'Biaya Bulanan'!$V$47,IF(AA$4&lt;=12,'Biaya Bulanan'!$W$47,'Biaya Bulanan'!$X$47)))*'Biaya Bulanan'!$T$47</f>
        <v>13769910</v>
      </c>
    </row>
    <row r="27" customFormat="false" ht="15" hidden="false" customHeight="false" outlineLevel="0" collapsed="false">
      <c r="A27" s="18" t="n">
        <v>23</v>
      </c>
      <c r="B27" s="43" t="str">
        <f aca="false">'Biaya Bulanan'!$B$48</f>
        <v>Operasi</v>
      </c>
      <c r="C27" s="43" t="str">
        <f aca="false">'Biaya Bulanan'!$C$48</f>
        <v>Head of Customer Experience</v>
      </c>
      <c r="D27" s="45" t="n">
        <f aca="false">IF(D$4&lt;'Biaya Bulanan'!$I$48,0,IF(D$4&lt;=3,'Biaya Bulanan'!$V$48,IF(D$4&lt;=12,'Biaya Bulanan'!$W$48,'Biaya Bulanan'!$X$48)))*'Biaya Bulanan'!$T$48</f>
        <v>0</v>
      </c>
      <c r="E27" s="45" t="n">
        <f aca="false">IF(E$4&lt;'Biaya Bulanan'!$I$48,0,IF(E$4&lt;=3,'Biaya Bulanan'!$V$48,IF(E$4&lt;=12,'Biaya Bulanan'!$W$48,'Biaya Bulanan'!$X$48)))*'Biaya Bulanan'!$T$48</f>
        <v>0</v>
      </c>
      <c r="F27" s="45" t="n">
        <f aca="false">IF(F$4&lt;'Biaya Bulanan'!$I$48,0,IF(F$4&lt;=3,'Biaya Bulanan'!$V$48,IF(F$4&lt;=12,'Biaya Bulanan'!$W$48,'Biaya Bulanan'!$X$48)))*'Biaya Bulanan'!$T$48</f>
        <v>0</v>
      </c>
      <c r="G27" s="45" t="n">
        <f aca="false">IF(G$4&lt;'Biaya Bulanan'!$I$48,0,IF(G$4&lt;=3,'Biaya Bulanan'!$V$48,IF(G$4&lt;=12,'Biaya Bulanan'!$W$48,'Biaya Bulanan'!$X$48)))*'Biaya Bulanan'!$T$48</f>
        <v>18083706</v>
      </c>
      <c r="H27" s="45" t="n">
        <f aca="false">IF(H$4&lt;'Biaya Bulanan'!$I$48,0,IF(H$4&lt;=3,'Biaya Bulanan'!$V$48,IF(H$4&lt;=12,'Biaya Bulanan'!$W$48,'Biaya Bulanan'!$X$48)))*'Biaya Bulanan'!$T$48</f>
        <v>18083706</v>
      </c>
      <c r="I27" s="45" t="n">
        <f aca="false">IF(I$4&lt;'Biaya Bulanan'!$I$48,0,IF(I$4&lt;=3,'Biaya Bulanan'!$V$48,IF(I$4&lt;=12,'Biaya Bulanan'!$W$48,'Biaya Bulanan'!$X$48)))*'Biaya Bulanan'!$T$48</f>
        <v>18083706</v>
      </c>
      <c r="J27" s="45" t="n">
        <f aca="false">IF(J$4&lt;'Biaya Bulanan'!$I$48,0,IF(J$4&lt;=3,'Biaya Bulanan'!$V$48,IF(J$4&lt;=12,'Biaya Bulanan'!$W$48,'Biaya Bulanan'!$X$48)))*'Biaya Bulanan'!$T$48</f>
        <v>18083706</v>
      </c>
      <c r="K27" s="45" t="n">
        <f aca="false">IF(K$4&lt;'Biaya Bulanan'!$I$48,0,IF(K$4&lt;=3,'Biaya Bulanan'!$V$48,IF(K$4&lt;=12,'Biaya Bulanan'!$W$48,'Biaya Bulanan'!$X$48)))*'Biaya Bulanan'!$T$48</f>
        <v>18083706</v>
      </c>
      <c r="L27" s="45" t="n">
        <f aca="false">IF(L$4&lt;'Biaya Bulanan'!$I$48,0,IF(L$4&lt;=3,'Biaya Bulanan'!$V$48,IF(L$4&lt;=12,'Biaya Bulanan'!$W$48,'Biaya Bulanan'!$X$48)))*'Biaya Bulanan'!$T$48</f>
        <v>18083706</v>
      </c>
      <c r="M27" s="45" t="n">
        <f aca="false">IF(M$4&lt;'Biaya Bulanan'!$I$48,0,IF(M$4&lt;=3,'Biaya Bulanan'!$V$48,IF(M$4&lt;=12,'Biaya Bulanan'!$W$48,'Biaya Bulanan'!$X$48)))*'Biaya Bulanan'!$T$48</f>
        <v>18083706</v>
      </c>
      <c r="N27" s="45" t="n">
        <f aca="false">IF(N$4&lt;'Biaya Bulanan'!$I$48,0,IF(N$4&lt;=3,'Biaya Bulanan'!$V$48,IF(N$4&lt;=12,'Biaya Bulanan'!$W$48,'Biaya Bulanan'!$X$48)))*'Biaya Bulanan'!$T$48</f>
        <v>18083706</v>
      </c>
      <c r="O27" s="45" t="n">
        <f aca="false">IF(O$4&lt;'Biaya Bulanan'!$I$48,0,IF(O$4&lt;=3,'Biaya Bulanan'!$V$48,IF(O$4&lt;=12,'Biaya Bulanan'!$W$48,'Biaya Bulanan'!$X$48)))*'Biaya Bulanan'!$T$48</f>
        <v>18083706</v>
      </c>
      <c r="P27" s="45" t="n">
        <f aca="false">IF(P$4&lt;'Biaya Bulanan'!$I$48,0,IF(P$4&lt;=3,'Biaya Bulanan'!$V$48,IF(P$4&lt;=12,'Biaya Bulanan'!$W$48,'Biaya Bulanan'!$X$48)))*'Biaya Bulanan'!$T$48</f>
        <v>18083706</v>
      </c>
      <c r="Q27" s="45" t="n">
        <f aca="false">IF(Q$4&lt;'Biaya Bulanan'!$I$48,0,IF(Q$4&lt;=3,'Biaya Bulanan'!$V$48,IF(Q$4&lt;=12,'Biaya Bulanan'!$W$48,'Biaya Bulanan'!$X$48)))*'Biaya Bulanan'!$T$48</f>
        <v>18083706</v>
      </c>
      <c r="R27" s="45" t="n">
        <f aca="false">IF(R$4&lt;'Biaya Bulanan'!$I$48,0,IF(R$4&lt;=3,'Biaya Bulanan'!$V$48,IF(R$4&lt;=12,'Biaya Bulanan'!$W$48,'Biaya Bulanan'!$X$48)))*'Biaya Bulanan'!$T$48</f>
        <v>18083706</v>
      </c>
      <c r="S27" s="45" t="n">
        <f aca="false">IF(S$4&lt;'Biaya Bulanan'!$I$48,0,IF(S$4&lt;=3,'Biaya Bulanan'!$V$48,IF(S$4&lt;=12,'Biaya Bulanan'!$W$48,'Biaya Bulanan'!$X$48)))*'Biaya Bulanan'!$T$48</f>
        <v>18083706</v>
      </c>
      <c r="T27" s="45" t="n">
        <f aca="false">IF(T$4&lt;'Biaya Bulanan'!$I$48,0,IF(T$4&lt;=3,'Biaya Bulanan'!$V$48,IF(T$4&lt;=12,'Biaya Bulanan'!$W$48,'Biaya Bulanan'!$X$48)))*'Biaya Bulanan'!$T$48</f>
        <v>18083706</v>
      </c>
      <c r="U27" s="45" t="n">
        <f aca="false">IF(U$4&lt;'Biaya Bulanan'!$I$48,0,IF(U$4&lt;=3,'Biaya Bulanan'!$V$48,IF(U$4&lt;=12,'Biaya Bulanan'!$W$48,'Biaya Bulanan'!$X$48)))*'Biaya Bulanan'!$T$48</f>
        <v>18083706</v>
      </c>
      <c r="V27" s="45" t="n">
        <f aca="false">IF(V$4&lt;'Biaya Bulanan'!$I$48,0,IF(V$4&lt;=3,'Biaya Bulanan'!$V$48,IF(V$4&lt;=12,'Biaya Bulanan'!$W$48,'Biaya Bulanan'!$X$48)))*'Biaya Bulanan'!$T$48</f>
        <v>18083706</v>
      </c>
      <c r="W27" s="45" t="n">
        <f aca="false">IF(W$4&lt;'Biaya Bulanan'!$I$48,0,IF(W$4&lt;=3,'Biaya Bulanan'!$V$48,IF(W$4&lt;=12,'Biaya Bulanan'!$W$48,'Biaya Bulanan'!$X$48)))*'Biaya Bulanan'!$T$48</f>
        <v>18083706</v>
      </c>
      <c r="X27" s="45" t="n">
        <f aca="false">IF(X$4&lt;'Biaya Bulanan'!$I$48,0,IF(X$4&lt;=3,'Biaya Bulanan'!$V$48,IF(X$4&lt;=12,'Biaya Bulanan'!$W$48,'Biaya Bulanan'!$X$48)))*'Biaya Bulanan'!$T$48</f>
        <v>18083706</v>
      </c>
      <c r="Y27" s="45" t="n">
        <f aca="false">IF(Y$4&lt;'Biaya Bulanan'!$I$48,0,IF(Y$4&lt;=3,'Biaya Bulanan'!$V$48,IF(Y$4&lt;=12,'Biaya Bulanan'!$W$48,'Biaya Bulanan'!$X$48)))*'Biaya Bulanan'!$T$48</f>
        <v>18083706</v>
      </c>
      <c r="Z27" s="45" t="n">
        <f aca="false">IF(Z$4&lt;'Biaya Bulanan'!$I$48,0,IF(Z$4&lt;=3,'Biaya Bulanan'!$V$48,IF(Z$4&lt;=12,'Biaya Bulanan'!$W$48,'Biaya Bulanan'!$X$48)))*'Biaya Bulanan'!$T$48</f>
        <v>18083706</v>
      </c>
      <c r="AA27" s="45" t="n">
        <f aca="false">IF(AA$4&lt;'Biaya Bulanan'!$I$48,0,IF(AA$4&lt;=3,'Biaya Bulanan'!$V$48,IF(AA$4&lt;=12,'Biaya Bulanan'!$W$48,'Biaya Bulanan'!$X$48)))*'Biaya Bulanan'!$T$48</f>
        <v>18083706</v>
      </c>
    </row>
    <row r="28" customFormat="false" ht="15" hidden="false" customHeight="false" outlineLevel="0" collapsed="false">
      <c r="A28" s="18" t="n">
        <v>24</v>
      </c>
      <c r="B28" s="43" t="str">
        <f aca="false">'Biaya Bulanan'!$B$49</f>
        <v>Operasi</v>
      </c>
      <c r="C28" s="43" t="str">
        <f aca="false">'Biaya Bulanan'!$C$49</f>
        <v>CS Agent Pekanbaru (shift)</v>
      </c>
      <c r="D28" s="45" t="n">
        <f aca="false">IF(D$4&lt;'Biaya Bulanan'!$I$49,0,IF(D$4&lt;=3,'Biaya Bulanan'!$V$49,IF(D$4&lt;=12,'Biaya Bulanan'!$W$49,'Biaya Bulanan'!$X$49)))*'Biaya Bulanan'!$T$49</f>
        <v>0</v>
      </c>
      <c r="E28" s="45" t="n">
        <f aca="false">IF(E$4&lt;'Biaya Bulanan'!$I$49,0,IF(E$4&lt;=3,'Biaya Bulanan'!$V$49,IF(E$4&lt;=12,'Biaya Bulanan'!$W$49,'Biaya Bulanan'!$X$49)))*'Biaya Bulanan'!$T$49</f>
        <v>0</v>
      </c>
      <c r="F28" s="45" t="n">
        <f aca="false">IF(F$4&lt;'Biaya Bulanan'!$I$49,0,IF(F$4&lt;=3,'Biaya Bulanan'!$V$49,IF(F$4&lt;=12,'Biaya Bulanan'!$W$49,'Biaya Bulanan'!$X$49)))*'Biaya Bulanan'!$T$49</f>
        <v>0</v>
      </c>
      <c r="G28" s="45" t="n">
        <f aca="false">IF(G$4&lt;'Biaya Bulanan'!$I$49,0,IF(G$4&lt;=3,'Biaya Bulanan'!$V$49,IF(G$4&lt;=12,'Biaya Bulanan'!$W$49,'Biaya Bulanan'!$X$49)))*'Biaya Bulanan'!$T$49</f>
        <v>0</v>
      </c>
      <c r="H28" s="45" t="n">
        <f aca="false">IF(H$4&lt;'Biaya Bulanan'!$I$49,0,IF(H$4&lt;=3,'Biaya Bulanan'!$V$49,IF(H$4&lt;=12,'Biaya Bulanan'!$W$49,'Biaya Bulanan'!$X$49)))*'Biaya Bulanan'!$T$49</f>
        <v>18632872.5</v>
      </c>
      <c r="I28" s="45" t="n">
        <f aca="false">IF(I$4&lt;'Biaya Bulanan'!$I$49,0,IF(I$4&lt;=3,'Biaya Bulanan'!$V$49,IF(I$4&lt;=12,'Biaya Bulanan'!$W$49,'Biaya Bulanan'!$X$49)))*'Biaya Bulanan'!$T$49</f>
        <v>18632872.5</v>
      </c>
      <c r="J28" s="45" t="n">
        <f aca="false">IF(J$4&lt;'Biaya Bulanan'!$I$49,0,IF(J$4&lt;=3,'Biaya Bulanan'!$V$49,IF(J$4&lt;=12,'Biaya Bulanan'!$W$49,'Biaya Bulanan'!$X$49)))*'Biaya Bulanan'!$T$49</f>
        <v>18632872.5</v>
      </c>
      <c r="K28" s="45" t="n">
        <f aca="false">IF(K$4&lt;'Biaya Bulanan'!$I$49,0,IF(K$4&lt;=3,'Biaya Bulanan'!$V$49,IF(K$4&lt;=12,'Biaya Bulanan'!$W$49,'Biaya Bulanan'!$X$49)))*'Biaya Bulanan'!$T$49</f>
        <v>18632872.5</v>
      </c>
      <c r="L28" s="45" t="n">
        <f aca="false">IF(L$4&lt;'Biaya Bulanan'!$I$49,0,IF(L$4&lt;=3,'Biaya Bulanan'!$V$49,IF(L$4&lt;=12,'Biaya Bulanan'!$W$49,'Biaya Bulanan'!$X$49)))*'Biaya Bulanan'!$T$49</f>
        <v>18632872.5</v>
      </c>
      <c r="M28" s="45" t="n">
        <f aca="false">IF(M$4&lt;'Biaya Bulanan'!$I$49,0,IF(M$4&lt;=3,'Biaya Bulanan'!$V$49,IF(M$4&lt;=12,'Biaya Bulanan'!$W$49,'Biaya Bulanan'!$X$49)))*'Biaya Bulanan'!$T$49</f>
        <v>18632872.5</v>
      </c>
      <c r="N28" s="45" t="n">
        <f aca="false">IF(N$4&lt;'Biaya Bulanan'!$I$49,0,IF(N$4&lt;=3,'Biaya Bulanan'!$V$49,IF(N$4&lt;=12,'Biaya Bulanan'!$W$49,'Biaya Bulanan'!$X$49)))*'Biaya Bulanan'!$T$49</f>
        <v>18632872.5</v>
      </c>
      <c r="O28" s="45" t="n">
        <f aca="false">IF(O$4&lt;'Biaya Bulanan'!$I$49,0,IF(O$4&lt;=3,'Biaya Bulanan'!$V$49,IF(O$4&lt;=12,'Biaya Bulanan'!$W$49,'Biaya Bulanan'!$X$49)))*'Biaya Bulanan'!$T$49</f>
        <v>18632872.5</v>
      </c>
      <c r="P28" s="45" t="n">
        <f aca="false">IF(P$4&lt;'Biaya Bulanan'!$I$49,0,IF(P$4&lt;=3,'Biaya Bulanan'!$V$49,IF(P$4&lt;=12,'Biaya Bulanan'!$W$49,'Biaya Bulanan'!$X$49)))*'Biaya Bulanan'!$T$49</f>
        <v>18632872.5</v>
      </c>
      <c r="Q28" s="45" t="n">
        <f aca="false">IF(Q$4&lt;'Biaya Bulanan'!$I$49,0,IF(Q$4&lt;=3,'Biaya Bulanan'!$V$49,IF(Q$4&lt;=12,'Biaya Bulanan'!$W$49,'Biaya Bulanan'!$X$49)))*'Biaya Bulanan'!$T$49</f>
        <v>18632872.5</v>
      </c>
      <c r="R28" s="45" t="n">
        <f aca="false">IF(R$4&lt;'Biaya Bulanan'!$I$49,0,IF(R$4&lt;=3,'Biaya Bulanan'!$V$49,IF(R$4&lt;=12,'Biaya Bulanan'!$W$49,'Biaya Bulanan'!$X$49)))*'Biaya Bulanan'!$T$49</f>
        <v>18632872.5</v>
      </c>
      <c r="S28" s="45" t="n">
        <f aca="false">IF(S$4&lt;'Biaya Bulanan'!$I$49,0,IF(S$4&lt;=3,'Biaya Bulanan'!$V$49,IF(S$4&lt;=12,'Biaya Bulanan'!$W$49,'Biaya Bulanan'!$X$49)))*'Biaya Bulanan'!$T$49</f>
        <v>18632872.5</v>
      </c>
      <c r="T28" s="45" t="n">
        <f aca="false">IF(T$4&lt;'Biaya Bulanan'!$I$49,0,IF(T$4&lt;=3,'Biaya Bulanan'!$V$49,IF(T$4&lt;=12,'Biaya Bulanan'!$W$49,'Biaya Bulanan'!$X$49)))*'Biaya Bulanan'!$T$49</f>
        <v>18632872.5</v>
      </c>
      <c r="U28" s="45" t="n">
        <f aca="false">IF(U$4&lt;'Biaya Bulanan'!$I$49,0,IF(U$4&lt;=3,'Biaya Bulanan'!$V$49,IF(U$4&lt;=12,'Biaya Bulanan'!$W$49,'Biaya Bulanan'!$X$49)))*'Biaya Bulanan'!$T$49</f>
        <v>18632872.5</v>
      </c>
      <c r="V28" s="45" t="n">
        <f aca="false">IF(V$4&lt;'Biaya Bulanan'!$I$49,0,IF(V$4&lt;=3,'Biaya Bulanan'!$V$49,IF(V$4&lt;=12,'Biaya Bulanan'!$W$49,'Biaya Bulanan'!$X$49)))*'Biaya Bulanan'!$T$49</f>
        <v>18632872.5</v>
      </c>
      <c r="W28" s="45" t="n">
        <f aca="false">IF(W$4&lt;'Biaya Bulanan'!$I$49,0,IF(W$4&lt;=3,'Biaya Bulanan'!$V$49,IF(W$4&lt;=12,'Biaya Bulanan'!$W$49,'Biaya Bulanan'!$X$49)))*'Biaya Bulanan'!$T$49</f>
        <v>18632872.5</v>
      </c>
      <c r="X28" s="45" t="n">
        <f aca="false">IF(X$4&lt;'Biaya Bulanan'!$I$49,0,IF(X$4&lt;=3,'Biaya Bulanan'!$V$49,IF(X$4&lt;=12,'Biaya Bulanan'!$W$49,'Biaya Bulanan'!$X$49)))*'Biaya Bulanan'!$T$49</f>
        <v>18632872.5</v>
      </c>
      <c r="Y28" s="45" t="n">
        <f aca="false">IF(Y$4&lt;'Biaya Bulanan'!$I$49,0,IF(Y$4&lt;=3,'Biaya Bulanan'!$V$49,IF(Y$4&lt;=12,'Biaya Bulanan'!$W$49,'Biaya Bulanan'!$X$49)))*'Biaya Bulanan'!$T$49</f>
        <v>18632872.5</v>
      </c>
      <c r="Z28" s="45" t="n">
        <f aca="false">IF(Z$4&lt;'Biaya Bulanan'!$I$49,0,IF(Z$4&lt;=3,'Biaya Bulanan'!$V$49,IF(Z$4&lt;=12,'Biaya Bulanan'!$W$49,'Biaya Bulanan'!$X$49)))*'Biaya Bulanan'!$T$49</f>
        <v>18632872.5</v>
      </c>
      <c r="AA28" s="45" t="n">
        <f aca="false">IF(AA$4&lt;'Biaya Bulanan'!$I$49,0,IF(AA$4&lt;=3,'Biaya Bulanan'!$V$49,IF(AA$4&lt;=12,'Biaya Bulanan'!$W$49,'Biaya Bulanan'!$X$49)))*'Biaya Bulanan'!$T$49</f>
        <v>18632872.5</v>
      </c>
    </row>
    <row r="29" customFormat="false" ht="15" hidden="false" customHeight="false" outlineLevel="0" collapsed="false">
      <c r="A29" s="18" t="n">
        <v>25</v>
      </c>
      <c r="B29" s="43" t="str">
        <f aca="false">'Biaya Bulanan'!$B$50</f>
        <v>Operasi</v>
      </c>
      <c r="C29" s="43" t="str">
        <f aca="false">'Biaya Bulanan'!$C$50</f>
        <v>Trust &amp; Safety Officer</v>
      </c>
      <c r="D29" s="45" t="n">
        <f aca="false">IF(D$4&lt;'Biaya Bulanan'!$I$50,0,IF(D$4&lt;=3,'Biaya Bulanan'!$V$50,IF(D$4&lt;=12,'Biaya Bulanan'!$W$50,'Biaya Bulanan'!$X$50)))*'Biaya Bulanan'!$T$50</f>
        <v>0</v>
      </c>
      <c r="E29" s="45" t="n">
        <f aca="false">IF(E$4&lt;'Biaya Bulanan'!$I$50,0,IF(E$4&lt;=3,'Biaya Bulanan'!$V$50,IF(E$4&lt;=12,'Biaya Bulanan'!$W$50,'Biaya Bulanan'!$X$50)))*'Biaya Bulanan'!$T$50</f>
        <v>0</v>
      </c>
      <c r="F29" s="45" t="n">
        <f aca="false">IF(F$4&lt;'Biaya Bulanan'!$I$50,0,IF(F$4&lt;=3,'Biaya Bulanan'!$V$50,IF(F$4&lt;=12,'Biaya Bulanan'!$W$50,'Biaya Bulanan'!$X$50)))*'Biaya Bulanan'!$T$50</f>
        <v>0</v>
      </c>
      <c r="G29" s="45" t="n">
        <f aca="false">IF(G$4&lt;'Biaya Bulanan'!$I$50,0,IF(G$4&lt;=3,'Biaya Bulanan'!$V$50,IF(G$4&lt;=12,'Biaya Bulanan'!$W$50,'Biaya Bulanan'!$X$50)))*'Biaya Bulanan'!$T$50</f>
        <v>0</v>
      </c>
      <c r="H29" s="45" t="n">
        <f aca="false">IF(H$4&lt;'Biaya Bulanan'!$I$50,0,IF(H$4&lt;=3,'Biaya Bulanan'!$V$50,IF(H$4&lt;=12,'Biaya Bulanan'!$W$50,'Biaya Bulanan'!$X$50)))*'Biaya Bulanan'!$T$50</f>
        <v>0</v>
      </c>
      <c r="I29" s="45" t="n">
        <f aca="false">IF(I$4&lt;'Biaya Bulanan'!$I$50,0,IF(I$4&lt;=3,'Biaya Bulanan'!$V$50,IF(I$4&lt;=12,'Biaya Bulanan'!$W$50,'Biaya Bulanan'!$X$50)))*'Biaya Bulanan'!$T$50</f>
        <v>12421915</v>
      </c>
      <c r="J29" s="45" t="n">
        <f aca="false">IF(J$4&lt;'Biaya Bulanan'!$I$50,0,IF(J$4&lt;=3,'Biaya Bulanan'!$V$50,IF(J$4&lt;=12,'Biaya Bulanan'!$W$50,'Biaya Bulanan'!$X$50)))*'Biaya Bulanan'!$T$50</f>
        <v>12421915</v>
      </c>
      <c r="K29" s="45" t="n">
        <f aca="false">IF(K$4&lt;'Biaya Bulanan'!$I$50,0,IF(K$4&lt;=3,'Biaya Bulanan'!$V$50,IF(K$4&lt;=12,'Biaya Bulanan'!$W$50,'Biaya Bulanan'!$X$50)))*'Biaya Bulanan'!$T$50</f>
        <v>12421915</v>
      </c>
      <c r="L29" s="45" t="n">
        <f aca="false">IF(L$4&lt;'Biaya Bulanan'!$I$50,0,IF(L$4&lt;=3,'Biaya Bulanan'!$V$50,IF(L$4&lt;=12,'Biaya Bulanan'!$W$50,'Biaya Bulanan'!$X$50)))*'Biaya Bulanan'!$T$50</f>
        <v>12421915</v>
      </c>
      <c r="M29" s="45" t="n">
        <f aca="false">IF(M$4&lt;'Biaya Bulanan'!$I$50,0,IF(M$4&lt;=3,'Biaya Bulanan'!$V$50,IF(M$4&lt;=12,'Biaya Bulanan'!$W$50,'Biaya Bulanan'!$X$50)))*'Biaya Bulanan'!$T$50</f>
        <v>12421915</v>
      </c>
      <c r="N29" s="45" t="n">
        <f aca="false">IF(N$4&lt;'Biaya Bulanan'!$I$50,0,IF(N$4&lt;=3,'Biaya Bulanan'!$V$50,IF(N$4&lt;=12,'Biaya Bulanan'!$W$50,'Biaya Bulanan'!$X$50)))*'Biaya Bulanan'!$T$50</f>
        <v>12421915</v>
      </c>
      <c r="O29" s="45" t="n">
        <f aca="false">IF(O$4&lt;'Biaya Bulanan'!$I$50,0,IF(O$4&lt;=3,'Biaya Bulanan'!$V$50,IF(O$4&lt;=12,'Biaya Bulanan'!$W$50,'Biaya Bulanan'!$X$50)))*'Biaya Bulanan'!$T$50</f>
        <v>12421915</v>
      </c>
      <c r="P29" s="45" t="n">
        <f aca="false">IF(P$4&lt;'Biaya Bulanan'!$I$50,0,IF(P$4&lt;=3,'Biaya Bulanan'!$V$50,IF(P$4&lt;=12,'Biaya Bulanan'!$W$50,'Biaya Bulanan'!$X$50)))*'Biaya Bulanan'!$T$50</f>
        <v>12421915</v>
      </c>
      <c r="Q29" s="45" t="n">
        <f aca="false">IF(Q$4&lt;'Biaya Bulanan'!$I$50,0,IF(Q$4&lt;=3,'Biaya Bulanan'!$V$50,IF(Q$4&lt;=12,'Biaya Bulanan'!$W$50,'Biaya Bulanan'!$X$50)))*'Biaya Bulanan'!$T$50</f>
        <v>12421915</v>
      </c>
      <c r="R29" s="45" t="n">
        <f aca="false">IF(R$4&lt;'Biaya Bulanan'!$I$50,0,IF(R$4&lt;=3,'Biaya Bulanan'!$V$50,IF(R$4&lt;=12,'Biaya Bulanan'!$W$50,'Biaya Bulanan'!$X$50)))*'Biaya Bulanan'!$T$50</f>
        <v>12421915</v>
      </c>
      <c r="S29" s="45" t="n">
        <f aca="false">IF(S$4&lt;'Biaya Bulanan'!$I$50,0,IF(S$4&lt;=3,'Biaya Bulanan'!$V$50,IF(S$4&lt;=12,'Biaya Bulanan'!$W$50,'Biaya Bulanan'!$X$50)))*'Biaya Bulanan'!$T$50</f>
        <v>12421915</v>
      </c>
      <c r="T29" s="45" t="n">
        <f aca="false">IF(T$4&lt;'Biaya Bulanan'!$I$50,0,IF(T$4&lt;=3,'Biaya Bulanan'!$V$50,IF(T$4&lt;=12,'Biaya Bulanan'!$W$50,'Biaya Bulanan'!$X$50)))*'Biaya Bulanan'!$T$50</f>
        <v>12421915</v>
      </c>
      <c r="U29" s="45" t="n">
        <f aca="false">IF(U$4&lt;'Biaya Bulanan'!$I$50,0,IF(U$4&lt;=3,'Biaya Bulanan'!$V$50,IF(U$4&lt;=12,'Biaya Bulanan'!$W$50,'Biaya Bulanan'!$X$50)))*'Biaya Bulanan'!$T$50</f>
        <v>12421915</v>
      </c>
      <c r="V29" s="45" t="n">
        <f aca="false">IF(V$4&lt;'Biaya Bulanan'!$I$50,0,IF(V$4&lt;=3,'Biaya Bulanan'!$V$50,IF(V$4&lt;=12,'Biaya Bulanan'!$W$50,'Biaya Bulanan'!$X$50)))*'Biaya Bulanan'!$T$50</f>
        <v>12421915</v>
      </c>
      <c r="W29" s="45" t="n">
        <f aca="false">IF(W$4&lt;'Biaya Bulanan'!$I$50,0,IF(W$4&lt;=3,'Biaya Bulanan'!$V$50,IF(W$4&lt;=12,'Biaya Bulanan'!$W$50,'Biaya Bulanan'!$X$50)))*'Biaya Bulanan'!$T$50</f>
        <v>12421915</v>
      </c>
      <c r="X29" s="45" t="n">
        <f aca="false">IF(X$4&lt;'Biaya Bulanan'!$I$50,0,IF(X$4&lt;=3,'Biaya Bulanan'!$V$50,IF(X$4&lt;=12,'Biaya Bulanan'!$W$50,'Biaya Bulanan'!$X$50)))*'Biaya Bulanan'!$T$50</f>
        <v>12421915</v>
      </c>
      <c r="Y29" s="45" t="n">
        <f aca="false">IF(Y$4&lt;'Biaya Bulanan'!$I$50,0,IF(Y$4&lt;=3,'Biaya Bulanan'!$V$50,IF(Y$4&lt;=12,'Biaya Bulanan'!$W$50,'Biaya Bulanan'!$X$50)))*'Biaya Bulanan'!$T$50</f>
        <v>12421915</v>
      </c>
      <c r="Z29" s="45" t="n">
        <f aca="false">IF(Z$4&lt;'Biaya Bulanan'!$I$50,0,IF(Z$4&lt;=3,'Biaya Bulanan'!$V$50,IF(Z$4&lt;=12,'Biaya Bulanan'!$W$50,'Biaya Bulanan'!$X$50)))*'Biaya Bulanan'!$T$50</f>
        <v>12421915</v>
      </c>
      <c r="AA29" s="45" t="n">
        <f aca="false">IF(AA$4&lt;'Biaya Bulanan'!$I$50,0,IF(AA$4&lt;=3,'Biaya Bulanan'!$V$50,IF(AA$4&lt;=12,'Biaya Bulanan'!$W$50,'Biaya Bulanan'!$X$50)))*'Biaya Bulanan'!$T$50</f>
        <v>12421915</v>
      </c>
    </row>
    <row r="30" customFormat="false" ht="15" hidden="false" customHeight="false" outlineLevel="0" collapsed="false">
      <c r="A30" s="18" t="n">
        <v>26</v>
      </c>
      <c r="B30" s="43" t="str">
        <f aca="false">'Biaya Bulanan'!$B$51</f>
        <v>Operasi</v>
      </c>
      <c r="C30" s="43" t="str">
        <f aca="false">'Biaya Bulanan'!$C$51</f>
        <v>City Manager Padang</v>
      </c>
      <c r="D30" s="45" t="n">
        <f aca="false">IF(D$4&lt;'Biaya Bulanan'!$I$51,0,IF(D$4&lt;=3,'Biaya Bulanan'!$V$51,IF(D$4&lt;=12,'Biaya Bulanan'!$W$51,'Biaya Bulanan'!$X$51)))*'Biaya Bulanan'!$T$51</f>
        <v>0</v>
      </c>
      <c r="E30" s="45" t="n">
        <f aca="false">IF(E$4&lt;'Biaya Bulanan'!$I$51,0,IF(E$4&lt;=3,'Biaya Bulanan'!$V$51,IF(E$4&lt;=12,'Biaya Bulanan'!$W$51,'Biaya Bulanan'!$X$51)))*'Biaya Bulanan'!$T$51</f>
        <v>0</v>
      </c>
      <c r="F30" s="45" t="n">
        <f aca="false">IF(F$4&lt;'Biaya Bulanan'!$I$51,0,IF(F$4&lt;=3,'Biaya Bulanan'!$V$51,IF(F$4&lt;=12,'Biaya Bulanan'!$W$51,'Biaya Bulanan'!$X$51)))*'Biaya Bulanan'!$T$51</f>
        <v>0</v>
      </c>
      <c r="G30" s="45" t="n">
        <f aca="false">IF(G$4&lt;'Biaya Bulanan'!$I$51,0,IF(G$4&lt;=3,'Biaya Bulanan'!$V$51,IF(G$4&lt;=12,'Biaya Bulanan'!$W$51,'Biaya Bulanan'!$X$51)))*'Biaya Bulanan'!$T$51</f>
        <v>0</v>
      </c>
      <c r="H30" s="45" t="n">
        <f aca="false">IF(H$4&lt;'Biaya Bulanan'!$I$51,0,IF(H$4&lt;=3,'Biaya Bulanan'!$V$51,IF(H$4&lt;=12,'Biaya Bulanan'!$W$51,'Biaya Bulanan'!$X$51)))*'Biaya Bulanan'!$T$51</f>
        <v>0</v>
      </c>
      <c r="I30" s="45" t="n">
        <f aca="false">IF(I$4&lt;'Biaya Bulanan'!$I$51,0,IF(I$4&lt;=3,'Biaya Bulanan'!$V$51,IF(I$4&lt;=12,'Biaya Bulanan'!$W$51,'Biaya Bulanan'!$X$51)))*'Biaya Bulanan'!$T$51</f>
        <v>0</v>
      </c>
      <c r="J30" s="45" t="n">
        <f aca="false">IF(J$4&lt;'Biaya Bulanan'!$I$51,0,IF(J$4&lt;=3,'Biaya Bulanan'!$V$51,IF(J$4&lt;=12,'Biaya Bulanan'!$W$51,'Biaya Bulanan'!$X$51)))*'Biaya Bulanan'!$T$51</f>
        <v>0</v>
      </c>
      <c r="K30" s="45" t="n">
        <f aca="false">IF(K$4&lt;'Biaya Bulanan'!$I$51,0,IF(K$4&lt;=3,'Biaya Bulanan'!$V$51,IF(K$4&lt;=12,'Biaya Bulanan'!$W$51,'Biaya Bulanan'!$X$51)))*'Biaya Bulanan'!$T$51</f>
        <v>0</v>
      </c>
      <c r="L30" s="45" t="n">
        <f aca="false">IF(L$4&lt;'Biaya Bulanan'!$I$51,0,IF(L$4&lt;=3,'Biaya Bulanan'!$V$51,IF(L$4&lt;=12,'Biaya Bulanan'!$W$51,'Biaya Bulanan'!$X$51)))*'Biaya Bulanan'!$T$51</f>
        <v>0</v>
      </c>
      <c r="M30" s="45" t="n">
        <f aca="false">IF(M$4&lt;'Biaya Bulanan'!$I$51,0,IF(M$4&lt;=3,'Biaya Bulanan'!$V$51,IF(M$4&lt;=12,'Biaya Bulanan'!$W$51,'Biaya Bulanan'!$X$51)))*'Biaya Bulanan'!$T$51</f>
        <v>0</v>
      </c>
      <c r="N30" s="45" t="n">
        <f aca="false">IF(N$4&lt;'Biaya Bulanan'!$I$51,0,IF(N$4&lt;=3,'Biaya Bulanan'!$V$51,IF(N$4&lt;=12,'Biaya Bulanan'!$W$51,'Biaya Bulanan'!$X$51)))*'Biaya Bulanan'!$T$51</f>
        <v>0</v>
      </c>
      <c r="O30" s="45" t="n">
        <f aca="false">IF(O$4&lt;'Biaya Bulanan'!$I$51,0,IF(O$4&lt;=3,'Biaya Bulanan'!$V$51,IF(O$4&lt;=12,'Biaya Bulanan'!$W$51,'Biaya Bulanan'!$X$51)))*'Biaya Bulanan'!$T$51</f>
        <v>0</v>
      </c>
      <c r="P30" s="45" t="n">
        <f aca="false">IF(P$4&lt;'Biaya Bulanan'!$I$51,0,IF(P$4&lt;=3,'Biaya Bulanan'!$V$51,IF(P$4&lt;=12,'Biaya Bulanan'!$W$51,'Biaya Bulanan'!$X$51)))*'Biaya Bulanan'!$T$51</f>
        <v>16269476</v>
      </c>
      <c r="Q30" s="45" t="n">
        <f aca="false">IF(Q$4&lt;'Biaya Bulanan'!$I$51,0,IF(Q$4&lt;=3,'Biaya Bulanan'!$V$51,IF(Q$4&lt;=12,'Biaya Bulanan'!$W$51,'Biaya Bulanan'!$X$51)))*'Biaya Bulanan'!$T$51</f>
        <v>16269476</v>
      </c>
      <c r="R30" s="45" t="n">
        <f aca="false">IF(R$4&lt;'Biaya Bulanan'!$I$51,0,IF(R$4&lt;=3,'Biaya Bulanan'!$V$51,IF(R$4&lt;=12,'Biaya Bulanan'!$W$51,'Biaya Bulanan'!$X$51)))*'Biaya Bulanan'!$T$51</f>
        <v>16269476</v>
      </c>
      <c r="S30" s="45" t="n">
        <f aca="false">IF(S$4&lt;'Biaya Bulanan'!$I$51,0,IF(S$4&lt;=3,'Biaya Bulanan'!$V$51,IF(S$4&lt;=12,'Biaya Bulanan'!$W$51,'Biaya Bulanan'!$X$51)))*'Biaya Bulanan'!$T$51</f>
        <v>16269476</v>
      </c>
      <c r="T30" s="45" t="n">
        <f aca="false">IF(T$4&lt;'Biaya Bulanan'!$I$51,0,IF(T$4&lt;=3,'Biaya Bulanan'!$V$51,IF(T$4&lt;=12,'Biaya Bulanan'!$W$51,'Biaya Bulanan'!$X$51)))*'Biaya Bulanan'!$T$51</f>
        <v>16269476</v>
      </c>
      <c r="U30" s="45" t="n">
        <f aca="false">IF(U$4&lt;'Biaya Bulanan'!$I$51,0,IF(U$4&lt;=3,'Biaya Bulanan'!$V$51,IF(U$4&lt;=12,'Biaya Bulanan'!$W$51,'Biaya Bulanan'!$X$51)))*'Biaya Bulanan'!$T$51</f>
        <v>16269476</v>
      </c>
      <c r="V30" s="45" t="n">
        <f aca="false">IF(V$4&lt;'Biaya Bulanan'!$I$51,0,IF(V$4&lt;=3,'Biaya Bulanan'!$V$51,IF(V$4&lt;=12,'Biaya Bulanan'!$W$51,'Biaya Bulanan'!$X$51)))*'Biaya Bulanan'!$T$51</f>
        <v>16269476</v>
      </c>
      <c r="W30" s="45" t="n">
        <f aca="false">IF(W$4&lt;'Biaya Bulanan'!$I$51,0,IF(W$4&lt;=3,'Biaya Bulanan'!$V$51,IF(W$4&lt;=12,'Biaya Bulanan'!$W$51,'Biaya Bulanan'!$X$51)))*'Biaya Bulanan'!$T$51</f>
        <v>16269476</v>
      </c>
      <c r="X30" s="45" t="n">
        <f aca="false">IF(X$4&lt;'Biaya Bulanan'!$I$51,0,IF(X$4&lt;=3,'Biaya Bulanan'!$V$51,IF(X$4&lt;=12,'Biaya Bulanan'!$W$51,'Biaya Bulanan'!$X$51)))*'Biaya Bulanan'!$T$51</f>
        <v>16269476</v>
      </c>
      <c r="Y30" s="45" t="n">
        <f aca="false">IF(Y$4&lt;'Biaya Bulanan'!$I$51,0,IF(Y$4&lt;=3,'Biaya Bulanan'!$V$51,IF(Y$4&lt;=12,'Biaya Bulanan'!$W$51,'Biaya Bulanan'!$X$51)))*'Biaya Bulanan'!$T$51</f>
        <v>16269476</v>
      </c>
      <c r="Z30" s="45" t="n">
        <f aca="false">IF(Z$4&lt;'Biaya Bulanan'!$I$51,0,IF(Z$4&lt;=3,'Biaya Bulanan'!$V$51,IF(Z$4&lt;=12,'Biaya Bulanan'!$W$51,'Biaya Bulanan'!$X$51)))*'Biaya Bulanan'!$T$51</f>
        <v>16269476</v>
      </c>
      <c r="AA30" s="45" t="n">
        <f aca="false">IF(AA$4&lt;'Biaya Bulanan'!$I$51,0,IF(AA$4&lt;=3,'Biaya Bulanan'!$V$51,IF(AA$4&lt;=12,'Biaya Bulanan'!$W$51,'Biaya Bulanan'!$X$51)))*'Biaya Bulanan'!$T$51</f>
        <v>16269476</v>
      </c>
    </row>
    <row r="31" customFormat="false" ht="15" hidden="false" customHeight="false" outlineLevel="0" collapsed="false">
      <c r="A31" s="18" t="n">
        <v>27</v>
      </c>
      <c r="B31" s="43" t="str">
        <f aca="false">'Biaya Bulanan'!$B$52</f>
        <v>Operasi</v>
      </c>
      <c r="C31" s="43" t="str">
        <f aca="false">'Biaya Bulanan'!$C$52</f>
        <v>Partner Acquisition Padang</v>
      </c>
      <c r="D31" s="45" t="n">
        <f aca="false">IF(D$4&lt;'Biaya Bulanan'!$I$52,0,IF(D$4&lt;=3,'Biaya Bulanan'!$V$52,IF(D$4&lt;=12,'Biaya Bulanan'!$W$52,'Biaya Bulanan'!$X$52)))*'Biaya Bulanan'!$T$52</f>
        <v>0</v>
      </c>
      <c r="E31" s="45" t="n">
        <f aca="false">IF(E$4&lt;'Biaya Bulanan'!$I$52,0,IF(E$4&lt;=3,'Biaya Bulanan'!$V$52,IF(E$4&lt;=12,'Biaya Bulanan'!$W$52,'Biaya Bulanan'!$X$52)))*'Biaya Bulanan'!$T$52</f>
        <v>0</v>
      </c>
      <c r="F31" s="45" t="n">
        <f aca="false">IF(F$4&lt;'Biaya Bulanan'!$I$52,0,IF(F$4&lt;=3,'Biaya Bulanan'!$V$52,IF(F$4&lt;=12,'Biaya Bulanan'!$W$52,'Biaya Bulanan'!$X$52)))*'Biaya Bulanan'!$T$52</f>
        <v>0</v>
      </c>
      <c r="G31" s="45" t="n">
        <f aca="false">IF(G$4&lt;'Biaya Bulanan'!$I$52,0,IF(G$4&lt;=3,'Biaya Bulanan'!$V$52,IF(G$4&lt;=12,'Biaya Bulanan'!$W$52,'Biaya Bulanan'!$X$52)))*'Biaya Bulanan'!$T$52</f>
        <v>0</v>
      </c>
      <c r="H31" s="45" t="n">
        <f aca="false">IF(H$4&lt;'Biaya Bulanan'!$I$52,0,IF(H$4&lt;=3,'Biaya Bulanan'!$V$52,IF(H$4&lt;=12,'Biaya Bulanan'!$W$52,'Biaya Bulanan'!$X$52)))*'Biaya Bulanan'!$T$52</f>
        <v>0</v>
      </c>
      <c r="I31" s="45" t="n">
        <f aca="false">IF(I$4&lt;'Biaya Bulanan'!$I$52,0,IF(I$4&lt;=3,'Biaya Bulanan'!$V$52,IF(I$4&lt;=12,'Biaya Bulanan'!$W$52,'Biaya Bulanan'!$X$52)))*'Biaya Bulanan'!$T$52</f>
        <v>0</v>
      </c>
      <c r="J31" s="45" t="n">
        <f aca="false">IF(J$4&lt;'Biaya Bulanan'!$I$52,0,IF(J$4&lt;=3,'Biaya Bulanan'!$V$52,IF(J$4&lt;=12,'Biaya Bulanan'!$W$52,'Biaya Bulanan'!$X$52)))*'Biaya Bulanan'!$T$52</f>
        <v>0</v>
      </c>
      <c r="K31" s="45" t="n">
        <f aca="false">IF(K$4&lt;'Biaya Bulanan'!$I$52,0,IF(K$4&lt;=3,'Biaya Bulanan'!$V$52,IF(K$4&lt;=12,'Biaya Bulanan'!$W$52,'Biaya Bulanan'!$X$52)))*'Biaya Bulanan'!$T$52</f>
        <v>0</v>
      </c>
      <c r="L31" s="45" t="n">
        <f aca="false">IF(L$4&lt;'Biaya Bulanan'!$I$52,0,IF(L$4&lt;=3,'Biaya Bulanan'!$V$52,IF(L$4&lt;=12,'Biaya Bulanan'!$W$52,'Biaya Bulanan'!$X$52)))*'Biaya Bulanan'!$T$52</f>
        <v>0</v>
      </c>
      <c r="M31" s="45" t="n">
        <f aca="false">IF(M$4&lt;'Biaya Bulanan'!$I$52,0,IF(M$4&lt;=3,'Biaya Bulanan'!$V$52,IF(M$4&lt;=12,'Biaya Bulanan'!$W$52,'Biaya Bulanan'!$X$52)))*'Biaya Bulanan'!$T$52</f>
        <v>0</v>
      </c>
      <c r="N31" s="45" t="n">
        <f aca="false">IF(N$4&lt;'Biaya Bulanan'!$I$52,0,IF(N$4&lt;=3,'Biaya Bulanan'!$V$52,IF(N$4&lt;=12,'Biaya Bulanan'!$W$52,'Biaya Bulanan'!$X$52)))*'Biaya Bulanan'!$T$52</f>
        <v>0</v>
      </c>
      <c r="O31" s="45" t="n">
        <f aca="false">IF(O$4&lt;'Biaya Bulanan'!$I$52,0,IF(O$4&lt;=3,'Biaya Bulanan'!$V$52,IF(O$4&lt;=12,'Biaya Bulanan'!$W$52,'Biaya Bulanan'!$X$52)))*'Biaya Bulanan'!$T$52</f>
        <v>0</v>
      </c>
      <c r="P31" s="45" t="n">
        <f aca="false">IF(P$4&lt;'Biaya Bulanan'!$I$52,0,IF(P$4&lt;=3,'Biaya Bulanan'!$V$52,IF(P$4&lt;=12,'Biaya Bulanan'!$W$52,'Biaya Bulanan'!$X$52)))*'Biaya Bulanan'!$T$52</f>
        <v>5704677</v>
      </c>
      <c r="Q31" s="45" t="n">
        <f aca="false">IF(Q$4&lt;'Biaya Bulanan'!$I$52,0,IF(Q$4&lt;=3,'Biaya Bulanan'!$V$52,IF(Q$4&lt;=12,'Biaya Bulanan'!$W$52,'Biaya Bulanan'!$X$52)))*'Biaya Bulanan'!$T$52</f>
        <v>5704677</v>
      </c>
      <c r="R31" s="45" t="n">
        <f aca="false">IF(R$4&lt;'Biaya Bulanan'!$I$52,0,IF(R$4&lt;=3,'Biaya Bulanan'!$V$52,IF(R$4&lt;=12,'Biaya Bulanan'!$W$52,'Biaya Bulanan'!$X$52)))*'Biaya Bulanan'!$T$52</f>
        <v>5704677</v>
      </c>
      <c r="S31" s="45" t="n">
        <f aca="false">IF(S$4&lt;'Biaya Bulanan'!$I$52,0,IF(S$4&lt;=3,'Biaya Bulanan'!$V$52,IF(S$4&lt;=12,'Biaya Bulanan'!$W$52,'Biaya Bulanan'!$X$52)))*'Biaya Bulanan'!$T$52</f>
        <v>5704677</v>
      </c>
      <c r="T31" s="45" t="n">
        <f aca="false">IF(T$4&lt;'Biaya Bulanan'!$I$52,0,IF(T$4&lt;=3,'Biaya Bulanan'!$V$52,IF(T$4&lt;=12,'Biaya Bulanan'!$W$52,'Biaya Bulanan'!$X$52)))*'Biaya Bulanan'!$T$52</f>
        <v>5704677</v>
      </c>
      <c r="U31" s="45" t="n">
        <f aca="false">IF(U$4&lt;'Biaya Bulanan'!$I$52,0,IF(U$4&lt;=3,'Biaya Bulanan'!$V$52,IF(U$4&lt;=12,'Biaya Bulanan'!$W$52,'Biaya Bulanan'!$X$52)))*'Biaya Bulanan'!$T$52</f>
        <v>5704677</v>
      </c>
      <c r="V31" s="45" t="n">
        <f aca="false">IF(V$4&lt;'Biaya Bulanan'!$I$52,0,IF(V$4&lt;=3,'Biaya Bulanan'!$V$52,IF(V$4&lt;=12,'Biaya Bulanan'!$W$52,'Biaya Bulanan'!$X$52)))*'Biaya Bulanan'!$T$52</f>
        <v>5704677</v>
      </c>
      <c r="W31" s="45" t="n">
        <f aca="false">IF(W$4&lt;'Biaya Bulanan'!$I$52,0,IF(W$4&lt;=3,'Biaya Bulanan'!$V$52,IF(W$4&lt;=12,'Biaya Bulanan'!$W$52,'Biaya Bulanan'!$X$52)))*'Biaya Bulanan'!$T$52</f>
        <v>5704677</v>
      </c>
      <c r="X31" s="45" t="n">
        <f aca="false">IF(X$4&lt;'Biaya Bulanan'!$I$52,0,IF(X$4&lt;=3,'Biaya Bulanan'!$V$52,IF(X$4&lt;=12,'Biaya Bulanan'!$W$52,'Biaya Bulanan'!$X$52)))*'Biaya Bulanan'!$T$52</f>
        <v>5704677</v>
      </c>
      <c r="Y31" s="45" t="n">
        <f aca="false">IF(Y$4&lt;'Biaya Bulanan'!$I$52,0,IF(Y$4&lt;=3,'Biaya Bulanan'!$V$52,IF(Y$4&lt;=12,'Biaya Bulanan'!$W$52,'Biaya Bulanan'!$X$52)))*'Biaya Bulanan'!$T$52</f>
        <v>5704677</v>
      </c>
      <c r="Z31" s="45" t="n">
        <f aca="false">IF(Z$4&lt;'Biaya Bulanan'!$I$52,0,IF(Z$4&lt;=3,'Biaya Bulanan'!$V$52,IF(Z$4&lt;=12,'Biaya Bulanan'!$W$52,'Biaya Bulanan'!$X$52)))*'Biaya Bulanan'!$T$52</f>
        <v>5704677</v>
      </c>
      <c r="AA31" s="45" t="n">
        <f aca="false">IF(AA$4&lt;'Biaya Bulanan'!$I$52,0,IF(AA$4&lt;=3,'Biaya Bulanan'!$V$52,IF(AA$4&lt;=12,'Biaya Bulanan'!$W$52,'Biaya Bulanan'!$X$52)))*'Biaya Bulanan'!$T$52</f>
        <v>5704677</v>
      </c>
    </row>
    <row r="32" customFormat="false" ht="15" hidden="false" customHeight="false" outlineLevel="0" collapsed="false">
      <c r="A32" s="18" t="n">
        <v>28</v>
      </c>
      <c r="B32" s="43" t="str">
        <f aca="false">'Biaya Bulanan'!$B$53</f>
        <v>Operasi</v>
      </c>
      <c r="C32" s="43" t="str">
        <f aca="false">'Biaya Bulanan'!$C$53</f>
        <v>Ops Supervisor Padang</v>
      </c>
      <c r="D32" s="45" t="n">
        <f aca="false">IF(D$4&lt;'Biaya Bulanan'!$I$53,0,IF(D$4&lt;=3,'Biaya Bulanan'!$V$53,IF(D$4&lt;=12,'Biaya Bulanan'!$W$53,'Biaya Bulanan'!$X$53)))*'Biaya Bulanan'!$T$53</f>
        <v>0</v>
      </c>
      <c r="E32" s="45" t="n">
        <f aca="false">IF(E$4&lt;'Biaya Bulanan'!$I$53,0,IF(E$4&lt;=3,'Biaya Bulanan'!$V$53,IF(E$4&lt;=12,'Biaya Bulanan'!$W$53,'Biaya Bulanan'!$X$53)))*'Biaya Bulanan'!$T$53</f>
        <v>0</v>
      </c>
      <c r="F32" s="45" t="n">
        <f aca="false">IF(F$4&lt;'Biaya Bulanan'!$I$53,0,IF(F$4&lt;=3,'Biaya Bulanan'!$V$53,IF(F$4&lt;=12,'Biaya Bulanan'!$W$53,'Biaya Bulanan'!$X$53)))*'Biaya Bulanan'!$T$53</f>
        <v>0</v>
      </c>
      <c r="G32" s="45" t="n">
        <f aca="false">IF(G$4&lt;'Biaya Bulanan'!$I$53,0,IF(G$4&lt;=3,'Biaya Bulanan'!$V$53,IF(G$4&lt;=12,'Biaya Bulanan'!$W$53,'Biaya Bulanan'!$X$53)))*'Biaya Bulanan'!$T$53</f>
        <v>0</v>
      </c>
      <c r="H32" s="45" t="n">
        <f aca="false">IF(H$4&lt;'Biaya Bulanan'!$I$53,0,IF(H$4&lt;=3,'Biaya Bulanan'!$V$53,IF(H$4&lt;=12,'Biaya Bulanan'!$W$53,'Biaya Bulanan'!$X$53)))*'Biaya Bulanan'!$T$53</f>
        <v>0</v>
      </c>
      <c r="I32" s="45" t="n">
        <f aca="false">IF(I$4&lt;'Biaya Bulanan'!$I$53,0,IF(I$4&lt;=3,'Biaya Bulanan'!$V$53,IF(I$4&lt;=12,'Biaya Bulanan'!$W$53,'Biaya Bulanan'!$X$53)))*'Biaya Bulanan'!$T$53</f>
        <v>0</v>
      </c>
      <c r="J32" s="45" t="n">
        <f aca="false">IF(J$4&lt;'Biaya Bulanan'!$I$53,0,IF(J$4&lt;=3,'Biaya Bulanan'!$V$53,IF(J$4&lt;=12,'Biaya Bulanan'!$W$53,'Biaya Bulanan'!$X$53)))*'Biaya Bulanan'!$T$53</f>
        <v>0</v>
      </c>
      <c r="K32" s="45" t="n">
        <f aca="false">IF(K$4&lt;'Biaya Bulanan'!$I$53,0,IF(K$4&lt;=3,'Biaya Bulanan'!$V$53,IF(K$4&lt;=12,'Biaya Bulanan'!$W$53,'Biaya Bulanan'!$X$53)))*'Biaya Bulanan'!$T$53</f>
        <v>0</v>
      </c>
      <c r="L32" s="45" t="n">
        <f aca="false">IF(L$4&lt;'Biaya Bulanan'!$I$53,0,IF(L$4&lt;=3,'Biaya Bulanan'!$V$53,IF(L$4&lt;=12,'Biaya Bulanan'!$W$53,'Biaya Bulanan'!$X$53)))*'Biaya Bulanan'!$T$53</f>
        <v>0</v>
      </c>
      <c r="M32" s="45" t="n">
        <f aca="false">IF(M$4&lt;'Biaya Bulanan'!$I$53,0,IF(M$4&lt;=3,'Biaya Bulanan'!$V$53,IF(M$4&lt;=12,'Biaya Bulanan'!$W$53,'Biaya Bulanan'!$X$53)))*'Biaya Bulanan'!$T$53</f>
        <v>0</v>
      </c>
      <c r="N32" s="45" t="n">
        <f aca="false">IF(N$4&lt;'Biaya Bulanan'!$I$53,0,IF(N$4&lt;=3,'Biaya Bulanan'!$V$53,IF(N$4&lt;=12,'Biaya Bulanan'!$W$53,'Biaya Bulanan'!$X$53)))*'Biaya Bulanan'!$T$53</f>
        <v>0</v>
      </c>
      <c r="O32" s="45" t="n">
        <f aca="false">IF(O$4&lt;'Biaya Bulanan'!$I$53,0,IF(O$4&lt;=3,'Biaya Bulanan'!$V$53,IF(O$4&lt;=12,'Biaya Bulanan'!$W$53,'Biaya Bulanan'!$X$53)))*'Biaya Bulanan'!$T$53</f>
        <v>0</v>
      </c>
      <c r="P32" s="45" t="n">
        <f aca="false">IF(P$4&lt;'Biaya Bulanan'!$I$53,0,IF(P$4&lt;=3,'Biaya Bulanan'!$V$53,IF(P$4&lt;=12,'Biaya Bulanan'!$W$53,'Biaya Bulanan'!$X$53)))*'Biaya Bulanan'!$T$53</f>
        <v>0</v>
      </c>
      <c r="Q32" s="45" t="n">
        <f aca="false">IF(Q$4&lt;'Biaya Bulanan'!$I$53,0,IF(Q$4&lt;=3,'Biaya Bulanan'!$V$53,IF(Q$4&lt;=12,'Biaya Bulanan'!$W$53,'Biaya Bulanan'!$X$53)))*'Biaya Bulanan'!$T$53</f>
        <v>8524230</v>
      </c>
      <c r="R32" s="45" t="n">
        <f aca="false">IF(R$4&lt;'Biaya Bulanan'!$I$53,0,IF(R$4&lt;=3,'Biaya Bulanan'!$V$53,IF(R$4&lt;=12,'Biaya Bulanan'!$W$53,'Biaya Bulanan'!$X$53)))*'Biaya Bulanan'!$T$53</f>
        <v>8524230</v>
      </c>
      <c r="S32" s="45" t="n">
        <f aca="false">IF(S$4&lt;'Biaya Bulanan'!$I$53,0,IF(S$4&lt;=3,'Biaya Bulanan'!$V$53,IF(S$4&lt;=12,'Biaya Bulanan'!$W$53,'Biaya Bulanan'!$X$53)))*'Biaya Bulanan'!$T$53</f>
        <v>8524230</v>
      </c>
      <c r="T32" s="45" t="n">
        <f aca="false">IF(T$4&lt;'Biaya Bulanan'!$I$53,0,IF(T$4&lt;=3,'Biaya Bulanan'!$V$53,IF(T$4&lt;=12,'Biaya Bulanan'!$W$53,'Biaya Bulanan'!$X$53)))*'Biaya Bulanan'!$T$53</f>
        <v>8524230</v>
      </c>
      <c r="U32" s="45" t="n">
        <f aca="false">IF(U$4&lt;'Biaya Bulanan'!$I$53,0,IF(U$4&lt;=3,'Biaya Bulanan'!$V$53,IF(U$4&lt;=12,'Biaya Bulanan'!$W$53,'Biaya Bulanan'!$X$53)))*'Biaya Bulanan'!$T$53</f>
        <v>8524230</v>
      </c>
      <c r="V32" s="45" t="n">
        <f aca="false">IF(V$4&lt;'Biaya Bulanan'!$I$53,0,IF(V$4&lt;=3,'Biaya Bulanan'!$V$53,IF(V$4&lt;=12,'Biaya Bulanan'!$W$53,'Biaya Bulanan'!$X$53)))*'Biaya Bulanan'!$T$53</f>
        <v>8524230</v>
      </c>
      <c r="W32" s="45" t="n">
        <f aca="false">IF(W$4&lt;'Biaya Bulanan'!$I$53,0,IF(W$4&lt;=3,'Biaya Bulanan'!$V$53,IF(W$4&lt;=12,'Biaya Bulanan'!$W$53,'Biaya Bulanan'!$X$53)))*'Biaya Bulanan'!$T$53</f>
        <v>8524230</v>
      </c>
      <c r="X32" s="45" t="n">
        <f aca="false">IF(X$4&lt;'Biaya Bulanan'!$I$53,0,IF(X$4&lt;=3,'Biaya Bulanan'!$V$53,IF(X$4&lt;=12,'Biaya Bulanan'!$W$53,'Biaya Bulanan'!$X$53)))*'Biaya Bulanan'!$T$53</f>
        <v>8524230</v>
      </c>
      <c r="Y32" s="45" t="n">
        <f aca="false">IF(Y$4&lt;'Biaya Bulanan'!$I$53,0,IF(Y$4&lt;=3,'Biaya Bulanan'!$V$53,IF(Y$4&lt;=12,'Biaya Bulanan'!$W$53,'Biaya Bulanan'!$X$53)))*'Biaya Bulanan'!$T$53</f>
        <v>8524230</v>
      </c>
      <c r="Z32" s="45" t="n">
        <f aca="false">IF(Z$4&lt;'Biaya Bulanan'!$I$53,0,IF(Z$4&lt;=3,'Biaya Bulanan'!$V$53,IF(Z$4&lt;=12,'Biaya Bulanan'!$W$53,'Biaya Bulanan'!$X$53)))*'Biaya Bulanan'!$T$53</f>
        <v>8524230</v>
      </c>
      <c r="AA32" s="45" t="n">
        <f aca="false">IF(AA$4&lt;'Biaya Bulanan'!$I$53,0,IF(AA$4&lt;=3,'Biaya Bulanan'!$V$53,IF(AA$4&lt;=12,'Biaya Bulanan'!$W$53,'Biaya Bulanan'!$X$53)))*'Biaya Bulanan'!$T$53</f>
        <v>8524230</v>
      </c>
    </row>
    <row r="33" customFormat="false" ht="15" hidden="false" customHeight="false" outlineLevel="0" collapsed="false">
      <c r="A33" s="18" t="n">
        <v>29</v>
      </c>
      <c r="B33" s="43" t="str">
        <f aca="false">'Biaya Bulanan'!$B$54</f>
        <v>Operasi</v>
      </c>
      <c r="C33" s="43" t="str">
        <f aca="false">'Biaya Bulanan'!$C$54</f>
        <v>CS Agent Padang (shift)</v>
      </c>
      <c r="D33" s="45" t="n">
        <f aca="false">IF(D$4&lt;'Biaya Bulanan'!$I$54,0,IF(D$4&lt;=3,'Biaya Bulanan'!$V$54,IF(D$4&lt;=12,'Biaya Bulanan'!$W$54,'Biaya Bulanan'!$X$54)))*'Biaya Bulanan'!$T$54</f>
        <v>0</v>
      </c>
      <c r="E33" s="45" t="n">
        <f aca="false">IF(E$4&lt;'Biaya Bulanan'!$I$54,0,IF(E$4&lt;=3,'Biaya Bulanan'!$V$54,IF(E$4&lt;=12,'Biaya Bulanan'!$W$54,'Biaya Bulanan'!$X$54)))*'Biaya Bulanan'!$T$54</f>
        <v>0</v>
      </c>
      <c r="F33" s="45" t="n">
        <f aca="false">IF(F$4&lt;'Biaya Bulanan'!$I$54,0,IF(F$4&lt;=3,'Biaya Bulanan'!$V$54,IF(F$4&lt;=12,'Biaya Bulanan'!$W$54,'Biaya Bulanan'!$X$54)))*'Biaya Bulanan'!$T$54</f>
        <v>0</v>
      </c>
      <c r="G33" s="45" t="n">
        <f aca="false">IF(G$4&lt;'Biaya Bulanan'!$I$54,0,IF(G$4&lt;=3,'Biaya Bulanan'!$V$54,IF(G$4&lt;=12,'Biaya Bulanan'!$W$54,'Biaya Bulanan'!$X$54)))*'Biaya Bulanan'!$T$54</f>
        <v>0</v>
      </c>
      <c r="H33" s="45" t="n">
        <f aca="false">IF(H$4&lt;'Biaya Bulanan'!$I$54,0,IF(H$4&lt;=3,'Biaya Bulanan'!$V$54,IF(H$4&lt;=12,'Biaya Bulanan'!$W$54,'Biaya Bulanan'!$X$54)))*'Biaya Bulanan'!$T$54</f>
        <v>0</v>
      </c>
      <c r="I33" s="45" t="n">
        <f aca="false">IF(I$4&lt;'Biaya Bulanan'!$I$54,0,IF(I$4&lt;=3,'Biaya Bulanan'!$V$54,IF(I$4&lt;=12,'Biaya Bulanan'!$W$54,'Biaya Bulanan'!$X$54)))*'Biaya Bulanan'!$T$54</f>
        <v>0</v>
      </c>
      <c r="J33" s="45" t="n">
        <f aca="false">IF(J$4&lt;'Biaya Bulanan'!$I$54,0,IF(J$4&lt;=3,'Biaya Bulanan'!$V$54,IF(J$4&lt;=12,'Biaya Bulanan'!$W$54,'Biaya Bulanan'!$X$54)))*'Biaya Bulanan'!$T$54</f>
        <v>0</v>
      </c>
      <c r="K33" s="45" t="n">
        <f aca="false">IF(K$4&lt;'Biaya Bulanan'!$I$54,0,IF(K$4&lt;=3,'Biaya Bulanan'!$V$54,IF(K$4&lt;=12,'Biaya Bulanan'!$W$54,'Biaya Bulanan'!$X$54)))*'Biaya Bulanan'!$T$54</f>
        <v>0</v>
      </c>
      <c r="L33" s="45" t="n">
        <f aca="false">IF(L$4&lt;'Biaya Bulanan'!$I$54,0,IF(L$4&lt;=3,'Biaya Bulanan'!$V$54,IF(L$4&lt;=12,'Biaya Bulanan'!$W$54,'Biaya Bulanan'!$X$54)))*'Biaya Bulanan'!$T$54</f>
        <v>0</v>
      </c>
      <c r="M33" s="45" t="n">
        <f aca="false">IF(M$4&lt;'Biaya Bulanan'!$I$54,0,IF(M$4&lt;=3,'Biaya Bulanan'!$V$54,IF(M$4&lt;=12,'Biaya Bulanan'!$W$54,'Biaya Bulanan'!$X$54)))*'Biaya Bulanan'!$T$54</f>
        <v>0</v>
      </c>
      <c r="N33" s="45" t="n">
        <f aca="false">IF(N$4&lt;'Biaya Bulanan'!$I$54,0,IF(N$4&lt;=3,'Biaya Bulanan'!$V$54,IF(N$4&lt;=12,'Biaya Bulanan'!$W$54,'Biaya Bulanan'!$X$54)))*'Biaya Bulanan'!$T$54</f>
        <v>0</v>
      </c>
      <c r="O33" s="45" t="n">
        <f aca="false">IF(O$4&lt;'Biaya Bulanan'!$I$54,0,IF(O$4&lt;=3,'Biaya Bulanan'!$V$54,IF(O$4&lt;=12,'Biaya Bulanan'!$W$54,'Biaya Bulanan'!$X$54)))*'Biaya Bulanan'!$T$54</f>
        <v>0</v>
      </c>
      <c r="P33" s="45" t="n">
        <f aca="false">IF(P$4&lt;'Biaya Bulanan'!$I$54,0,IF(P$4&lt;=3,'Biaya Bulanan'!$V$54,IF(P$4&lt;=12,'Biaya Bulanan'!$W$54,'Biaya Bulanan'!$X$54)))*'Biaya Bulanan'!$T$54</f>
        <v>0</v>
      </c>
      <c r="Q33" s="45" t="n">
        <f aca="false">IF(Q$4&lt;'Biaya Bulanan'!$I$54,0,IF(Q$4&lt;=3,'Biaya Bulanan'!$V$54,IF(Q$4&lt;=12,'Biaya Bulanan'!$W$54,'Biaya Bulanan'!$X$54)))*'Biaya Bulanan'!$T$54</f>
        <v>10068289</v>
      </c>
      <c r="R33" s="45" t="n">
        <f aca="false">IF(R$4&lt;'Biaya Bulanan'!$I$54,0,IF(R$4&lt;=3,'Biaya Bulanan'!$V$54,IF(R$4&lt;=12,'Biaya Bulanan'!$W$54,'Biaya Bulanan'!$X$54)))*'Biaya Bulanan'!$T$54</f>
        <v>10068289</v>
      </c>
      <c r="S33" s="45" t="n">
        <f aca="false">IF(S$4&lt;'Biaya Bulanan'!$I$54,0,IF(S$4&lt;=3,'Biaya Bulanan'!$V$54,IF(S$4&lt;=12,'Biaya Bulanan'!$W$54,'Biaya Bulanan'!$X$54)))*'Biaya Bulanan'!$T$54</f>
        <v>10068289</v>
      </c>
      <c r="T33" s="45" t="n">
        <f aca="false">IF(T$4&lt;'Biaya Bulanan'!$I$54,0,IF(T$4&lt;=3,'Biaya Bulanan'!$V$54,IF(T$4&lt;=12,'Biaya Bulanan'!$W$54,'Biaya Bulanan'!$X$54)))*'Biaya Bulanan'!$T$54</f>
        <v>10068289</v>
      </c>
      <c r="U33" s="45" t="n">
        <f aca="false">IF(U$4&lt;'Biaya Bulanan'!$I$54,0,IF(U$4&lt;=3,'Biaya Bulanan'!$V$54,IF(U$4&lt;=12,'Biaya Bulanan'!$W$54,'Biaya Bulanan'!$X$54)))*'Biaya Bulanan'!$T$54</f>
        <v>10068289</v>
      </c>
      <c r="V33" s="45" t="n">
        <f aca="false">IF(V$4&lt;'Biaya Bulanan'!$I$54,0,IF(V$4&lt;=3,'Biaya Bulanan'!$V$54,IF(V$4&lt;=12,'Biaya Bulanan'!$W$54,'Biaya Bulanan'!$X$54)))*'Biaya Bulanan'!$T$54</f>
        <v>10068289</v>
      </c>
      <c r="W33" s="45" t="n">
        <f aca="false">IF(W$4&lt;'Biaya Bulanan'!$I$54,0,IF(W$4&lt;=3,'Biaya Bulanan'!$V$54,IF(W$4&lt;=12,'Biaya Bulanan'!$W$54,'Biaya Bulanan'!$X$54)))*'Biaya Bulanan'!$T$54</f>
        <v>10068289</v>
      </c>
      <c r="X33" s="45" t="n">
        <f aca="false">IF(X$4&lt;'Biaya Bulanan'!$I$54,0,IF(X$4&lt;=3,'Biaya Bulanan'!$V$54,IF(X$4&lt;=12,'Biaya Bulanan'!$W$54,'Biaya Bulanan'!$X$54)))*'Biaya Bulanan'!$T$54</f>
        <v>10068289</v>
      </c>
      <c r="Y33" s="45" t="n">
        <f aca="false">IF(Y$4&lt;'Biaya Bulanan'!$I$54,0,IF(Y$4&lt;=3,'Biaya Bulanan'!$V$54,IF(Y$4&lt;=12,'Biaya Bulanan'!$W$54,'Biaya Bulanan'!$X$54)))*'Biaya Bulanan'!$T$54</f>
        <v>10068289</v>
      </c>
      <c r="Z33" s="45" t="n">
        <f aca="false">IF(Z$4&lt;'Biaya Bulanan'!$I$54,0,IF(Z$4&lt;=3,'Biaya Bulanan'!$V$54,IF(Z$4&lt;=12,'Biaya Bulanan'!$W$54,'Biaya Bulanan'!$X$54)))*'Biaya Bulanan'!$T$54</f>
        <v>10068289</v>
      </c>
      <c r="AA33" s="45" t="n">
        <f aca="false">IF(AA$4&lt;'Biaya Bulanan'!$I$54,0,IF(AA$4&lt;=3,'Biaya Bulanan'!$V$54,IF(AA$4&lt;=12,'Biaya Bulanan'!$W$54,'Biaya Bulanan'!$X$54)))*'Biaya Bulanan'!$T$54</f>
        <v>10068289</v>
      </c>
    </row>
    <row r="34" customFormat="false" ht="15" hidden="false" customHeight="false" outlineLevel="0" collapsed="false">
      <c r="A34" s="18" t="n">
        <v>30</v>
      </c>
      <c r="B34" s="43" t="str">
        <f aca="false">'Biaya Bulanan'!$B$55</f>
        <v>Operasi</v>
      </c>
      <c r="C34" s="43" t="str">
        <f aca="false">'Biaya Bulanan'!$C$55</f>
        <v>Partner Acquisition Padang - gelombang 2</v>
      </c>
      <c r="D34" s="45" t="n">
        <f aca="false">IF(D$4&lt;'Biaya Bulanan'!$I$55,0,IF(D$4&lt;=3,'Biaya Bulanan'!$V$55,IF(D$4&lt;=12,'Biaya Bulanan'!$W$55,'Biaya Bulanan'!$X$55)))*'Biaya Bulanan'!$T$55</f>
        <v>0</v>
      </c>
      <c r="E34" s="45" t="n">
        <f aca="false">IF(E$4&lt;'Biaya Bulanan'!$I$55,0,IF(E$4&lt;=3,'Biaya Bulanan'!$V$55,IF(E$4&lt;=12,'Biaya Bulanan'!$W$55,'Biaya Bulanan'!$X$55)))*'Biaya Bulanan'!$T$55</f>
        <v>0</v>
      </c>
      <c r="F34" s="45" t="n">
        <f aca="false">IF(F$4&lt;'Biaya Bulanan'!$I$55,0,IF(F$4&lt;=3,'Biaya Bulanan'!$V$55,IF(F$4&lt;=12,'Biaya Bulanan'!$W$55,'Biaya Bulanan'!$X$55)))*'Biaya Bulanan'!$T$55</f>
        <v>0</v>
      </c>
      <c r="G34" s="45" t="n">
        <f aca="false">IF(G$4&lt;'Biaya Bulanan'!$I$55,0,IF(G$4&lt;=3,'Biaya Bulanan'!$V$55,IF(G$4&lt;=12,'Biaya Bulanan'!$W$55,'Biaya Bulanan'!$X$55)))*'Biaya Bulanan'!$T$55</f>
        <v>0</v>
      </c>
      <c r="H34" s="45" t="n">
        <f aca="false">IF(H$4&lt;'Biaya Bulanan'!$I$55,0,IF(H$4&lt;=3,'Biaya Bulanan'!$V$55,IF(H$4&lt;=12,'Biaya Bulanan'!$W$55,'Biaya Bulanan'!$X$55)))*'Biaya Bulanan'!$T$55</f>
        <v>0</v>
      </c>
      <c r="I34" s="45" t="n">
        <f aca="false">IF(I$4&lt;'Biaya Bulanan'!$I$55,0,IF(I$4&lt;=3,'Biaya Bulanan'!$V$55,IF(I$4&lt;=12,'Biaya Bulanan'!$W$55,'Biaya Bulanan'!$X$55)))*'Biaya Bulanan'!$T$55</f>
        <v>0</v>
      </c>
      <c r="J34" s="45" t="n">
        <f aca="false">IF(J$4&lt;'Biaya Bulanan'!$I$55,0,IF(J$4&lt;=3,'Biaya Bulanan'!$V$55,IF(J$4&lt;=12,'Biaya Bulanan'!$W$55,'Biaya Bulanan'!$X$55)))*'Biaya Bulanan'!$T$55</f>
        <v>0</v>
      </c>
      <c r="K34" s="45" t="n">
        <f aca="false">IF(K$4&lt;'Biaya Bulanan'!$I$55,0,IF(K$4&lt;=3,'Biaya Bulanan'!$V$55,IF(K$4&lt;=12,'Biaya Bulanan'!$W$55,'Biaya Bulanan'!$X$55)))*'Biaya Bulanan'!$T$55</f>
        <v>0</v>
      </c>
      <c r="L34" s="45" t="n">
        <f aca="false">IF(L$4&lt;'Biaya Bulanan'!$I$55,0,IF(L$4&lt;=3,'Biaya Bulanan'!$V$55,IF(L$4&lt;=12,'Biaya Bulanan'!$W$55,'Biaya Bulanan'!$X$55)))*'Biaya Bulanan'!$T$55</f>
        <v>0</v>
      </c>
      <c r="M34" s="45" t="n">
        <f aca="false">IF(M$4&lt;'Biaya Bulanan'!$I$55,0,IF(M$4&lt;=3,'Biaya Bulanan'!$V$55,IF(M$4&lt;=12,'Biaya Bulanan'!$W$55,'Biaya Bulanan'!$X$55)))*'Biaya Bulanan'!$T$55</f>
        <v>0</v>
      </c>
      <c r="N34" s="45" t="n">
        <f aca="false">IF(N$4&lt;'Biaya Bulanan'!$I$55,0,IF(N$4&lt;=3,'Biaya Bulanan'!$V$55,IF(N$4&lt;=12,'Biaya Bulanan'!$W$55,'Biaya Bulanan'!$X$55)))*'Biaya Bulanan'!$T$55</f>
        <v>0</v>
      </c>
      <c r="O34" s="45" t="n">
        <f aca="false">IF(O$4&lt;'Biaya Bulanan'!$I$55,0,IF(O$4&lt;=3,'Biaya Bulanan'!$V$55,IF(O$4&lt;=12,'Biaya Bulanan'!$W$55,'Biaya Bulanan'!$X$55)))*'Biaya Bulanan'!$T$55</f>
        <v>0</v>
      </c>
      <c r="P34" s="45" t="n">
        <f aca="false">IF(P$4&lt;'Biaya Bulanan'!$I$55,0,IF(P$4&lt;=3,'Biaya Bulanan'!$V$55,IF(P$4&lt;=12,'Biaya Bulanan'!$W$55,'Biaya Bulanan'!$X$55)))*'Biaya Bulanan'!$T$55</f>
        <v>0</v>
      </c>
      <c r="Q34" s="45" t="n">
        <f aca="false">IF(Q$4&lt;'Biaya Bulanan'!$I$55,0,IF(Q$4&lt;=3,'Biaya Bulanan'!$V$55,IF(Q$4&lt;=12,'Biaya Bulanan'!$W$55,'Biaya Bulanan'!$X$55)))*'Biaya Bulanan'!$T$55</f>
        <v>0</v>
      </c>
      <c r="R34" s="45" t="n">
        <f aca="false">IF(R$4&lt;'Biaya Bulanan'!$I$55,0,IF(R$4&lt;=3,'Biaya Bulanan'!$V$55,IF(R$4&lt;=12,'Biaya Bulanan'!$W$55,'Biaya Bulanan'!$X$55)))*'Biaya Bulanan'!$T$55</f>
        <v>5704677</v>
      </c>
      <c r="S34" s="45" t="n">
        <f aca="false">IF(S$4&lt;'Biaya Bulanan'!$I$55,0,IF(S$4&lt;=3,'Biaya Bulanan'!$V$55,IF(S$4&lt;=12,'Biaya Bulanan'!$W$55,'Biaya Bulanan'!$X$55)))*'Biaya Bulanan'!$T$55</f>
        <v>5704677</v>
      </c>
      <c r="T34" s="45" t="n">
        <f aca="false">IF(T$4&lt;'Biaya Bulanan'!$I$55,0,IF(T$4&lt;=3,'Biaya Bulanan'!$V$55,IF(T$4&lt;=12,'Biaya Bulanan'!$W$55,'Biaya Bulanan'!$X$55)))*'Biaya Bulanan'!$T$55</f>
        <v>5704677</v>
      </c>
      <c r="U34" s="45" t="n">
        <f aca="false">IF(U$4&lt;'Biaya Bulanan'!$I$55,0,IF(U$4&lt;=3,'Biaya Bulanan'!$V$55,IF(U$4&lt;=12,'Biaya Bulanan'!$W$55,'Biaya Bulanan'!$X$55)))*'Biaya Bulanan'!$T$55</f>
        <v>5704677</v>
      </c>
      <c r="V34" s="45" t="n">
        <f aca="false">IF(V$4&lt;'Biaya Bulanan'!$I$55,0,IF(V$4&lt;=3,'Biaya Bulanan'!$V$55,IF(V$4&lt;=12,'Biaya Bulanan'!$W$55,'Biaya Bulanan'!$X$55)))*'Biaya Bulanan'!$T$55</f>
        <v>5704677</v>
      </c>
      <c r="W34" s="45" t="n">
        <f aca="false">IF(W$4&lt;'Biaya Bulanan'!$I$55,0,IF(W$4&lt;=3,'Biaya Bulanan'!$V$55,IF(W$4&lt;=12,'Biaya Bulanan'!$W$55,'Biaya Bulanan'!$X$55)))*'Biaya Bulanan'!$T$55</f>
        <v>5704677</v>
      </c>
      <c r="X34" s="45" t="n">
        <f aca="false">IF(X$4&lt;'Biaya Bulanan'!$I$55,0,IF(X$4&lt;=3,'Biaya Bulanan'!$V$55,IF(X$4&lt;=12,'Biaya Bulanan'!$W$55,'Biaya Bulanan'!$X$55)))*'Biaya Bulanan'!$T$55</f>
        <v>5704677</v>
      </c>
      <c r="Y34" s="45" t="n">
        <f aca="false">IF(Y$4&lt;'Biaya Bulanan'!$I$55,0,IF(Y$4&lt;=3,'Biaya Bulanan'!$V$55,IF(Y$4&lt;=12,'Biaya Bulanan'!$W$55,'Biaya Bulanan'!$X$55)))*'Biaya Bulanan'!$T$55</f>
        <v>5704677</v>
      </c>
      <c r="Z34" s="45" t="n">
        <f aca="false">IF(Z$4&lt;'Biaya Bulanan'!$I$55,0,IF(Z$4&lt;=3,'Biaya Bulanan'!$V$55,IF(Z$4&lt;=12,'Biaya Bulanan'!$W$55,'Biaya Bulanan'!$X$55)))*'Biaya Bulanan'!$T$55</f>
        <v>5704677</v>
      </c>
      <c r="AA34" s="45" t="n">
        <f aca="false">IF(AA$4&lt;'Biaya Bulanan'!$I$55,0,IF(AA$4&lt;=3,'Biaya Bulanan'!$V$55,IF(AA$4&lt;=12,'Biaya Bulanan'!$W$55,'Biaya Bulanan'!$X$55)))*'Biaya Bulanan'!$T$55</f>
        <v>5704677</v>
      </c>
    </row>
    <row r="35" customFormat="false" ht="15" hidden="false" customHeight="false" outlineLevel="0" collapsed="false">
      <c r="A35" s="18" t="n">
        <v>31</v>
      </c>
      <c r="B35" s="43" t="str">
        <f aca="false">'Biaya Bulanan'!$B$56</f>
        <v>Growth &amp; Partnership</v>
      </c>
      <c r="C35" s="43" t="str">
        <f aca="false">'Biaya Bulanan'!$C$56</f>
        <v>Head of Growth &amp; Partnership</v>
      </c>
      <c r="D35" s="45" t="n">
        <f aca="false">IF(D$4&lt;'Biaya Bulanan'!$I$56,0,IF(D$4&lt;=3,'Biaya Bulanan'!$V$56,IF(D$4&lt;=12,'Biaya Bulanan'!$W$56,'Biaya Bulanan'!$X$56)))*'Biaya Bulanan'!$T$56</f>
        <v>0</v>
      </c>
      <c r="E35" s="45" t="n">
        <f aca="false">IF(E$4&lt;'Biaya Bulanan'!$I$56,0,IF(E$4&lt;=3,'Biaya Bulanan'!$V$56,IF(E$4&lt;=12,'Biaya Bulanan'!$W$56,'Biaya Bulanan'!$X$56)))*'Biaya Bulanan'!$T$56</f>
        <v>0</v>
      </c>
      <c r="F35" s="45" t="n">
        <f aca="false">IF(F$4&lt;'Biaya Bulanan'!$I$56,0,IF(F$4&lt;=3,'Biaya Bulanan'!$V$56,IF(F$4&lt;=12,'Biaya Bulanan'!$W$56,'Biaya Bulanan'!$X$56)))*'Biaya Bulanan'!$T$56</f>
        <v>0</v>
      </c>
      <c r="G35" s="45" t="n">
        <f aca="false">IF(G$4&lt;'Biaya Bulanan'!$I$56,0,IF(G$4&lt;=3,'Biaya Bulanan'!$V$56,IF(G$4&lt;=12,'Biaya Bulanan'!$W$56,'Biaya Bulanan'!$X$56)))*'Biaya Bulanan'!$T$56</f>
        <v>27395481</v>
      </c>
      <c r="H35" s="45" t="n">
        <f aca="false">IF(H$4&lt;'Biaya Bulanan'!$I$56,0,IF(H$4&lt;=3,'Biaya Bulanan'!$V$56,IF(H$4&lt;=12,'Biaya Bulanan'!$W$56,'Biaya Bulanan'!$X$56)))*'Biaya Bulanan'!$T$56</f>
        <v>27395481</v>
      </c>
      <c r="I35" s="45" t="n">
        <f aca="false">IF(I$4&lt;'Biaya Bulanan'!$I$56,0,IF(I$4&lt;=3,'Biaya Bulanan'!$V$56,IF(I$4&lt;=12,'Biaya Bulanan'!$W$56,'Biaya Bulanan'!$X$56)))*'Biaya Bulanan'!$T$56</f>
        <v>27395481</v>
      </c>
      <c r="J35" s="45" t="n">
        <f aca="false">IF(J$4&lt;'Biaya Bulanan'!$I$56,0,IF(J$4&lt;=3,'Biaya Bulanan'!$V$56,IF(J$4&lt;=12,'Biaya Bulanan'!$W$56,'Biaya Bulanan'!$X$56)))*'Biaya Bulanan'!$T$56</f>
        <v>27395481</v>
      </c>
      <c r="K35" s="45" t="n">
        <f aca="false">IF(K$4&lt;'Biaya Bulanan'!$I$56,0,IF(K$4&lt;=3,'Biaya Bulanan'!$V$56,IF(K$4&lt;=12,'Biaya Bulanan'!$W$56,'Biaya Bulanan'!$X$56)))*'Biaya Bulanan'!$T$56</f>
        <v>27395481</v>
      </c>
      <c r="L35" s="45" t="n">
        <f aca="false">IF(L$4&lt;'Biaya Bulanan'!$I$56,0,IF(L$4&lt;=3,'Biaya Bulanan'!$V$56,IF(L$4&lt;=12,'Biaya Bulanan'!$W$56,'Biaya Bulanan'!$X$56)))*'Biaya Bulanan'!$T$56</f>
        <v>27395481</v>
      </c>
      <c r="M35" s="45" t="n">
        <f aca="false">IF(M$4&lt;'Biaya Bulanan'!$I$56,0,IF(M$4&lt;=3,'Biaya Bulanan'!$V$56,IF(M$4&lt;=12,'Biaya Bulanan'!$W$56,'Biaya Bulanan'!$X$56)))*'Biaya Bulanan'!$T$56</f>
        <v>27395481</v>
      </c>
      <c r="N35" s="45" t="n">
        <f aca="false">IF(N$4&lt;'Biaya Bulanan'!$I$56,0,IF(N$4&lt;=3,'Biaya Bulanan'!$V$56,IF(N$4&lt;=12,'Biaya Bulanan'!$W$56,'Biaya Bulanan'!$X$56)))*'Biaya Bulanan'!$T$56</f>
        <v>27395481</v>
      </c>
      <c r="O35" s="45" t="n">
        <f aca="false">IF(O$4&lt;'Biaya Bulanan'!$I$56,0,IF(O$4&lt;=3,'Biaya Bulanan'!$V$56,IF(O$4&lt;=12,'Biaya Bulanan'!$W$56,'Biaya Bulanan'!$X$56)))*'Biaya Bulanan'!$T$56</f>
        <v>27395481</v>
      </c>
      <c r="P35" s="45" t="n">
        <f aca="false">IF(P$4&lt;'Biaya Bulanan'!$I$56,0,IF(P$4&lt;=3,'Biaya Bulanan'!$V$56,IF(P$4&lt;=12,'Biaya Bulanan'!$W$56,'Biaya Bulanan'!$X$56)))*'Biaya Bulanan'!$T$56</f>
        <v>27395481</v>
      </c>
      <c r="Q35" s="45" t="n">
        <f aca="false">IF(Q$4&lt;'Biaya Bulanan'!$I$56,0,IF(Q$4&lt;=3,'Biaya Bulanan'!$V$56,IF(Q$4&lt;=12,'Biaya Bulanan'!$W$56,'Biaya Bulanan'!$X$56)))*'Biaya Bulanan'!$T$56</f>
        <v>27395481</v>
      </c>
      <c r="R35" s="45" t="n">
        <f aca="false">IF(R$4&lt;'Biaya Bulanan'!$I$56,0,IF(R$4&lt;=3,'Biaya Bulanan'!$V$56,IF(R$4&lt;=12,'Biaya Bulanan'!$W$56,'Biaya Bulanan'!$X$56)))*'Biaya Bulanan'!$T$56</f>
        <v>27395481</v>
      </c>
      <c r="S35" s="45" t="n">
        <f aca="false">IF(S$4&lt;'Biaya Bulanan'!$I$56,0,IF(S$4&lt;=3,'Biaya Bulanan'!$V$56,IF(S$4&lt;=12,'Biaya Bulanan'!$W$56,'Biaya Bulanan'!$X$56)))*'Biaya Bulanan'!$T$56</f>
        <v>27395481</v>
      </c>
      <c r="T35" s="45" t="n">
        <f aca="false">IF(T$4&lt;'Biaya Bulanan'!$I$56,0,IF(T$4&lt;=3,'Biaya Bulanan'!$V$56,IF(T$4&lt;=12,'Biaya Bulanan'!$W$56,'Biaya Bulanan'!$X$56)))*'Biaya Bulanan'!$T$56</f>
        <v>27395481</v>
      </c>
      <c r="U35" s="45" t="n">
        <f aca="false">IF(U$4&lt;'Biaya Bulanan'!$I$56,0,IF(U$4&lt;=3,'Biaya Bulanan'!$V$56,IF(U$4&lt;=12,'Biaya Bulanan'!$W$56,'Biaya Bulanan'!$X$56)))*'Biaya Bulanan'!$T$56</f>
        <v>27395481</v>
      </c>
      <c r="V35" s="45" t="n">
        <f aca="false">IF(V$4&lt;'Biaya Bulanan'!$I$56,0,IF(V$4&lt;=3,'Biaya Bulanan'!$V$56,IF(V$4&lt;=12,'Biaya Bulanan'!$W$56,'Biaya Bulanan'!$X$56)))*'Biaya Bulanan'!$T$56</f>
        <v>27395481</v>
      </c>
      <c r="W35" s="45" t="n">
        <f aca="false">IF(W$4&lt;'Biaya Bulanan'!$I$56,0,IF(W$4&lt;=3,'Biaya Bulanan'!$V$56,IF(W$4&lt;=12,'Biaya Bulanan'!$W$56,'Biaya Bulanan'!$X$56)))*'Biaya Bulanan'!$T$56</f>
        <v>27395481</v>
      </c>
      <c r="X35" s="45" t="n">
        <f aca="false">IF(X$4&lt;'Biaya Bulanan'!$I$56,0,IF(X$4&lt;=3,'Biaya Bulanan'!$V$56,IF(X$4&lt;=12,'Biaya Bulanan'!$W$56,'Biaya Bulanan'!$X$56)))*'Biaya Bulanan'!$T$56</f>
        <v>27395481</v>
      </c>
      <c r="Y35" s="45" t="n">
        <f aca="false">IF(Y$4&lt;'Biaya Bulanan'!$I$56,0,IF(Y$4&lt;=3,'Biaya Bulanan'!$V$56,IF(Y$4&lt;=12,'Biaya Bulanan'!$W$56,'Biaya Bulanan'!$X$56)))*'Biaya Bulanan'!$T$56</f>
        <v>27395481</v>
      </c>
      <c r="Z35" s="45" t="n">
        <f aca="false">IF(Z$4&lt;'Biaya Bulanan'!$I$56,0,IF(Z$4&lt;=3,'Biaya Bulanan'!$V$56,IF(Z$4&lt;=12,'Biaya Bulanan'!$W$56,'Biaya Bulanan'!$X$56)))*'Biaya Bulanan'!$T$56</f>
        <v>27395481</v>
      </c>
      <c r="AA35" s="45" t="n">
        <f aca="false">IF(AA$4&lt;'Biaya Bulanan'!$I$56,0,IF(AA$4&lt;=3,'Biaya Bulanan'!$V$56,IF(AA$4&lt;=12,'Biaya Bulanan'!$W$56,'Biaya Bulanan'!$X$56)))*'Biaya Bulanan'!$T$56</f>
        <v>27395481</v>
      </c>
    </row>
    <row r="36" customFormat="false" ht="15" hidden="false" customHeight="false" outlineLevel="0" collapsed="false">
      <c r="A36" s="18" t="n">
        <v>32</v>
      </c>
      <c r="B36" s="43" t="str">
        <f aca="false">'Biaya Bulanan'!$B$57</f>
        <v>Growth &amp; Partnership</v>
      </c>
      <c r="C36" s="43" t="str">
        <f aca="false">'Biaya Bulanan'!$C$57</f>
        <v>Digital Marketing Staff</v>
      </c>
      <c r="D36" s="45" t="n">
        <f aca="false">IF(D$4&lt;'Biaya Bulanan'!$I$57,0,IF(D$4&lt;=3,'Biaya Bulanan'!$V$57,IF(D$4&lt;=12,'Biaya Bulanan'!$W$57,'Biaya Bulanan'!$X$57)))*'Biaya Bulanan'!$T$57</f>
        <v>0</v>
      </c>
      <c r="E36" s="45" t="n">
        <f aca="false">IF(E$4&lt;'Biaya Bulanan'!$I$57,0,IF(E$4&lt;=3,'Biaya Bulanan'!$V$57,IF(E$4&lt;=12,'Biaya Bulanan'!$W$57,'Biaya Bulanan'!$X$57)))*'Biaya Bulanan'!$T$57</f>
        <v>0</v>
      </c>
      <c r="F36" s="45" t="n">
        <f aca="false">IF(F$4&lt;'Biaya Bulanan'!$I$57,0,IF(F$4&lt;=3,'Biaya Bulanan'!$V$57,IF(F$4&lt;=12,'Biaya Bulanan'!$W$57,'Biaya Bulanan'!$X$57)))*'Biaya Bulanan'!$T$57</f>
        <v>0</v>
      </c>
      <c r="G36" s="45" t="n">
        <f aca="false">IF(G$4&lt;'Biaya Bulanan'!$I$57,0,IF(G$4&lt;=3,'Biaya Bulanan'!$V$57,IF(G$4&lt;=12,'Biaya Bulanan'!$W$57,'Biaya Bulanan'!$X$57)))*'Biaya Bulanan'!$T$57</f>
        <v>0</v>
      </c>
      <c r="H36" s="45" t="n">
        <f aca="false">IF(H$4&lt;'Biaya Bulanan'!$I$57,0,IF(H$4&lt;=3,'Biaya Bulanan'!$V$57,IF(H$4&lt;=12,'Biaya Bulanan'!$W$57,'Biaya Bulanan'!$X$57)))*'Biaya Bulanan'!$T$57</f>
        <v>0</v>
      </c>
      <c r="I36" s="45" t="n">
        <f aca="false">IF(I$4&lt;'Biaya Bulanan'!$I$57,0,IF(I$4&lt;=3,'Biaya Bulanan'!$V$57,IF(I$4&lt;=12,'Biaya Bulanan'!$W$57,'Biaya Bulanan'!$X$57)))*'Biaya Bulanan'!$T$57</f>
        <v>0</v>
      </c>
      <c r="J36" s="45" t="n">
        <f aca="false">IF(J$4&lt;'Biaya Bulanan'!$I$57,0,IF(J$4&lt;=3,'Biaya Bulanan'!$V$57,IF(J$4&lt;=12,'Biaya Bulanan'!$W$57,'Biaya Bulanan'!$X$57)))*'Biaya Bulanan'!$T$57</f>
        <v>0</v>
      </c>
      <c r="K36" s="45" t="n">
        <f aca="false">IF(K$4&lt;'Biaya Bulanan'!$I$57,0,IF(K$4&lt;=3,'Biaya Bulanan'!$V$57,IF(K$4&lt;=12,'Biaya Bulanan'!$W$57,'Biaya Bulanan'!$X$57)))*'Biaya Bulanan'!$T$57</f>
        <v>0</v>
      </c>
      <c r="L36" s="45" t="n">
        <f aca="false">IF(L$4&lt;'Biaya Bulanan'!$I$57,0,IF(L$4&lt;=3,'Biaya Bulanan'!$V$57,IF(L$4&lt;=12,'Biaya Bulanan'!$W$57,'Biaya Bulanan'!$X$57)))*'Biaya Bulanan'!$T$57</f>
        <v>0</v>
      </c>
      <c r="M36" s="45" t="n">
        <f aca="false">IF(M$4&lt;'Biaya Bulanan'!$I$57,0,IF(M$4&lt;=3,'Biaya Bulanan'!$V$57,IF(M$4&lt;=12,'Biaya Bulanan'!$W$57,'Biaya Bulanan'!$X$57)))*'Biaya Bulanan'!$T$57</f>
        <v>0</v>
      </c>
      <c r="N36" s="45" t="n">
        <f aca="false">IF(N$4&lt;'Biaya Bulanan'!$I$57,0,IF(N$4&lt;=3,'Biaya Bulanan'!$V$57,IF(N$4&lt;=12,'Biaya Bulanan'!$W$57,'Biaya Bulanan'!$X$57)))*'Biaya Bulanan'!$T$57</f>
        <v>0</v>
      </c>
      <c r="O36" s="45" t="n">
        <f aca="false">IF(O$4&lt;'Biaya Bulanan'!$I$57,0,IF(O$4&lt;=3,'Biaya Bulanan'!$V$57,IF(O$4&lt;=12,'Biaya Bulanan'!$W$57,'Biaya Bulanan'!$X$57)))*'Biaya Bulanan'!$T$57</f>
        <v>0</v>
      </c>
      <c r="P36" s="45" t="n">
        <f aca="false">IF(P$4&lt;'Biaya Bulanan'!$I$57,0,IF(P$4&lt;=3,'Biaya Bulanan'!$V$57,IF(P$4&lt;=12,'Biaya Bulanan'!$W$57,'Biaya Bulanan'!$X$57)))*'Biaya Bulanan'!$T$57</f>
        <v>9152990</v>
      </c>
      <c r="Q36" s="45" t="n">
        <f aca="false">IF(Q$4&lt;'Biaya Bulanan'!$I$57,0,IF(Q$4&lt;=3,'Biaya Bulanan'!$V$57,IF(Q$4&lt;=12,'Biaya Bulanan'!$W$57,'Biaya Bulanan'!$X$57)))*'Biaya Bulanan'!$T$57</f>
        <v>9152990</v>
      </c>
      <c r="R36" s="45" t="n">
        <f aca="false">IF(R$4&lt;'Biaya Bulanan'!$I$57,0,IF(R$4&lt;=3,'Biaya Bulanan'!$V$57,IF(R$4&lt;=12,'Biaya Bulanan'!$W$57,'Biaya Bulanan'!$X$57)))*'Biaya Bulanan'!$T$57</f>
        <v>9152990</v>
      </c>
      <c r="S36" s="45" t="n">
        <f aca="false">IF(S$4&lt;'Biaya Bulanan'!$I$57,0,IF(S$4&lt;=3,'Biaya Bulanan'!$V$57,IF(S$4&lt;=12,'Biaya Bulanan'!$W$57,'Biaya Bulanan'!$X$57)))*'Biaya Bulanan'!$T$57</f>
        <v>9152990</v>
      </c>
      <c r="T36" s="45" t="n">
        <f aca="false">IF(T$4&lt;'Biaya Bulanan'!$I$57,0,IF(T$4&lt;=3,'Biaya Bulanan'!$V$57,IF(T$4&lt;=12,'Biaya Bulanan'!$W$57,'Biaya Bulanan'!$X$57)))*'Biaya Bulanan'!$T$57</f>
        <v>9152990</v>
      </c>
      <c r="U36" s="45" t="n">
        <f aca="false">IF(U$4&lt;'Biaya Bulanan'!$I$57,0,IF(U$4&lt;=3,'Biaya Bulanan'!$V$57,IF(U$4&lt;=12,'Biaya Bulanan'!$W$57,'Biaya Bulanan'!$X$57)))*'Biaya Bulanan'!$T$57</f>
        <v>9152990</v>
      </c>
      <c r="V36" s="45" t="n">
        <f aca="false">IF(V$4&lt;'Biaya Bulanan'!$I$57,0,IF(V$4&lt;=3,'Biaya Bulanan'!$V$57,IF(V$4&lt;=12,'Biaya Bulanan'!$W$57,'Biaya Bulanan'!$X$57)))*'Biaya Bulanan'!$T$57</f>
        <v>9152990</v>
      </c>
      <c r="W36" s="45" t="n">
        <f aca="false">IF(W$4&lt;'Biaya Bulanan'!$I$57,0,IF(W$4&lt;=3,'Biaya Bulanan'!$V$57,IF(W$4&lt;=12,'Biaya Bulanan'!$W$57,'Biaya Bulanan'!$X$57)))*'Biaya Bulanan'!$T$57</f>
        <v>9152990</v>
      </c>
      <c r="X36" s="45" t="n">
        <f aca="false">IF(X$4&lt;'Biaya Bulanan'!$I$57,0,IF(X$4&lt;=3,'Biaya Bulanan'!$V$57,IF(X$4&lt;=12,'Biaya Bulanan'!$W$57,'Biaya Bulanan'!$X$57)))*'Biaya Bulanan'!$T$57</f>
        <v>9152990</v>
      </c>
      <c r="Y36" s="45" t="n">
        <f aca="false">IF(Y$4&lt;'Biaya Bulanan'!$I$57,0,IF(Y$4&lt;=3,'Biaya Bulanan'!$V$57,IF(Y$4&lt;=12,'Biaya Bulanan'!$W$57,'Biaya Bulanan'!$X$57)))*'Biaya Bulanan'!$T$57</f>
        <v>9152990</v>
      </c>
      <c r="Z36" s="45" t="n">
        <f aca="false">IF(Z$4&lt;'Biaya Bulanan'!$I$57,0,IF(Z$4&lt;=3,'Biaya Bulanan'!$V$57,IF(Z$4&lt;=12,'Biaya Bulanan'!$W$57,'Biaya Bulanan'!$X$57)))*'Biaya Bulanan'!$T$57</f>
        <v>9152990</v>
      </c>
      <c r="AA36" s="45" t="n">
        <f aca="false">IF(AA$4&lt;'Biaya Bulanan'!$I$57,0,IF(AA$4&lt;=3,'Biaya Bulanan'!$V$57,IF(AA$4&lt;=12,'Biaya Bulanan'!$W$57,'Biaya Bulanan'!$X$57)))*'Biaya Bulanan'!$T$57</f>
        <v>9152990</v>
      </c>
    </row>
    <row r="37" customFormat="false" ht="15" hidden="false" customHeight="false" outlineLevel="0" collapsed="false">
      <c r="A37" s="18" t="n">
        <v>33</v>
      </c>
      <c r="B37" s="43" t="str">
        <f aca="false">'Biaya Bulanan'!$B$58</f>
        <v>Growth &amp; Partnership</v>
      </c>
      <c r="C37" s="43" t="str">
        <f aca="false">'Biaya Bulanan'!$C$58</f>
        <v>Merchant Acquisition Officer</v>
      </c>
      <c r="D37" s="45" t="n">
        <f aca="false">IF(D$4&lt;'Biaya Bulanan'!$I$58,0,IF(D$4&lt;=3,'Biaya Bulanan'!$V$58,IF(D$4&lt;=12,'Biaya Bulanan'!$W$58,'Biaya Bulanan'!$X$58)))*'Biaya Bulanan'!$T$58</f>
        <v>0</v>
      </c>
      <c r="E37" s="45" t="n">
        <f aca="false">IF(E$4&lt;'Biaya Bulanan'!$I$58,0,IF(E$4&lt;=3,'Biaya Bulanan'!$V$58,IF(E$4&lt;=12,'Biaya Bulanan'!$W$58,'Biaya Bulanan'!$X$58)))*'Biaya Bulanan'!$T$58</f>
        <v>0</v>
      </c>
      <c r="F37" s="45" t="n">
        <f aca="false">IF(F$4&lt;'Biaya Bulanan'!$I$58,0,IF(F$4&lt;=3,'Biaya Bulanan'!$V$58,IF(F$4&lt;=12,'Biaya Bulanan'!$W$58,'Biaya Bulanan'!$X$58)))*'Biaya Bulanan'!$T$58</f>
        <v>0</v>
      </c>
      <c r="G37" s="45" t="n">
        <f aca="false">IF(G$4&lt;'Biaya Bulanan'!$I$58,0,IF(G$4&lt;=3,'Biaya Bulanan'!$V$58,IF(G$4&lt;=12,'Biaya Bulanan'!$W$58,'Biaya Bulanan'!$X$58)))*'Biaya Bulanan'!$T$58</f>
        <v>0</v>
      </c>
      <c r="H37" s="45" t="n">
        <f aca="false">IF(H$4&lt;'Biaya Bulanan'!$I$58,0,IF(H$4&lt;=3,'Biaya Bulanan'!$V$58,IF(H$4&lt;=12,'Biaya Bulanan'!$W$58,'Biaya Bulanan'!$X$58)))*'Biaya Bulanan'!$T$58</f>
        <v>0</v>
      </c>
      <c r="I37" s="45" t="n">
        <f aca="false">IF(I$4&lt;'Biaya Bulanan'!$I$58,0,IF(I$4&lt;=3,'Biaya Bulanan'!$V$58,IF(I$4&lt;=12,'Biaya Bulanan'!$W$58,'Biaya Bulanan'!$X$58)))*'Biaya Bulanan'!$T$58</f>
        <v>0</v>
      </c>
      <c r="J37" s="45" t="n">
        <f aca="false">IF(J$4&lt;'Biaya Bulanan'!$I$58,0,IF(J$4&lt;=3,'Biaya Bulanan'!$V$58,IF(J$4&lt;=12,'Biaya Bulanan'!$W$58,'Biaya Bulanan'!$X$58)))*'Biaya Bulanan'!$T$58</f>
        <v>0</v>
      </c>
      <c r="K37" s="45" t="n">
        <f aca="false">IF(K$4&lt;'Biaya Bulanan'!$I$58,0,IF(K$4&lt;=3,'Biaya Bulanan'!$V$58,IF(K$4&lt;=12,'Biaya Bulanan'!$W$58,'Biaya Bulanan'!$X$58)))*'Biaya Bulanan'!$T$58</f>
        <v>0</v>
      </c>
      <c r="L37" s="45" t="n">
        <f aca="false">IF(L$4&lt;'Biaya Bulanan'!$I$58,0,IF(L$4&lt;=3,'Biaya Bulanan'!$V$58,IF(L$4&lt;=12,'Biaya Bulanan'!$W$58,'Biaya Bulanan'!$X$58)))*'Biaya Bulanan'!$T$58</f>
        <v>0</v>
      </c>
      <c r="M37" s="45" t="n">
        <f aca="false">IF(M$4&lt;'Biaya Bulanan'!$I$58,0,IF(M$4&lt;=3,'Biaya Bulanan'!$V$58,IF(M$4&lt;=12,'Biaya Bulanan'!$W$58,'Biaya Bulanan'!$X$58)))*'Biaya Bulanan'!$T$58</f>
        <v>0</v>
      </c>
      <c r="N37" s="45" t="n">
        <f aca="false">IF(N$4&lt;'Biaya Bulanan'!$I$58,0,IF(N$4&lt;=3,'Biaya Bulanan'!$V$58,IF(N$4&lt;=12,'Biaya Bulanan'!$W$58,'Biaya Bulanan'!$X$58)))*'Biaya Bulanan'!$T$58</f>
        <v>0</v>
      </c>
      <c r="O37" s="45" t="n">
        <f aca="false">IF(O$4&lt;'Biaya Bulanan'!$I$58,0,IF(O$4&lt;=3,'Biaya Bulanan'!$V$58,IF(O$4&lt;=12,'Biaya Bulanan'!$W$58,'Biaya Bulanan'!$X$58)))*'Biaya Bulanan'!$T$58</f>
        <v>0</v>
      </c>
      <c r="P37" s="45" t="n">
        <f aca="false">IF(P$4&lt;'Biaya Bulanan'!$I$58,0,IF(P$4&lt;=3,'Biaya Bulanan'!$V$58,IF(P$4&lt;=12,'Biaya Bulanan'!$W$58,'Biaya Bulanan'!$X$58)))*'Biaya Bulanan'!$T$58</f>
        <v>6884955</v>
      </c>
      <c r="Q37" s="45" t="n">
        <f aca="false">IF(Q$4&lt;'Biaya Bulanan'!$I$58,0,IF(Q$4&lt;=3,'Biaya Bulanan'!$V$58,IF(Q$4&lt;=12,'Biaya Bulanan'!$W$58,'Biaya Bulanan'!$X$58)))*'Biaya Bulanan'!$T$58</f>
        <v>6884955</v>
      </c>
      <c r="R37" s="45" t="n">
        <f aca="false">IF(R$4&lt;'Biaya Bulanan'!$I$58,0,IF(R$4&lt;=3,'Biaya Bulanan'!$V$58,IF(R$4&lt;=12,'Biaya Bulanan'!$W$58,'Biaya Bulanan'!$X$58)))*'Biaya Bulanan'!$T$58</f>
        <v>6884955</v>
      </c>
      <c r="S37" s="45" t="n">
        <f aca="false">IF(S$4&lt;'Biaya Bulanan'!$I$58,0,IF(S$4&lt;=3,'Biaya Bulanan'!$V$58,IF(S$4&lt;=12,'Biaya Bulanan'!$W$58,'Biaya Bulanan'!$X$58)))*'Biaya Bulanan'!$T$58</f>
        <v>6884955</v>
      </c>
      <c r="T37" s="45" t="n">
        <f aca="false">IF(T$4&lt;'Biaya Bulanan'!$I$58,0,IF(T$4&lt;=3,'Biaya Bulanan'!$V$58,IF(T$4&lt;=12,'Biaya Bulanan'!$W$58,'Biaya Bulanan'!$X$58)))*'Biaya Bulanan'!$T$58</f>
        <v>6884955</v>
      </c>
      <c r="U37" s="45" t="n">
        <f aca="false">IF(U$4&lt;'Biaya Bulanan'!$I$58,0,IF(U$4&lt;=3,'Biaya Bulanan'!$V$58,IF(U$4&lt;=12,'Biaya Bulanan'!$W$58,'Biaya Bulanan'!$X$58)))*'Biaya Bulanan'!$T$58</f>
        <v>6884955</v>
      </c>
      <c r="V37" s="45" t="n">
        <f aca="false">IF(V$4&lt;'Biaya Bulanan'!$I$58,0,IF(V$4&lt;=3,'Biaya Bulanan'!$V$58,IF(V$4&lt;=12,'Biaya Bulanan'!$W$58,'Biaya Bulanan'!$X$58)))*'Biaya Bulanan'!$T$58</f>
        <v>6884955</v>
      </c>
      <c r="W37" s="45" t="n">
        <f aca="false">IF(W$4&lt;'Biaya Bulanan'!$I$58,0,IF(W$4&lt;=3,'Biaya Bulanan'!$V$58,IF(W$4&lt;=12,'Biaya Bulanan'!$W$58,'Biaya Bulanan'!$X$58)))*'Biaya Bulanan'!$T$58</f>
        <v>6884955</v>
      </c>
      <c r="X37" s="45" t="n">
        <f aca="false">IF(X$4&lt;'Biaya Bulanan'!$I$58,0,IF(X$4&lt;=3,'Biaya Bulanan'!$V$58,IF(X$4&lt;=12,'Biaya Bulanan'!$W$58,'Biaya Bulanan'!$X$58)))*'Biaya Bulanan'!$T$58</f>
        <v>6884955</v>
      </c>
      <c r="Y37" s="45" t="n">
        <f aca="false">IF(Y$4&lt;'Biaya Bulanan'!$I$58,0,IF(Y$4&lt;=3,'Biaya Bulanan'!$V$58,IF(Y$4&lt;=12,'Biaya Bulanan'!$W$58,'Biaya Bulanan'!$X$58)))*'Biaya Bulanan'!$T$58</f>
        <v>6884955</v>
      </c>
      <c r="Z37" s="45" t="n">
        <f aca="false">IF(Z$4&lt;'Biaya Bulanan'!$I$58,0,IF(Z$4&lt;=3,'Biaya Bulanan'!$V$58,IF(Z$4&lt;=12,'Biaya Bulanan'!$W$58,'Biaya Bulanan'!$X$58)))*'Biaya Bulanan'!$T$58</f>
        <v>6884955</v>
      </c>
      <c r="AA37" s="45" t="n">
        <f aca="false">IF(AA$4&lt;'Biaya Bulanan'!$I$58,0,IF(AA$4&lt;=3,'Biaya Bulanan'!$V$58,IF(AA$4&lt;=12,'Biaya Bulanan'!$W$58,'Biaya Bulanan'!$X$58)))*'Biaya Bulanan'!$T$58</f>
        <v>6884955</v>
      </c>
    </row>
    <row r="38" customFormat="false" ht="15" hidden="false" customHeight="false" outlineLevel="0" collapsed="false">
      <c r="A38" s="18" t="n">
        <v>34</v>
      </c>
      <c r="B38" s="43" t="str">
        <f aca="false">'Biaya Bulanan'!$B$59</f>
        <v>Keuangan</v>
      </c>
      <c r="C38" s="43" t="str">
        <f aca="false">'Biaya Bulanan'!$C$59</f>
        <v>Head of Finance</v>
      </c>
      <c r="D38" s="45" t="n">
        <f aca="false">IF(D$4&lt;'Biaya Bulanan'!$I$59,0,IF(D$4&lt;=3,'Biaya Bulanan'!$V$59,IF(D$4&lt;=12,'Biaya Bulanan'!$W$59,'Biaya Bulanan'!$X$59)))*'Biaya Bulanan'!$T$59</f>
        <v>0</v>
      </c>
      <c r="E38" s="45" t="n">
        <f aca="false">IF(E$4&lt;'Biaya Bulanan'!$I$59,0,IF(E$4&lt;=3,'Biaya Bulanan'!$V$59,IF(E$4&lt;=12,'Biaya Bulanan'!$W$59,'Biaya Bulanan'!$X$59)))*'Biaya Bulanan'!$T$59</f>
        <v>25533126</v>
      </c>
      <c r="F38" s="45" t="n">
        <f aca="false">IF(F$4&lt;'Biaya Bulanan'!$I$59,0,IF(F$4&lt;=3,'Biaya Bulanan'!$V$59,IF(F$4&lt;=12,'Biaya Bulanan'!$W$59,'Biaya Bulanan'!$X$59)))*'Biaya Bulanan'!$T$59</f>
        <v>25533126</v>
      </c>
      <c r="G38" s="45" t="n">
        <f aca="false">IF(G$4&lt;'Biaya Bulanan'!$I$59,0,IF(G$4&lt;=3,'Biaya Bulanan'!$V$59,IF(G$4&lt;=12,'Biaya Bulanan'!$W$59,'Biaya Bulanan'!$X$59)))*'Biaya Bulanan'!$T$59</f>
        <v>25533126</v>
      </c>
      <c r="H38" s="45" t="n">
        <f aca="false">IF(H$4&lt;'Biaya Bulanan'!$I$59,0,IF(H$4&lt;=3,'Biaya Bulanan'!$V$59,IF(H$4&lt;=12,'Biaya Bulanan'!$W$59,'Biaya Bulanan'!$X$59)))*'Biaya Bulanan'!$T$59</f>
        <v>25533126</v>
      </c>
      <c r="I38" s="45" t="n">
        <f aca="false">IF(I$4&lt;'Biaya Bulanan'!$I$59,0,IF(I$4&lt;=3,'Biaya Bulanan'!$V$59,IF(I$4&lt;=12,'Biaya Bulanan'!$W$59,'Biaya Bulanan'!$X$59)))*'Biaya Bulanan'!$T$59</f>
        <v>25533126</v>
      </c>
      <c r="J38" s="45" t="n">
        <f aca="false">IF(J$4&lt;'Biaya Bulanan'!$I$59,0,IF(J$4&lt;=3,'Biaya Bulanan'!$V$59,IF(J$4&lt;=12,'Biaya Bulanan'!$W$59,'Biaya Bulanan'!$X$59)))*'Biaya Bulanan'!$T$59</f>
        <v>25533126</v>
      </c>
      <c r="K38" s="45" t="n">
        <f aca="false">IF(K$4&lt;'Biaya Bulanan'!$I$59,0,IF(K$4&lt;=3,'Biaya Bulanan'!$V$59,IF(K$4&lt;=12,'Biaya Bulanan'!$W$59,'Biaya Bulanan'!$X$59)))*'Biaya Bulanan'!$T$59</f>
        <v>25533126</v>
      </c>
      <c r="L38" s="45" t="n">
        <f aca="false">IF(L$4&lt;'Biaya Bulanan'!$I$59,0,IF(L$4&lt;=3,'Biaya Bulanan'!$V$59,IF(L$4&lt;=12,'Biaya Bulanan'!$W$59,'Biaya Bulanan'!$X$59)))*'Biaya Bulanan'!$T$59</f>
        <v>25533126</v>
      </c>
      <c r="M38" s="45" t="n">
        <f aca="false">IF(M$4&lt;'Biaya Bulanan'!$I$59,0,IF(M$4&lt;=3,'Biaya Bulanan'!$V$59,IF(M$4&lt;=12,'Biaya Bulanan'!$W$59,'Biaya Bulanan'!$X$59)))*'Biaya Bulanan'!$T$59</f>
        <v>25533126</v>
      </c>
      <c r="N38" s="45" t="n">
        <f aca="false">IF(N$4&lt;'Biaya Bulanan'!$I$59,0,IF(N$4&lt;=3,'Biaya Bulanan'!$V$59,IF(N$4&lt;=12,'Biaya Bulanan'!$W$59,'Biaya Bulanan'!$X$59)))*'Biaya Bulanan'!$T$59</f>
        <v>25533126</v>
      </c>
      <c r="O38" s="45" t="n">
        <f aca="false">IF(O$4&lt;'Biaya Bulanan'!$I$59,0,IF(O$4&lt;=3,'Biaya Bulanan'!$V$59,IF(O$4&lt;=12,'Biaya Bulanan'!$W$59,'Biaya Bulanan'!$X$59)))*'Biaya Bulanan'!$T$59</f>
        <v>25533126</v>
      </c>
      <c r="P38" s="45" t="n">
        <f aca="false">IF(P$4&lt;'Biaya Bulanan'!$I$59,0,IF(P$4&lt;=3,'Biaya Bulanan'!$V$59,IF(P$4&lt;=12,'Biaya Bulanan'!$W$59,'Biaya Bulanan'!$X$59)))*'Biaya Bulanan'!$T$59</f>
        <v>25533126</v>
      </c>
      <c r="Q38" s="45" t="n">
        <f aca="false">IF(Q$4&lt;'Biaya Bulanan'!$I$59,0,IF(Q$4&lt;=3,'Biaya Bulanan'!$V$59,IF(Q$4&lt;=12,'Biaya Bulanan'!$W$59,'Biaya Bulanan'!$X$59)))*'Biaya Bulanan'!$T$59</f>
        <v>25533126</v>
      </c>
      <c r="R38" s="45" t="n">
        <f aca="false">IF(R$4&lt;'Biaya Bulanan'!$I$59,0,IF(R$4&lt;=3,'Biaya Bulanan'!$V$59,IF(R$4&lt;=12,'Biaya Bulanan'!$W$59,'Biaya Bulanan'!$X$59)))*'Biaya Bulanan'!$T$59</f>
        <v>25533126</v>
      </c>
      <c r="S38" s="45" t="n">
        <f aca="false">IF(S$4&lt;'Biaya Bulanan'!$I$59,0,IF(S$4&lt;=3,'Biaya Bulanan'!$V$59,IF(S$4&lt;=12,'Biaya Bulanan'!$W$59,'Biaya Bulanan'!$X$59)))*'Biaya Bulanan'!$T$59</f>
        <v>25533126</v>
      </c>
      <c r="T38" s="45" t="n">
        <f aca="false">IF(T$4&lt;'Biaya Bulanan'!$I$59,0,IF(T$4&lt;=3,'Biaya Bulanan'!$V$59,IF(T$4&lt;=12,'Biaya Bulanan'!$W$59,'Biaya Bulanan'!$X$59)))*'Biaya Bulanan'!$T$59</f>
        <v>25533126</v>
      </c>
      <c r="U38" s="45" t="n">
        <f aca="false">IF(U$4&lt;'Biaya Bulanan'!$I$59,0,IF(U$4&lt;=3,'Biaya Bulanan'!$V$59,IF(U$4&lt;=12,'Biaya Bulanan'!$W$59,'Biaya Bulanan'!$X$59)))*'Biaya Bulanan'!$T$59</f>
        <v>25533126</v>
      </c>
      <c r="V38" s="45" t="n">
        <f aca="false">IF(V$4&lt;'Biaya Bulanan'!$I$59,0,IF(V$4&lt;=3,'Biaya Bulanan'!$V$59,IF(V$4&lt;=12,'Biaya Bulanan'!$W$59,'Biaya Bulanan'!$X$59)))*'Biaya Bulanan'!$T$59</f>
        <v>25533126</v>
      </c>
      <c r="W38" s="45" t="n">
        <f aca="false">IF(W$4&lt;'Biaya Bulanan'!$I$59,0,IF(W$4&lt;=3,'Biaya Bulanan'!$V$59,IF(W$4&lt;=12,'Biaya Bulanan'!$W$59,'Biaya Bulanan'!$X$59)))*'Biaya Bulanan'!$T$59</f>
        <v>25533126</v>
      </c>
      <c r="X38" s="45" t="n">
        <f aca="false">IF(X$4&lt;'Biaya Bulanan'!$I$59,0,IF(X$4&lt;=3,'Biaya Bulanan'!$V$59,IF(X$4&lt;=12,'Biaya Bulanan'!$W$59,'Biaya Bulanan'!$X$59)))*'Biaya Bulanan'!$T$59</f>
        <v>25533126</v>
      </c>
      <c r="Y38" s="45" t="n">
        <f aca="false">IF(Y$4&lt;'Biaya Bulanan'!$I$59,0,IF(Y$4&lt;=3,'Biaya Bulanan'!$V$59,IF(Y$4&lt;=12,'Biaya Bulanan'!$W$59,'Biaya Bulanan'!$X$59)))*'Biaya Bulanan'!$T$59</f>
        <v>25533126</v>
      </c>
      <c r="Z38" s="45" t="n">
        <f aca="false">IF(Z$4&lt;'Biaya Bulanan'!$I$59,0,IF(Z$4&lt;=3,'Biaya Bulanan'!$V$59,IF(Z$4&lt;=12,'Biaya Bulanan'!$W$59,'Biaya Bulanan'!$X$59)))*'Biaya Bulanan'!$T$59</f>
        <v>25533126</v>
      </c>
      <c r="AA38" s="45" t="n">
        <f aca="false">IF(AA$4&lt;'Biaya Bulanan'!$I$59,0,IF(AA$4&lt;=3,'Biaya Bulanan'!$V$59,IF(AA$4&lt;=12,'Biaya Bulanan'!$W$59,'Biaya Bulanan'!$X$59)))*'Biaya Bulanan'!$T$59</f>
        <v>25533126</v>
      </c>
    </row>
    <row r="39" customFormat="false" ht="15" hidden="false" customHeight="false" outlineLevel="0" collapsed="false">
      <c r="A39" s="18" t="n">
        <v>35</v>
      </c>
      <c r="B39" s="43" t="str">
        <f aca="false">'Biaya Bulanan'!$B$60</f>
        <v>Keuangan</v>
      </c>
      <c r="C39" s="43" t="str">
        <f aca="false">'Biaya Bulanan'!$C$60</f>
        <v>Finance &amp; Accounting Staff</v>
      </c>
      <c r="D39" s="45" t="n">
        <f aca="false">IF(D$4&lt;'Biaya Bulanan'!$I$60,0,IF(D$4&lt;=3,'Biaya Bulanan'!$V$60,IF(D$4&lt;=12,'Biaya Bulanan'!$W$60,'Biaya Bulanan'!$X$60)))*'Biaya Bulanan'!$T$60</f>
        <v>0</v>
      </c>
      <c r="E39" s="45" t="n">
        <f aca="false">IF(E$4&lt;'Biaya Bulanan'!$I$60,0,IF(E$4&lt;=3,'Biaya Bulanan'!$V$60,IF(E$4&lt;=12,'Biaya Bulanan'!$W$60,'Biaya Bulanan'!$X$60)))*'Biaya Bulanan'!$T$60</f>
        <v>0</v>
      </c>
      <c r="F39" s="45" t="n">
        <f aca="false">IF(F$4&lt;'Biaya Bulanan'!$I$60,0,IF(F$4&lt;=3,'Biaya Bulanan'!$V$60,IF(F$4&lt;=12,'Biaya Bulanan'!$W$60,'Biaya Bulanan'!$X$60)))*'Biaya Bulanan'!$T$60</f>
        <v>0</v>
      </c>
      <c r="G39" s="45" t="n">
        <f aca="false">IF(G$4&lt;'Biaya Bulanan'!$I$60,0,IF(G$4&lt;=3,'Biaya Bulanan'!$V$60,IF(G$4&lt;=12,'Biaya Bulanan'!$W$60,'Biaya Bulanan'!$X$60)))*'Biaya Bulanan'!$T$60</f>
        <v>8499205</v>
      </c>
      <c r="H39" s="45" t="n">
        <f aca="false">IF(H$4&lt;'Biaya Bulanan'!$I$60,0,IF(H$4&lt;=3,'Biaya Bulanan'!$V$60,IF(H$4&lt;=12,'Biaya Bulanan'!$W$60,'Biaya Bulanan'!$X$60)))*'Biaya Bulanan'!$T$60</f>
        <v>8499205</v>
      </c>
      <c r="I39" s="45" t="n">
        <f aca="false">IF(I$4&lt;'Biaya Bulanan'!$I$60,0,IF(I$4&lt;=3,'Biaya Bulanan'!$V$60,IF(I$4&lt;=12,'Biaya Bulanan'!$W$60,'Biaya Bulanan'!$X$60)))*'Biaya Bulanan'!$T$60</f>
        <v>8499205</v>
      </c>
      <c r="J39" s="45" t="n">
        <f aca="false">IF(J$4&lt;'Biaya Bulanan'!$I$60,0,IF(J$4&lt;=3,'Biaya Bulanan'!$V$60,IF(J$4&lt;=12,'Biaya Bulanan'!$W$60,'Biaya Bulanan'!$X$60)))*'Biaya Bulanan'!$T$60</f>
        <v>8499205</v>
      </c>
      <c r="K39" s="45" t="n">
        <f aca="false">IF(K$4&lt;'Biaya Bulanan'!$I$60,0,IF(K$4&lt;=3,'Biaya Bulanan'!$V$60,IF(K$4&lt;=12,'Biaya Bulanan'!$W$60,'Biaya Bulanan'!$X$60)))*'Biaya Bulanan'!$T$60</f>
        <v>8499205</v>
      </c>
      <c r="L39" s="45" t="n">
        <f aca="false">IF(L$4&lt;'Biaya Bulanan'!$I$60,0,IF(L$4&lt;=3,'Biaya Bulanan'!$V$60,IF(L$4&lt;=12,'Biaya Bulanan'!$W$60,'Biaya Bulanan'!$X$60)))*'Biaya Bulanan'!$T$60</f>
        <v>8499205</v>
      </c>
      <c r="M39" s="45" t="n">
        <f aca="false">IF(M$4&lt;'Biaya Bulanan'!$I$60,0,IF(M$4&lt;=3,'Biaya Bulanan'!$V$60,IF(M$4&lt;=12,'Biaya Bulanan'!$W$60,'Biaya Bulanan'!$X$60)))*'Biaya Bulanan'!$T$60</f>
        <v>8499205</v>
      </c>
      <c r="N39" s="45" t="n">
        <f aca="false">IF(N$4&lt;'Biaya Bulanan'!$I$60,0,IF(N$4&lt;=3,'Biaya Bulanan'!$V$60,IF(N$4&lt;=12,'Biaya Bulanan'!$W$60,'Biaya Bulanan'!$X$60)))*'Biaya Bulanan'!$T$60</f>
        <v>8499205</v>
      </c>
      <c r="O39" s="45" t="n">
        <f aca="false">IF(O$4&lt;'Biaya Bulanan'!$I$60,0,IF(O$4&lt;=3,'Biaya Bulanan'!$V$60,IF(O$4&lt;=12,'Biaya Bulanan'!$W$60,'Biaya Bulanan'!$X$60)))*'Biaya Bulanan'!$T$60</f>
        <v>8499205</v>
      </c>
      <c r="P39" s="45" t="n">
        <f aca="false">IF(P$4&lt;'Biaya Bulanan'!$I$60,0,IF(P$4&lt;=3,'Biaya Bulanan'!$V$60,IF(P$4&lt;=12,'Biaya Bulanan'!$W$60,'Biaya Bulanan'!$X$60)))*'Biaya Bulanan'!$T$60</f>
        <v>8499205</v>
      </c>
      <c r="Q39" s="45" t="n">
        <f aca="false">IF(Q$4&lt;'Biaya Bulanan'!$I$60,0,IF(Q$4&lt;=3,'Biaya Bulanan'!$V$60,IF(Q$4&lt;=12,'Biaya Bulanan'!$W$60,'Biaya Bulanan'!$X$60)))*'Biaya Bulanan'!$T$60</f>
        <v>8499205</v>
      </c>
      <c r="R39" s="45" t="n">
        <f aca="false">IF(R$4&lt;'Biaya Bulanan'!$I$60,0,IF(R$4&lt;=3,'Biaya Bulanan'!$V$60,IF(R$4&lt;=12,'Biaya Bulanan'!$W$60,'Biaya Bulanan'!$X$60)))*'Biaya Bulanan'!$T$60</f>
        <v>8499205</v>
      </c>
      <c r="S39" s="45" t="n">
        <f aca="false">IF(S$4&lt;'Biaya Bulanan'!$I$60,0,IF(S$4&lt;=3,'Biaya Bulanan'!$V$60,IF(S$4&lt;=12,'Biaya Bulanan'!$W$60,'Biaya Bulanan'!$X$60)))*'Biaya Bulanan'!$T$60</f>
        <v>8499205</v>
      </c>
      <c r="T39" s="45" t="n">
        <f aca="false">IF(T$4&lt;'Biaya Bulanan'!$I$60,0,IF(T$4&lt;=3,'Biaya Bulanan'!$V$60,IF(T$4&lt;=12,'Biaya Bulanan'!$W$60,'Biaya Bulanan'!$X$60)))*'Biaya Bulanan'!$T$60</f>
        <v>8499205</v>
      </c>
      <c r="U39" s="45" t="n">
        <f aca="false">IF(U$4&lt;'Biaya Bulanan'!$I$60,0,IF(U$4&lt;=3,'Biaya Bulanan'!$V$60,IF(U$4&lt;=12,'Biaya Bulanan'!$W$60,'Biaya Bulanan'!$X$60)))*'Biaya Bulanan'!$T$60</f>
        <v>8499205</v>
      </c>
      <c r="V39" s="45" t="n">
        <f aca="false">IF(V$4&lt;'Biaya Bulanan'!$I$60,0,IF(V$4&lt;=3,'Biaya Bulanan'!$V$60,IF(V$4&lt;=12,'Biaya Bulanan'!$W$60,'Biaya Bulanan'!$X$60)))*'Biaya Bulanan'!$T$60</f>
        <v>8499205</v>
      </c>
      <c r="W39" s="45" t="n">
        <f aca="false">IF(W$4&lt;'Biaya Bulanan'!$I$60,0,IF(W$4&lt;=3,'Biaya Bulanan'!$V$60,IF(W$4&lt;=12,'Biaya Bulanan'!$W$60,'Biaya Bulanan'!$X$60)))*'Biaya Bulanan'!$T$60</f>
        <v>8499205</v>
      </c>
      <c r="X39" s="45" t="n">
        <f aca="false">IF(X$4&lt;'Biaya Bulanan'!$I$60,0,IF(X$4&lt;=3,'Biaya Bulanan'!$V$60,IF(X$4&lt;=12,'Biaya Bulanan'!$W$60,'Biaya Bulanan'!$X$60)))*'Biaya Bulanan'!$T$60</f>
        <v>8499205</v>
      </c>
      <c r="Y39" s="45" t="n">
        <f aca="false">IF(Y$4&lt;'Biaya Bulanan'!$I$60,0,IF(Y$4&lt;=3,'Biaya Bulanan'!$V$60,IF(Y$4&lt;=12,'Biaya Bulanan'!$W$60,'Biaya Bulanan'!$X$60)))*'Biaya Bulanan'!$T$60</f>
        <v>8499205</v>
      </c>
      <c r="Z39" s="45" t="n">
        <f aca="false">IF(Z$4&lt;'Biaya Bulanan'!$I$60,0,IF(Z$4&lt;=3,'Biaya Bulanan'!$V$60,IF(Z$4&lt;=12,'Biaya Bulanan'!$W$60,'Biaya Bulanan'!$X$60)))*'Biaya Bulanan'!$T$60</f>
        <v>8499205</v>
      </c>
      <c r="AA39" s="45" t="n">
        <f aca="false">IF(AA$4&lt;'Biaya Bulanan'!$I$60,0,IF(AA$4&lt;=3,'Biaya Bulanan'!$V$60,IF(AA$4&lt;=12,'Biaya Bulanan'!$W$60,'Biaya Bulanan'!$X$60)))*'Biaya Bulanan'!$T$60</f>
        <v>8499205</v>
      </c>
    </row>
    <row r="40" customFormat="false" ht="15" hidden="false" customHeight="false" outlineLevel="0" collapsed="false">
      <c r="A40" s="18" t="n">
        <v>36</v>
      </c>
      <c r="B40" s="43" t="str">
        <f aca="false">'Biaya Bulanan'!$B$61</f>
        <v>Keuangan</v>
      </c>
      <c r="C40" s="43" t="str">
        <f aca="false">'Biaya Bulanan'!$C$61</f>
        <v>Treasury/Settlement Officer</v>
      </c>
      <c r="D40" s="45" t="n">
        <f aca="false">IF(D$4&lt;'Biaya Bulanan'!$I$61,0,IF(D$4&lt;=3,'Biaya Bulanan'!$V$61,IF(D$4&lt;=12,'Biaya Bulanan'!$W$61,'Biaya Bulanan'!$X$61)))*'Biaya Bulanan'!$T$61</f>
        <v>0</v>
      </c>
      <c r="E40" s="45" t="n">
        <f aca="false">IF(E$4&lt;'Biaya Bulanan'!$I$61,0,IF(E$4&lt;=3,'Biaya Bulanan'!$V$61,IF(E$4&lt;=12,'Biaya Bulanan'!$W$61,'Biaya Bulanan'!$X$61)))*'Biaya Bulanan'!$T$61</f>
        <v>0</v>
      </c>
      <c r="F40" s="45" t="n">
        <f aca="false">IF(F$4&lt;'Biaya Bulanan'!$I$61,0,IF(F$4&lt;=3,'Biaya Bulanan'!$V$61,IF(F$4&lt;=12,'Biaya Bulanan'!$W$61,'Biaya Bulanan'!$X$61)))*'Biaya Bulanan'!$T$61</f>
        <v>0</v>
      </c>
      <c r="G40" s="45" t="n">
        <f aca="false">IF(G$4&lt;'Biaya Bulanan'!$I$61,0,IF(G$4&lt;=3,'Biaya Bulanan'!$V$61,IF(G$4&lt;=12,'Biaya Bulanan'!$W$61,'Biaya Bulanan'!$X$61)))*'Biaya Bulanan'!$T$61</f>
        <v>0</v>
      </c>
      <c r="H40" s="45" t="n">
        <f aca="false">IF(H$4&lt;'Biaya Bulanan'!$I$61,0,IF(H$4&lt;=3,'Biaya Bulanan'!$V$61,IF(H$4&lt;=12,'Biaya Bulanan'!$W$61,'Biaya Bulanan'!$X$61)))*'Biaya Bulanan'!$T$61</f>
        <v>0</v>
      </c>
      <c r="I40" s="45" t="n">
        <f aca="false">IF(I$4&lt;'Biaya Bulanan'!$I$61,0,IF(I$4&lt;=3,'Biaya Bulanan'!$V$61,IF(I$4&lt;=12,'Biaya Bulanan'!$W$61,'Biaya Bulanan'!$X$61)))*'Biaya Bulanan'!$T$61</f>
        <v>0</v>
      </c>
      <c r="J40" s="45" t="n">
        <f aca="false">IF(J$4&lt;'Biaya Bulanan'!$I$61,0,IF(J$4&lt;=3,'Biaya Bulanan'!$V$61,IF(J$4&lt;=12,'Biaya Bulanan'!$W$61,'Biaya Bulanan'!$X$61)))*'Biaya Bulanan'!$T$61</f>
        <v>0</v>
      </c>
      <c r="K40" s="45" t="n">
        <f aca="false">IF(K$4&lt;'Biaya Bulanan'!$I$61,0,IF(K$4&lt;=3,'Biaya Bulanan'!$V$61,IF(K$4&lt;=12,'Biaya Bulanan'!$W$61,'Biaya Bulanan'!$X$61)))*'Biaya Bulanan'!$T$61</f>
        <v>0</v>
      </c>
      <c r="L40" s="45" t="n">
        <f aca="false">IF(L$4&lt;'Biaya Bulanan'!$I$61,0,IF(L$4&lt;=3,'Biaya Bulanan'!$V$61,IF(L$4&lt;=12,'Biaya Bulanan'!$W$61,'Biaya Bulanan'!$X$61)))*'Biaya Bulanan'!$T$61</f>
        <v>0</v>
      </c>
      <c r="M40" s="45" t="n">
        <f aca="false">IF(M$4&lt;'Biaya Bulanan'!$I$61,0,IF(M$4&lt;=3,'Biaya Bulanan'!$V$61,IF(M$4&lt;=12,'Biaya Bulanan'!$W$61,'Biaya Bulanan'!$X$61)))*'Biaya Bulanan'!$T$61</f>
        <v>0</v>
      </c>
      <c r="N40" s="45" t="n">
        <f aca="false">IF(N$4&lt;'Biaya Bulanan'!$I$61,0,IF(N$4&lt;=3,'Biaya Bulanan'!$V$61,IF(N$4&lt;=12,'Biaya Bulanan'!$W$61,'Biaya Bulanan'!$X$61)))*'Biaya Bulanan'!$T$61</f>
        <v>0</v>
      </c>
      <c r="O40" s="45" t="n">
        <f aca="false">IF(O$4&lt;'Biaya Bulanan'!$I$61,0,IF(O$4&lt;=3,'Biaya Bulanan'!$V$61,IF(O$4&lt;=12,'Biaya Bulanan'!$W$61,'Biaya Bulanan'!$X$61)))*'Biaya Bulanan'!$T$61</f>
        <v>0</v>
      </c>
      <c r="P40" s="45" t="n">
        <f aca="false">IF(P$4&lt;'Biaya Bulanan'!$I$61,0,IF(P$4&lt;=3,'Biaya Bulanan'!$V$61,IF(P$4&lt;=12,'Biaya Bulanan'!$W$61,'Biaya Bulanan'!$X$61)))*'Biaya Bulanan'!$T$61</f>
        <v>10624006.25</v>
      </c>
      <c r="Q40" s="45" t="n">
        <f aca="false">IF(Q$4&lt;'Biaya Bulanan'!$I$61,0,IF(Q$4&lt;=3,'Biaya Bulanan'!$V$61,IF(Q$4&lt;=12,'Biaya Bulanan'!$W$61,'Biaya Bulanan'!$X$61)))*'Biaya Bulanan'!$T$61</f>
        <v>10624006.25</v>
      </c>
      <c r="R40" s="45" t="n">
        <f aca="false">IF(R$4&lt;'Biaya Bulanan'!$I$61,0,IF(R$4&lt;=3,'Biaya Bulanan'!$V$61,IF(R$4&lt;=12,'Biaya Bulanan'!$W$61,'Biaya Bulanan'!$X$61)))*'Biaya Bulanan'!$T$61</f>
        <v>10624006.25</v>
      </c>
      <c r="S40" s="45" t="n">
        <f aca="false">IF(S$4&lt;'Biaya Bulanan'!$I$61,0,IF(S$4&lt;=3,'Biaya Bulanan'!$V$61,IF(S$4&lt;=12,'Biaya Bulanan'!$W$61,'Biaya Bulanan'!$X$61)))*'Biaya Bulanan'!$T$61</f>
        <v>10624006.25</v>
      </c>
      <c r="T40" s="45" t="n">
        <f aca="false">IF(T$4&lt;'Biaya Bulanan'!$I$61,0,IF(T$4&lt;=3,'Biaya Bulanan'!$V$61,IF(T$4&lt;=12,'Biaya Bulanan'!$W$61,'Biaya Bulanan'!$X$61)))*'Biaya Bulanan'!$T$61</f>
        <v>10624006.25</v>
      </c>
      <c r="U40" s="45" t="n">
        <f aca="false">IF(U$4&lt;'Biaya Bulanan'!$I$61,0,IF(U$4&lt;=3,'Biaya Bulanan'!$V$61,IF(U$4&lt;=12,'Biaya Bulanan'!$W$61,'Biaya Bulanan'!$X$61)))*'Biaya Bulanan'!$T$61</f>
        <v>10624006.25</v>
      </c>
      <c r="V40" s="45" t="n">
        <f aca="false">IF(V$4&lt;'Biaya Bulanan'!$I$61,0,IF(V$4&lt;=3,'Biaya Bulanan'!$V$61,IF(V$4&lt;=12,'Biaya Bulanan'!$W$61,'Biaya Bulanan'!$X$61)))*'Biaya Bulanan'!$T$61</f>
        <v>10624006.25</v>
      </c>
      <c r="W40" s="45" t="n">
        <f aca="false">IF(W$4&lt;'Biaya Bulanan'!$I$61,0,IF(W$4&lt;=3,'Biaya Bulanan'!$V$61,IF(W$4&lt;=12,'Biaya Bulanan'!$W$61,'Biaya Bulanan'!$X$61)))*'Biaya Bulanan'!$T$61</f>
        <v>10624006.25</v>
      </c>
      <c r="X40" s="45" t="n">
        <f aca="false">IF(X$4&lt;'Biaya Bulanan'!$I$61,0,IF(X$4&lt;=3,'Biaya Bulanan'!$V$61,IF(X$4&lt;=12,'Biaya Bulanan'!$W$61,'Biaya Bulanan'!$X$61)))*'Biaya Bulanan'!$T$61</f>
        <v>10624006.25</v>
      </c>
      <c r="Y40" s="45" t="n">
        <f aca="false">IF(Y$4&lt;'Biaya Bulanan'!$I$61,0,IF(Y$4&lt;=3,'Biaya Bulanan'!$V$61,IF(Y$4&lt;=12,'Biaya Bulanan'!$W$61,'Biaya Bulanan'!$X$61)))*'Biaya Bulanan'!$T$61</f>
        <v>10624006.25</v>
      </c>
      <c r="Z40" s="45" t="n">
        <f aca="false">IF(Z$4&lt;'Biaya Bulanan'!$I$61,0,IF(Z$4&lt;=3,'Biaya Bulanan'!$V$61,IF(Z$4&lt;=12,'Biaya Bulanan'!$W$61,'Biaya Bulanan'!$X$61)))*'Biaya Bulanan'!$T$61</f>
        <v>10624006.25</v>
      </c>
      <c r="AA40" s="45" t="n">
        <f aca="false">IF(AA$4&lt;'Biaya Bulanan'!$I$61,0,IF(AA$4&lt;=3,'Biaya Bulanan'!$V$61,IF(AA$4&lt;=12,'Biaya Bulanan'!$W$61,'Biaya Bulanan'!$X$61)))*'Biaya Bulanan'!$T$61</f>
        <v>10624006.25</v>
      </c>
    </row>
    <row r="41" customFormat="false" ht="15" hidden="false" customHeight="false" outlineLevel="0" collapsed="false">
      <c r="A41" s="18" t="n">
        <v>37</v>
      </c>
      <c r="B41" s="43" t="str">
        <f aca="false">'Biaya Bulanan'!$B$62</f>
        <v>Keuangan</v>
      </c>
      <c r="C41" s="43" t="str">
        <f aca="false">'Biaya Bulanan'!$C$62</f>
        <v>Finance &amp; Accounting Staff - Padang</v>
      </c>
      <c r="D41" s="45" t="n">
        <f aca="false">IF(D$4&lt;'Biaya Bulanan'!$I$62,0,IF(D$4&lt;=3,'Biaya Bulanan'!$V$62,IF(D$4&lt;=12,'Biaya Bulanan'!$W$62,'Biaya Bulanan'!$X$62)))*'Biaya Bulanan'!$T$62</f>
        <v>0</v>
      </c>
      <c r="E41" s="45" t="n">
        <f aca="false">IF(E$4&lt;'Biaya Bulanan'!$I$62,0,IF(E$4&lt;=3,'Biaya Bulanan'!$V$62,IF(E$4&lt;=12,'Biaya Bulanan'!$W$62,'Biaya Bulanan'!$X$62)))*'Biaya Bulanan'!$T$62</f>
        <v>0</v>
      </c>
      <c r="F41" s="45" t="n">
        <f aca="false">IF(F$4&lt;'Biaya Bulanan'!$I$62,0,IF(F$4&lt;=3,'Biaya Bulanan'!$V$62,IF(F$4&lt;=12,'Biaya Bulanan'!$W$62,'Biaya Bulanan'!$X$62)))*'Biaya Bulanan'!$T$62</f>
        <v>0</v>
      </c>
      <c r="G41" s="45" t="n">
        <f aca="false">IF(G$4&lt;'Biaya Bulanan'!$I$62,0,IF(G$4&lt;=3,'Biaya Bulanan'!$V$62,IF(G$4&lt;=12,'Biaya Bulanan'!$W$62,'Biaya Bulanan'!$X$62)))*'Biaya Bulanan'!$T$62</f>
        <v>0</v>
      </c>
      <c r="H41" s="45" t="n">
        <f aca="false">IF(H$4&lt;'Biaya Bulanan'!$I$62,0,IF(H$4&lt;=3,'Biaya Bulanan'!$V$62,IF(H$4&lt;=12,'Biaya Bulanan'!$W$62,'Biaya Bulanan'!$X$62)))*'Biaya Bulanan'!$T$62</f>
        <v>0</v>
      </c>
      <c r="I41" s="45" t="n">
        <f aca="false">IF(I$4&lt;'Biaya Bulanan'!$I$62,0,IF(I$4&lt;=3,'Biaya Bulanan'!$V$62,IF(I$4&lt;=12,'Biaya Bulanan'!$W$62,'Biaya Bulanan'!$X$62)))*'Biaya Bulanan'!$T$62</f>
        <v>0</v>
      </c>
      <c r="J41" s="45" t="n">
        <f aca="false">IF(J$4&lt;'Biaya Bulanan'!$I$62,0,IF(J$4&lt;=3,'Biaya Bulanan'!$V$62,IF(J$4&lt;=12,'Biaya Bulanan'!$W$62,'Biaya Bulanan'!$X$62)))*'Biaya Bulanan'!$T$62</f>
        <v>0</v>
      </c>
      <c r="K41" s="45" t="n">
        <f aca="false">IF(K$4&lt;'Biaya Bulanan'!$I$62,0,IF(K$4&lt;=3,'Biaya Bulanan'!$V$62,IF(K$4&lt;=12,'Biaya Bulanan'!$W$62,'Biaya Bulanan'!$X$62)))*'Biaya Bulanan'!$T$62</f>
        <v>0</v>
      </c>
      <c r="L41" s="45" t="n">
        <f aca="false">IF(L$4&lt;'Biaya Bulanan'!$I$62,0,IF(L$4&lt;=3,'Biaya Bulanan'!$V$62,IF(L$4&lt;=12,'Biaya Bulanan'!$W$62,'Biaya Bulanan'!$X$62)))*'Biaya Bulanan'!$T$62</f>
        <v>0</v>
      </c>
      <c r="M41" s="45" t="n">
        <f aca="false">IF(M$4&lt;'Biaya Bulanan'!$I$62,0,IF(M$4&lt;=3,'Biaya Bulanan'!$V$62,IF(M$4&lt;=12,'Biaya Bulanan'!$W$62,'Biaya Bulanan'!$X$62)))*'Biaya Bulanan'!$T$62</f>
        <v>0</v>
      </c>
      <c r="N41" s="45" t="n">
        <f aca="false">IF(N$4&lt;'Biaya Bulanan'!$I$62,0,IF(N$4&lt;=3,'Biaya Bulanan'!$V$62,IF(N$4&lt;=12,'Biaya Bulanan'!$W$62,'Biaya Bulanan'!$X$62)))*'Biaya Bulanan'!$T$62</f>
        <v>0</v>
      </c>
      <c r="O41" s="45" t="n">
        <f aca="false">IF(O$4&lt;'Biaya Bulanan'!$I$62,0,IF(O$4&lt;=3,'Biaya Bulanan'!$V$62,IF(O$4&lt;=12,'Biaya Bulanan'!$W$62,'Biaya Bulanan'!$X$62)))*'Biaya Bulanan'!$T$62</f>
        <v>0</v>
      </c>
      <c r="P41" s="45" t="n">
        <f aca="false">IF(P$4&lt;'Biaya Bulanan'!$I$62,0,IF(P$4&lt;=3,'Biaya Bulanan'!$V$62,IF(P$4&lt;=12,'Biaya Bulanan'!$W$62,'Biaya Bulanan'!$X$62)))*'Biaya Bulanan'!$T$62</f>
        <v>0</v>
      </c>
      <c r="Q41" s="45" t="n">
        <f aca="false">IF(Q$4&lt;'Biaya Bulanan'!$I$62,0,IF(Q$4&lt;=3,'Biaya Bulanan'!$V$62,IF(Q$4&lt;=12,'Biaya Bulanan'!$W$62,'Biaya Bulanan'!$X$62)))*'Biaya Bulanan'!$T$62</f>
        <v>0</v>
      </c>
      <c r="R41" s="45" t="n">
        <f aca="false">IF(R$4&lt;'Biaya Bulanan'!$I$62,0,IF(R$4&lt;=3,'Biaya Bulanan'!$V$62,IF(R$4&lt;=12,'Biaya Bulanan'!$W$62,'Biaya Bulanan'!$X$62)))*'Biaya Bulanan'!$T$62</f>
        <v>0</v>
      </c>
      <c r="S41" s="45" t="n">
        <f aca="false">IF(S$4&lt;'Biaya Bulanan'!$I$62,0,IF(S$4&lt;=3,'Biaya Bulanan'!$V$62,IF(S$4&lt;=12,'Biaya Bulanan'!$W$62,'Biaya Bulanan'!$X$62)))*'Biaya Bulanan'!$T$62</f>
        <v>7191635</v>
      </c>
      <c r="T41" s="45" t="n">
        <f aca="false">IF(T$4&lt;'Biaya Bulanan'!$I$62,0,IF(T$4&lt;=3,'Biaya Bulanan'!$V$62,IF(T$4&lt;=12,'Biaya Bulanan'!$W$62,'Biaya Bulanan'!$X$62)))*'Biaya Bulanan'!$T$62</f>
        <v>7191635</v>
      </c>
      <c r="U41" s="45" t="n">
        <f aca="false">IF(U$4&lt;'Biaya Bulanan'!$I$62,0,IF(U$4&lt;=3,'Biaya Bulanan'!$V$62,IF(U$4&lt;=12,'Biaya Bulanan'!$W$62,'Biaya Bulanan'!$X$62)))*'Biaya Bulanan'!$T$62</f>
        <v>7191635</v>
      </c>
      <c r="V41" s="45" t="n">
        <f aca="false">IF(V$4&lt;'Biaya Bulanan'!$I$62,0,IF(V$4&lt;=3,'Biaya Bulanan'!$V$62,IF(V$4&lt;=12,'Biaya Bulanan'!$W$62,'Biaya Bulanan'!$X$62)))*'Biaya Bulanan'!$T$62</f>
        <v>7191635</v>
      </c>
      <c r="W41" s="45" t="n">
        <f aca="false">IF(W$4&lt;'Biaya Bulanan'!$I$62,0,IF(W$4&lt;=3,'Biaya Bulanan'!$V$62,IF(W$4&lt;=12,'Biaya Bulanan'!$W$62,'Biaya Bulanan'!$X$62)))*'Biaya Bulanan'!$T$62</f>
        <v>7191635</v>
      </c>
      <c r="X41" s="45" t="n">
        <f aca="false">IF(X$4&lt;'Biaya Bulanan'!$I$62,0,IF(X$4&lt;=3,'Biaya Bulanan'!$V$62,IF(X$4&lt;=12,'Biaya Bulanan'!$W$62,'Biaya Bulanan'!$X$62)))*'Biaya Bulanan'!$T$62</f>
        <v>7191635</v>
      </c>
      <c r="Y41" s="45" t="n">
        <f aca="false">IF(Y$4&lt;'Biaya Bulanan'!$I$62,0,IF(Y$4&lt;=3,'Biaya Bulanan'!$V$62,IF(Y$4&lt;=12,'Biaya Bulanan'!$W$62,'Biaya Bulanan'!$X$62)))*'Biaya Bulanan'!$T$62</f>
        <v>7191635</v>
      </c>
      <c r="Z41" s="45" t="n">
        <f aca="false">IF(Z$4&lt;'Biaya Bulanan'!$I$62,0,IF(Z$4&lt;=3,'Biaya Bulanan'!$V$62,IF(Z$4&lt;=12,'Biaya Bulanan'!$W$62,'Biaya Bulanan'!$X$62)))*'Biaya Bulanan'!$T$62</f>
        <v>7191635</v>
      </c>
      <c r="AA41" s="45" t="n">
        <f aca="false">IF(AA$4&lt;'Biaya Bulanan'!$I$62,0,IF(AA$4&lt;=3,'Biaya Bulanan'!$V$62,IF(AA$4&lt;=12,'Biaya Bulanan'!$W$62,'Biaya Bulanan'!$X$62)))*'Biaya Bulanan'!$T$62</f>
        <v>7191635</v>
      </c>
    </row>
    <row r="42" customFormat="false" ht="15" hidden="false" customHeight="false" outlineLevel="0" collapsed="false">
      <c r="A42" s="18" t="n">
        <v>38</v>
      </c>
      <c r="B42" s="43" t="str">
        <f aca="false">'Biaya Bulanan'!$B$63</f>
        <v>Legal &amp; Kepatuhan</v>
      </c>
      <c r="C42" s="43" t="str">
        <f aca="false">'Biaya Bulanan'!$C$63</f>
        <v>Head of Legal &amp; Compliance (merangkap DPO)</v>
      </c>
      <c r="D42" s="45" t="n">
        <f aca="false">IF(D$4&lt;'Biaya Bulanan'!$I$63,0,IF(D$4&lt;=3,'Biaya Bulanan'!$V$63,IF(D$4&lt;=12,'Biaya Bulanan'!$W$63,'Biaya Bulanan'!$X$63)))*'Biaya Bulanan'!$T$63</f>
        <v>0</v>
      </c>
      <c r="E42" s="45" t="n">
        <f aca="false">IF(E$4&lt;'Biaya Bulanan'!$I$63,0,IF(E$4&lt;=3,'Biaya Bulanan'!$V$63,IF(E$4&lt;=12,'Biaya Bulanan'!$W$63,'Biaya Bulanan'!$X$63)))*'Biaya Bulanan'!$T$63</f>
        <v>0</v>
      </c>
      <c r="F42" s="45" t="n">
        <f aca="false">IF(F$4&lt;'Biaya Bulanan'!$I$63,0,IF(F$4&lt;=3,'Biaya Bulanan'!$V$63,IF(F$4&lt;=12,'Biaya Bulanan'!$W$63,'Biaya Bulanan'!$X$63)))*'Biaya Bulanan'!$T$63</f>
        <v>0</v>
      </c>
      <c r="G42" s="45" t="n">
        <f aca="false">IF(G$4&lt;'Biaya Bulanan'!$I$63,0,IF(G$4&lt;=3,'Biaya Bulanan'!$V$63,IF(G$4&lt;=12,'Biaya Bulanan'!$W$63,'Biaya Bulanan'!$X$63)))*'Biaya Bulanan'!$T$63</f>
        <v>17462921</v>
      </c>
      <c r="H42" s="45" t="n">
        <f aca="false">IF(H$4&lt;'Biaya Bulanan'!$I$63,0,IF(H$4&lt;=3,'Biaya Bulanan'!$V$63,IF(H$4&lt;=12,'Biaya Bulanan'!$W$63,'Biaya Bulanan'!$X$63)))*'Biaya Bulanan'!$T$63</f>
        <v>17462921</v>
      </c>
      <c r="I42" s="45" t="n">
        <f aca="false">IF(I$4&lt;'Biaya Bulanan'!$I$63,0,IF(I$4&lt;=3,'Biaya Bulanan'!$V$63,IF(I$4&lt;=12,'Biaya Bulanan'!$W$63,'Biaya Bulanan'!$X$63)))*'Biaya Bulanan'!$T$63</f>
        <v>17462921</v>
      </c>
      <c r="J42" s="45" t="n">
        <f aca="false">IF(J$4&lt;'Biaya Bulanan'!$I$63,0,IF(J$4&lt;=3,'Biaya Bulanan'!$V$63,IF(J$4&lt;=12,'Biaya Bulanan'!$W$63,'Biaya Bulanan'!$X$63)))*'Biaya Bulanan'!$T$63</f>
        <v>17462921</v>
      </c>
      <c r="K42" s="45" t="n">
        <f aca="false">IF(K$4&lt;'Biaya Bulanan'!$I$63,0,IF(K$4&lt;=3,'Biaya Bulanan'!$V$63,IF(K$4&lt;=12,'Biaya Bulanan'!$W$63,'Biaya Bulanan'!$X$63)))*'Biaya Bulanan'!$T$63</f>
        <v>17462921</v>
      </c>
      <c r="L42" s="45" t="n">
        <f aca="false">IF(L$4&lt;'Biaya Bulanan'!$I$63,0,IF(L$4&lt;=3,'Biaya Bulanan'!$V$63,IF(L$4&lt;=12,'Biaya Bulanan'!$W$63,'Biaya Bulanan'!$X$63)))*'Biaya Bulanan'!$T$63</f>
        <v>17462921</v>
      </c>
      <c r="M42" s="45" t="n">
        <f aca="false">IF(M$4&lt;'Biaya Bulanan'!$I$63,0,IF(M$4&lt;=3,'Biaya Bulanan'!$V$63,IF(M$4&lt;=12,'Biaya Bulanan'!$W$63,'Biaya Bulanan'!$X$63)))*'Biaya Bulanan'!$T$63</f>
        <v>17462921</v>
      </c>
      <c r="N42" s="45" t="n">
        <f aca="false">IF(N$4&lt;'Biaya Bulanan'!$I$63,0,IF(N$4&lt;=3,'Biaya Bulanan'!$V$63,IF(N$4&lt;=12,'Biaya Bulanan'!$W$63,'Biaya Bulanan'!$X$63)))*'Biaya Bulanan'!$T$63</f>
        <v>17462921</v>
      </c>
      <c r="O42" s="45" t="n">
        <f aca="false">IF(O$4&lt;'Biaya Bulanan'!$I$63,0,IF(O$4&lt;=3,'Biaya Bulanan'!$V$63,IF(O$4&lt;=12,'Biaya Bulanan'!$W$63,'Biaya Bulanan'!$X$63)))*'Biaya Bulanan'!$T$63</f>
        <v>17462921</v>
      </c>
      <c r="P42" s="45" t="n">
        <f aca="false">IF(P$4&lt;'Biaya Bulanan'!$I$63,0,IF(P$4&lt;=3,'Biaya Bulanan'!$V$63,IF(P$4&lt;=12,'Biaya Bulanan'!$W$63,'Biaya Bulanan'!$X$63)))*'Biaya Bulanan'!$T$63</f>
        <v>17462921</v>
      </c>
      <c r="Q42" s="45" t="n">
        <f aca="false">IF(Q$4&lt;'Biaya Bulanan'!$I$63,0,IF(Q$4&lt;=3,'Biaya Bulanan'!$V$63,IF(Q$4&lt;=12,'Biaya Bulanan'!$W$63,'Biaya Bulanan'!$X$63)))*'Biaya Bulanan'!$T$63</f>
        <v>17462921</v>
      </c>
      <c r="R42" s="45" t="n">
        <f aca="false">IF(R$4&lt;'Biaya Bulanan'!$I$63,0,IF(R$4&lt;=3,'Biaya Bulanan'!$V$63,IF(R$4&lt;=12,'Biaya Bulanan'!$W$63,'Biaya Bulanan'!$X$63)))*'Biaya Bulanan'!$T$63</f>
        <v>17462921</v>
      </c>
      <c r="S42" s="45" t="n">
        <f aca="false">IF(S$4&lt;'Biaya Bulanan'!$I$63,0,IF(S$4&lt;=3,'Biaya Bulanan'!$V$63,IF(S$4&lt;=12,'Biaya Bulanan'!$W$63,'Biaya Bulanan'!$X$63)))*'Biaya Bulanan'!$T$63</f>
        <v>17462921</v>
      </c>
      <c r="T42" s="45" t="n">
        <f aca="false">IF(T$4&lt;'Biaya Bulanan'!$I$63,0,IF(T$4&lt;=3,'Biaya Bulanan'!$V$63,IF(T$4&lt;=12,'Biaya Bulanan'!$W$63,'Biaya Bulanan'!$X$63)))*'Biaya Bulanan'!$T$63</f>
        <v>17462921</v>
      </c>
      <c r="U42" s="45" t="n">
        <f aca="false">IF(U$4&lt;'Biaya Bulanan'!$I$63,0,IF(U$4&lt;=3,'Biaya Bulanan'!$V$63,IF(U$4&lt;=12,'Biaya Bulanan'!$W$63,'Biaya Bulanan'!$X$63)))*'Biaya Bulanan'!$T$63</f>
        <v>17462921</v>
      </c>
      <c r="V42" s="45" t="n">
        <f aca="false">IF(V$4&lt;'Biaya Bulanan'!$I$63,0,IF(V$4&lt;=3,'Biaya Bulanan'!$V$63,IF(V$4&lt;=12,'Biaya Bulanan'!$W$63,'Biaya Bulanan'!$X$63)))*'Biaya Bulanan'!$T$63</f>
        <v>17462921</v>
      </c>
      <c r="W42" s="45" t="n">
        <f aca="false">IF(W$4&lt;'Biaya Bulanan'!$I$63,0,IF(W$4&lt;=3,'Biaya Bulanan'!$V$63,IF(W$4&lt;=12,'Biaya Bulanan'!$W$63,'Biaya Bulanan'!$X$63)))*'Biaya Bulanan'!$T$63</f>
        <v>17462921</v>
      </c>
      <c r="X42" s="45" t="n">
        <f aca="false">IF(X$4&lt;'Biaya Bulanan'!$I$63,0,IF(X$4&lt;=3,'Biaya Bulanan'!$V$63,IF(X$4&lt;=12,'Biaya Bulanan'!$W$63,'Biaya Bulanan'!$X$63)))*'Biaya Bulanan'!$T$63</f>
        <v>17462921</v>
      </c>
      <c r="Y42" s="45" t="n">
        <f aca="false">IF(Y$4&lt;'Biaya Bulanan'!$I$63,0,IF(Y$4&lt;=3,'Biaya Bulanan'!$V$63,IF(Y$4&lt;=12,'Biaya Bulanan'!$W$63,'Biaya Bulanan'!$X$63)))*'Biaya Bulanan'!$T$63</f>
        <v>17462921</v>
      </c>
      <c r="Z42" s="45" t="n">
        <f aca="false">IF(Z$4&lt;'Biaya Bulanan'!$I$63,0,IF(Z$4&lt;=3,'Biaya Bulanan'!$V$63,IF(Z$4&lt;=12,'Biaya Bulanan'!$W$63,'Biaya Bulanan'!$X$63)))*'Biaya Bulanan'!$T$63</f>
        <v>17462921</v>
      </c>
      <c r="AA42" s="45" t="n">
        <f aca="false">IF(AA$4&lt;'Biaya Bulanan'!$I$63,0,IF(AA$4&lt;=3,'Biaya Bulanan'!$V$63,IF(AA$4&lt;=12,'Biaya Bulanan'!$W$63,'Biaya Bulanan'!$X$63)))*'Biaya Bulanan'!$T$63</f>
        <v>17462921</v>
      </c>
    </row>
    <row r="43" customFormat="false" ht="15" hidden="false" customHeight="false" outlineLevel="0" collapsed="false">
      <c r="A43" s="25"/>
      <c r="B43" s="25"/>
      <c r="C43" s="25" t="s">
        <v>315</v>
      </c>
      <c r="D43" s="50" t="n">
        <f aca="false">SUM(D5:D42)</f>
        <v>158704880</v>
      </c>
      <c r="E43" s="50" t="n">
        <f aca="false">SUM(E5:E42)</f>
        <v>219217748</v>
      </c>
      <c r="F43" s="50" t="n">
        <f aca="false">SUM(F5:F42)</f>
        <v>230332093</v>
      </c>
      <c r="G43" s="50" t="n">
        <f aca="false">SUM(G5:G42)</f>
        <v>375824433</v>
      </c>
      <c r="H43" s="50" t="n">
        <f aca="false">SUM(H5:H42)</f>
        <v>410057871.5</v>
      </c>
      <c r="I43" s="50" t="n">
        <f aca="false">SUM(I5:I42)</f>
        <v>435555486.5</v>
      </c>
      <c r="J43" s="50" t="n">
        <f aca="false">SUM(J5:J42)</f>
        <v>435555486.5</v>
      </c>
      <c r="K43" s="50" t="n">
        <f aca="false">SUM(K5:K42)</f>
        <v>435555486.5</v>
      </c>
      <c r="L43" s="50" t="n">
        <f aca="false">SUM(L5:L42)</f>
        <v>435555486.5</v>
      </c>
      <c r="M43" s="50" t="n">
        <f aca="false">SUM(M5:M42)</f>
        <v>435555486.5</v>
      </c>
      <c r="N43" s="50" t="n">
        <f aca="false">SUM(N5:N42)</f>
        <v>435555486.5</v>
      </c>
      <c r="O43" s="50" t="n">
        <f aca="false">SUM(O5:O42)</f>
        <v>435555486.5</v>
      </c>
      <c r="P43" s="50" t="n">
        <f aca="false">SUM(P5:P42)</f>
        <v>514771937.75</v>
      </c>
      <c r="Q43" s="50" t="n">
        <f aca="false">SUM(Q5:Q42)</f>
        <v>548965022.75</v>
      </c>
      <c r="R43" s="50" t="n">
        <f aca="false">SUM(R5:R42)</f>
        <v>567745399.75</v>
      </c>
      <c r="S43" s="50" t="n">
        <f aca="false">SUM(S5:S42)</f>
        <v>584743809.75</v>
      </c>
      <c r="T43" s="50" t="n">
        <f aca="false">SUM(T5:T42)</f>
        <v>601585945.75</v>
      </c>
      <c r="U43" s="50" t="n">
        <f aca="false">SUM(U5:U42)</f>
        <v>610738935.75</v>
      </c>
      <c r="V43" s="50" t="n">
        <f aca="false">SUM(V5:V42)</f>
        <v>636272061.75</v>
      </c>
      <c r="W43" s="50" t="n">
        <f aca="false">SUM(W5:W42)</f>
        <v>636272061.75</v>
      </c>
      <c r="X43" s="50" t="n">
        <f aca="false">SUM(X5:X42)</f>
        <v>636272061.75</v>
      </c>
      <c r="Y43" s="50" t="n">
        <f aca="false">SUM(Y5:Y42)</f>
        <v>636272061.75</v>
      </c>
      <c r="Z43" s="50" t="n">
        <f aca="false">SUM(Z5:Z42)</f>
        <v>636272061.75</v>
      </c>
      <c r="AA43" s="50" t="n">
        <f aca="false">SUM(AA5:AA42)</f>
        <v>636272061.75</v>
      </c>
    </row>
    <row r="45" customFormat="false" ht="15" hidden="false" customHeight="false" outlineLevel="0" collapsed="false">
      <c r="A45" s="4" t="s">
        <v>316</v>
      </c>
      <c r="B45" s="4"/>
      <c r="C45" s="4"/>
    </row>
    <row r="46" customFormat="false" ht="31.5" hidden="false" customHeight="true" outlineLevel="0" collapsed="false">
      <c r="A46" s="5" t="s">
        <v>72</v>
      </c>
      <c r="B46" s="5" t="s">
        <v>73</v>
      </c>
      <c r="C46" s="5" t="s">
        <v>74</v>
      </c>
      <c r="D46" s="51" t="n">
        <v>1</v>
      </c>
      <c r="E46" s="51" t="n">
        <v>2</v>
      </c>
      <c r="F46" s="51" t="n">
        <v>3</v>
      </c>
      <c r="G46" s="51" t="n">
        <v>4</v>
      </c>
      <c r="H46" s="51" t="n">
        <v>5</v>
      </c>
      <c r="I46" s="51" t="n">
        <v>6</v>
      </c>
      <c r="J46" s="51" t="n">
        <v>7</v>
      </c>
      <c r="K46" s="51" t="n">
        <v>8</v>
      </c>
      <c r="L46" s="51" t="n">
        <v>9</v>
      </c>
      <c r="M46" s="51" t="n">
        <v>10</v>
      </c>
      <c r="N46" s="51" t="n">
        <v>11</v>
      </c>
      <c r="O46" s="51" t="n">
        <v>12</v>
      </c>
      <c r="P46" s="51" t="n">
        <v>13</v>
      </c>
      <c r="Q46" s="51" t="n">
        <v>14</v>
      </c>
      <c r="R46" s="51" t="n">
        <v>15</v>
      </c>
      <c r="S46" s="51" t="n">
        <v>16</v>
      </c>
      <c r="T46" s="51" t="n">
        <v>17</v>
      </c>
      <c r="U46" s="51" t="n">
        <v>18</v>
      </c>
      <c r="V46" s="51" t="n">
        <v>19</v>
      </c>
      <c r="W46" s="51" t="n">
        <v>20</v>
      </c>
      <c r="X46" s="51" t="n">
        <v>21</v>
      </c>
      <c r="Y46" s="51" t="n">
        <v>22</v>
      </c>
      <c r="Z46" s="51" t="n">
        <v>23</v>
      </c>
      <c r="AA46" s="51" t="n">
        <v>24</v>
      </c>
    </row>
    <row r="47" customFormat="false" ht="15" hidden="false" customHeight="false" outlineLevel="0" collapsed="false">
      <c r="A47" s="18" t="n">
        <v>1</v>
      </c>
      <c r="B47" s="6" t="s">
        <v>83</v>
      </c>
      <c r="C47" s="11"/>
      <c r="D47" s="45" t="n">
        <f aca="false">SUMIF($B$5:$B$42,$B47,D$5:D$42)</f>
        <v>44156676</v>
      </c>
      <c r="E47" s="45" t="n">
        <f aca="false">SUMIF($B$5:$B$42,$B47,E$5:E$42)</f>
        <v>44156676</v>
      </c>
      <c r="F47" s="45" t="n">
        <f aca="false">SUMIF($B$5:$B$42,$B47,F$5:F$42)</f>
        <v>55271021</v>
      </c>
      <c r="G47" s="45" t="n">
        <f aca="false">SUMIF($B$5:$B$42,$B47,G$5:G$42)</f>
        <v>55271021</v>
      </c>
      <c r="H47" s="45" t="n">
        <f aca="false">SUMIF($B$5:$B$42,$B47,H$5:H$42)</f>
        <v>55271021</v>
      </c>
      <c r="I47" s="45" t="n">
        <f aca="false">SUMIF($B$5:$B$42,$B47,I$5:I$42)</f>
        <v>55271021</v>
      </c>
      <c r="J47" s="45" t="n">
        <f aca="false">SUMIF($B$5:$B$42,$B47,J$5:J$42)</f>
        <v>55271021</v>
      </c>
      <c r="K47" s="45" t="n">
        <f aca="false">SUMIF($B$5:$B$42,$B47,K$5:K$42)</f>
        <v>55271021</v>
      </c>
      <c r="L47" s="45" t="n">
        <f aca="false">SUMIF($B$5:$B$42,$B47,L$5:L$42)</f>
        <v>55271021</v>
      </c>
      <c r="M47" s="45" t="n">
        <f aca="false">SUMIF($B$5:$B$42,$B47,M$5:M$42)</f>
        <v>55271021</v>
      </c>
      <c r="N47" s="45" t="n">
        <f aca="false">SUMIF($B$5:$B$42,$B47,N$5:N$42)</f>
        <v>55271021</v>
      </c>
      <c r="O47" s="45" t="n">
        <f aca="false">SUMIF($B$5:$B$42,$B47,O$5:O$42)</f>
        <v>55271021</v>
      </c>
      <c r="P47" s="45" t="n">
        <f aca="false">SUMIF($B$5:$B$42,$B47,P$5:P$42)</f>
        <v>55271021</v>
      </c>
      <c r="Q47" s="45" t="n">
        <f aca="false">SUMIF($B$5:$B$42,$B47,Q$5:Q$42)</f>
        <v>55271021</v>
      </c>
      <c r="R47" s="45" t="n">
        <f aca="false">SUMIF($B$5:$B$42,$B47,R$5:R$42)</f>
        <v>55271021</v>
      </c>
      <c r="S47" s="45" t="n">
        <f aca="false">SUMIF($B$5:$B$42,$B47,S$5:S$42)</f>
        <v>55271021</v>
      </c>
      <c r="T47" s="45" t="n">
        <f aca="false">SUMIF($B$5:$B$42,$B47,T$5:T$42)</f>
        <v>55271021</v>
      </c>
      <c r="U47" s="45" t="n">
        <f aca="false">SUMIF($B$5:$B$42,$B47,U$5:U$42)</f>
        <v>55271021</v>
      </c>
      <c r="V47" s="45" t="n">
        <f aca="false">SUMIF($B$5:$B$42,$B47,V$5:V$42)</f>
        <v>55271021</v>
      </c>
      <c r="W47" s="45" t="n">
        <f aca="false">SUMIF($B$5:$B$42,$B47,W$5:W$42)</f>
        <v>55271021</v>
      </c>
      <c r="X47" s="45" t="n">
        <f aca="false">SUMIF($B$5:$B$42,$B47,X$5:X$42)</f>
        <v>55271021</v>
      </c>
      <c r="Y47" s="45" t="n">
        <f aca="false">SUMIF($B$5:$B$42,$B47,Y$5:Y$42)</f>
        <v>55271021</v>
      </c>
      <c r="Z47" s="45" t="n">
        <f aca="false">SUMIF($B$5:$B$42,$B47,Z$5:Z$42)</f>
        <v>55271021</v>
      </c>
      <c r="AA47" s="45" t="n">
        <f aca="false">SUMIF($B$5:$B$42,$B47,AA$5:AA$42)</f>
        <v>55271021</v>
      </c>
    </row>
    <row r="48" customFormat="false" ht="15" hidden="false" customHeight="false" outlineLevel="0" collapsed="false">
      <c r="A48" s="18" t="n">
        <v>2</v>
      </c>
      <c r="B48" s="6" t="s">
        <v>91</v>
      </c>
      <c r="C48" s="11"/>
      <c r="D48" s="45" t="n">
        <f aca="false">SUMIF($B$5:$B$42,$B48,D$5:D$42)</f>
        <v>89015078</v>
      </c>
      <c r="E48" s="45" t="n">
        <f aca="false">SUMIF($B$5:$B$42,$B48,E$5:E$42)</f>
        <v>105857214</v>
      </c>
      <c r="F48" s="45" t="n">
        <f aca="false">SUMIF($B$5:$B$42,$B48,F$5:F$42)</f>
        <v>105857214</v>
      </c>
      <c r="G48" s="45" t="n">
        <f aca="false">SUMIF($B$5:$B$42,$B48,G$5:G$42)</f>
        <v>156302681</v>
      </c>
      <c r="H48" s="45" t="n">
        <f aca="false">SUMIF($B$5:$B$42,$B48,H$5:H$42)</f>
        <v>171903247</v>
      </c>
      <c r="I48" s="45" t="n">
        <f aca="false">SUMIF($B$5:$B$42,$B48,I$5:I$42)</f>
        <v>184978947</v>
      </c>
      <c r="J48" s="45" t="n">
        <f aca="false">SUMIF($B$5:$B$42,$B48,J$5:J$42)</f>
        <v>184978947</v>
      </c>
      <c r="K48" s="45" t="n">
        <f aca="false">SUMIF($B$5:$B$42,$B48,K$5:K$42)</f>
        <v>184978947</v>
      </c>
      <c r="L48" s="45" t="n">
        <f aca="false">SUMIF($B$5:$B$42,$B48,L$5:L$42)</f>
        <v>184978947</v>
      </c>
      <c r="M48" s="45" t="n">
        <f aca="false">SUMIF($B$5:$B$42,$B48,M$5:M$42)</f>
        <v>184978947</v>
      </c>
      <c r="N48" s="45" t="n">
        <f aca="false">SUMIF($B$5:$B$42,$B48,N$5:N$42)</f>
        <v>184978947</v>
      </c>
      <c r="O48" s="45" t="n">
        <f aca="false">SUMIF($B$5:$B$42,$B48,O$5:O$42)</f>
        <v>184978947</v>
      </c>
      <c r="P48" s="45" t="n">
        <f aca="false">SUMIF($B$5:$B$42,$B48,P$5:P$42)</f>
        <v>215559294</v>
      </c>
      <c r="Q48" s="45" t="n">
        <f aca="false">SUMIF($B$5:$B$42,$B48,Q$5:Q$42)</f>
        <v>231159860</v>
      </c>
      <c r="R48" s="45" t="n">
        <f aca="false">SUMIF($B$5:$B$42,$B48,R$5:R$42)</f>
        <v>244235560</v>
      </c>
      <c r="S48" s="45" t="n">
        <f aca="false">SUMIF($B$5:$B$42,$B48,S$5:S$42)</f>
        <v>254042335</v>
      </c>
      <c r="T48" s="45" t="n">
        <f aca="false">SUMIF($B$5:$B$42,$B48,T$5:T$42)</f>
        <v>270884471</v>
      </c>
      <c r="U48" s="45" t="n">
        <f aca="false">SUMIF($B$5:$B$42,$B48,U$5:U$42)</f>
        <v>280037461</v>
      </c>
      <c r="V48" s="45" t="n">
        <f aca="false">SUMIF($B$5:$B$42,$B48,V$5:V$42)</f>
        <v>305570587</v>
      </c>
      <c r="W48" s="45" t="n">
        <f aca="false">SUMIF($B$5:$B$42,$B48,W$5:W$42)</f>
        <v>305570587</v>
      </c>
      <c r="X48" s="45" t="n">
        <f aca="false">SUMIF($B$5:$B$42,$B48,X$5:X$42)</f>
        <v>305570587</v>
      </c>
      <c r="Y48" s="45" t="n">
        <f aca="false">SUMIF($B$5:$B$42,$B48,Y$5:Y$42)</f>
        <v>305570587</v>
      </c>
      <c r="Z48" s="45" t="n">
        <f aca="false">SUMIF($B$5:$B$42,$B48,Z$5:Z$42)</f>
        <v>305570587</v>
      </c>
      <c r="AA48" s="45" t="n">
        <f aca="false">SUMIF($B$5:$B$42,$B48,AA$5:AA$42)</f>
        <v>305570587</v>
      </c>
    </row>
    <row r="49" customFormat="false" ht="15" hidden="false" customHeight="false" outlineLevel="0" collapsed="false">
      <c r="A49" s="18" t="n">
        <v>3</v>
      </c>
      <c r="B49" s="6" t="s">
        <v>123</v>
      </c>
      <c r="C49" s="11"/>
      <c r="D49" s="45" t="n">
        <f aca="false">SUMIF($B$5:$B$42,$B49,D$5:D$42)</f>
        <v>25533126</v>
      </c>
      <c r="E49" s="45" t="n">
        <f aca="false">SUMIF($B$5:$B$42,$B49,E$5:E$42)</f>
        <v>43670732</v>
      </c>
      <c r="F49" s="45" t="n">
        <f aca="false">SUMIF($B$5:$B$42,$B49,F$5:F$42)</f>
        <v>43670732</v>
      </c>
      <c r="G49" s="45" t="n">
        <f aca="false">SUMIF($B$5:$B$42,$B49,G$5:G$42)</f>
        <v>85359998</v>
      </c>
      <c r="H49" s="45" t="n">
        <f aca="false">SUMIF($B$5:$B$42,$B49,H$5:H$42)</f>
        <v>103992870.5</v>
      </c>
      <c r="I49" s="45" t="n">
        <f aca="false">SUMIF($B$5:$B$42,$B49,I$5:I$42)</f>
        <v>116414785.5</v>
      </c>
      <c r="J49" s="45" t="n">
        <f aca="false">SUMIF($B$5:$B$42,$B49,J$5:J$42)</f>
        <v>116414785.5</v>
      </c>
      <c r="K49" s="45" t="n">
        <f aca="false">SUMIF($B$5:$B$42,$B49,K$5:K$42)</f>
        <v>116414785.5</v>
      </c>
      <c r="L49" s="45" t="n">
        <f aca="false">SUMIF($B$5:$B$42,$B49,L$5:L$42)</f>
        <v>116414785.5</v>
      </c>
      <c r="M49" s="45" t="n">
        <f aca="false">SUMIF($B$5:$B$42,$B49,M$5:M$42)</f>
        <v>116414785.5</v>
      </c>
      <c r="N49" s="45" t="n">
        <f aca="false">SUMIF($B$5:$B$42,$B49,N$5:N$42)</f>
        <v>116414785.5</v>
      </c>
      <c r="O49" s="45" t="n">
        <f aca="false">SUMIF($B$5:$B$42,$B49,O$5:O$42)</f>
        <v>116414785.5</v>
      </c>
      <c r="P49" s="45" t="n">
        <f aca="false">SUMIF($B$5:$B$42,$B49,P$5:P$42)</f>
        <v>138388938.5</v>
      </c>
      <c r="Q49" s="45" t="n">
        <f aca="false">SUMIF($B$5:$B$42,$B49,Q$5:Q$42)</f>
        <v>156981457.5</v>
      </c>
      <c r="R49" s="45" t="n">
        <f aca="false">SUMIF($B$5:$B$42,$B49,R$5:R$42)</f>
        <v>162686134.5</v>
      </c>
      <c r="S49" s="45" t="n">
        <f aca="false">SUMIF($B$5:$B$42,$B49,S$5:S$42)</f>
        <v>162686134.5</v>
      </c>
      <c r="T49" s="45" t="n">
        <f aca="false">SUMIF($B$5:$B$42,$B49,T$5:T$42)</f>
        <v>162686134.5</v>
      </c>
      <c r="U49" s="45" t="n">
        <f aca="false">SUMIF($B$5:$B$42,$B49,U$5:U$42)</f>
        <v>162686134.5</v>
      </c>
      <c r="V49" s="45" t="n">
        <f aca="false">SUMIF($B$5:$B$42,$B49,V$5:V$42)</f>
        <v>162686134.5</v>
      </c>
      <c r="W49" s="45" t="n">
        <f aca="false">SUMIF($B$5:$B$42,$B49,W$5:W$42)</f>
        <v>162686134.5</v>
      </c>
      <c r="X49" s="45" t="n">
        <f aca="false">SUMIF($B$5:$B$42,$B49,X$5:X$42)</f>
        <v>162686134.5</v>
      </c>
      <c r="Y49" s="45" t="n">
        <f aca="false">SUMIF($B$5:$B$42,$B49,Y$5:Y$42)</f>
        <v>162686134.5</v>
      </c>
      <c r="Z49" s="45" t="n">
        <f aca="false">SUMIF($B$5:$B$42,$B49,Z$5:Z$42)</f>
        <v>162686134.5</v>
      </c>
      <c r="AA49" s="45" t="n">
        <f aca="false">SUMIF($B$5:$B$42,$B49,AA$5:AA$42)</f>
        <v>162686134.5</v>
      </c>
    </row>
    <row r="50" customFormat="false" ht="15" hidden="false" customHeight="false" outlineLevel="0" collapsed="false">
      <c r="A50" s="18" t="n">
        <v>4</v>
      </c>
      <c r="B50" s="6" t="s">
        <v>147</v>
      </c>
      <c r="C50" s="11"/>
      <c r="D50" s="45" t="n">
        <f aca="false">SUMIF($B$5:$B$42,$B50,D$5:D$42)</f>
        <v>0</v>
      </c>
      <c r="E50" s="45" t="n">
        <f aca="false">SUMIF($B$5:$B$42,$B50,E$5:E$42)</f>
        <v>0</v>
      </c>
      <c r="F50" s="45" t="n">
        <f aca="false">SUMIF($B$5:$B$42,$B50,F$5:F$42)</f>
        <v>0</v>
      </c>
      <c r="G50" s="45" t="n">
        <f aca="false">SUMIF($B$5:$B$42,$B50,G$5:G$42)</f>
        <v>27395481</v>
      </c>
      <c r="H50" s="45" t="n">
        <f aca="false">SUMIF($B$5:$B$42,$B50,H$5:H$42)</f>
        <v>27395481</v>
      </c>
      <c r="I50" s="45" t="n">
        <f aca="false">SUMIF($B$5:$B$42,$B50,I$5:I$42)</f>
        <v>27395481</v>
      </c>
      <c r="J50" s="45" t="n">
        <f aca="false">SUMIF($B$5:$B$42,$B50,J$5:J$42)</f>
        <v>27395481</v>
      </c>
      <c r="K50" s="45" t="n">
        <f aca="false">SUMIF($B$5:$B$42,$B50,K$5:K$42)</f>
        <v>27395481</v>
      </c>
      <c r="L50" s="45" t="n">
        <f aca="false">SUMIF($B$5:$B$42,$B50,L$5:L$42)</f>
        <v>27395481</v>
      </c>
      <c r="M50" s="45" t="n">
        <f aca="false">SUMIF($B$5:$B$42,$B50,M$5:M$42)</f>
        <v>27395481</v>
      </c>
      <c r="N50" s="45" t="n">
        <f aca="false">SUMIF($B$5:$B$42,$B50,N$5:N$42)</f>
        <v>27395481</v>
      </c>
      <c r="O50" s="45" t="n">
        <f aca="false">SUMIF($B$5:$B$42,$B50,O$5:O$42)</f>
        <v>27395481</v>
      </c>
      <c r="P50" s="45" t="n">
        <f aca="false">SUMIF($B$5:$B$42,$B50,P$5:P$42)</f>
        <v>43433426</v>
      </c>
      <c r="Q50" s="45" t="n">
        <f aca="false">SUMIF($B$5:$B$42,$B50,Q$5:Q$42)</f>
        <v>43433426</v>
      </c>
      <c r="R50" s="45" t="n">
        <f aca="false">SUMIF($B$5:$B$42,$B50,R$5:R$42)</f>
        <v>43433426</v>
      </c>
      <c r="S50" s="45" t="n">
        <f aca="false">SUMIF($B$5:$B$42,$B50,S$5:S$42)</f>
        <v>43433426</v>
      </c>
      <c r="T50" s="45" t="n">
        <f aca="false">SUMIF($B$5:$B$42,$B50,T$5:T$42)</f>
        <v>43433426</v>
      </c>
      <c r="U50" s="45" t="n">
        <f aca="false">SUMIF($B$5:$B$42,$B50,U$5:U$42)</f>
        <v>43433426</v>
      </c>
      <c r="V50" s="45" t="n">
        <f aca="false">SUMIF($B$5:$B$42,$B50,V$5:V$42)</f>
        <v>43433426</v>
      </c>
      <c r="W50" s="45" t="n">
        <f aca="false">SUMIF($B$5:$B$42,$B50,W$5:W$42)</f>
        <v>43433426</v>
      </c>
      <c r="X50" s="45" t="n">
        <f aca="false">SUMIF($B$5:$B$42,$B50,X$5:X$42)</f>
        <v>43433426</v>
      </c>
      <c r="Y50" s="45" t="n">
        <f aca="false">SUMIF($B$5:$B$42,$B50,Y$5:Y$42)</f>
        <v>43433426</v>
      </c>
      <c r="Z50" s="45" t="n">
        <f aca="false">SUMIF($B$5:$B$42,$B50,Z$5:Z$42)</f>
        <v>43433426</v>
      </c>
      <c r="AA50" s="45" t="n">
        <f aca="false">SUMIF($B$5:$B$42,$B50,AA$5:AA$42)</f>
        <v>43433426</v>
      </c>
    </row>
    <row r="51" customFormat="false" ht="15" hidden="false" customHeight="false" outlineLevel="0" collapsed="false">
      <c r="A51" s="18" t="n">
        <v>5</v>
      </c>
      <c r="B51" s="6" t="s">
        <v>153</v>
      </c>
      <c r="C51" s="11"/>
      <c r="D51" s="45" t="n">
        <f aca="false">SUMIF($B$5:$B$42,$B51,D$5:D$42)</f>
        <v>0</v>
      </c>
      <c r="E51" s="45" t="n">
        <f aca="false">SUMIF($B$5:$B$42,$B51,E$5:E$42)</f>
        <v>25533126</v>
      </c>
      <c r="F51" s="45" t="n">
        <f aca="false">SUMIF($B$5:$B$42,$B51,F$5:F$42)</f>
        <v>25533126</v>
      </c>
      <c r="G51" s="45" t="n">
        <f aca="false">SUMIF($B$5:$B$42,$B51,G$5:G$42)</f>
        <v>34032331</v>
      </c>
      <c r="H51" s="45" t="n">
        <f aca="false">SUMIF($B$5:$B$42,$B51,H$5:H$42)</f>
        <v>34032331</v>
      </c>
      <c r="I51" s="45" t="n">
        <f aca="false">SUMIF($B$5:$B$42,$B51,I$5:I$42)</f>
        <v>34032331</v>
      </c>
      <c r="J51" s="45" t="n">
        <f aca="false">SUMIF($B$5:$B$42,$B51,J$5:J$42)</f>
        <v>34032331</v>
      </c>
      <c r="K51" s="45" t="n">
        <f aca="false">SUMIF($B$5:$B$42,$B51,K$5:K$42)</f>
        <v>34032331</v>
      </c>
      <c r="L51" s="45" t="n">
        <f aca="false">SUMIF($B$5:$B$42,$B51,L$5:L$42)</f>
        <v>34032331</v>
      </c>
      <c r="M51" s="45" t="n">
        <f aca="false">SUMIF($B$5:$B$42,$B51,M$5:M$42)</f>
        <v>34032331</v>
      </c>
      <c r="N51" s="45" t="n">
        <f aca="false">SUMIF($B$5:$B$42,$B51,N$5:N$42)</f>
        <v>34032331</v>
      </c>
      <c r="O51" s="45" t="n">
        <f aca="false">SUMIF($B$5:$B$42,$B51,O$5:O$42)</f>
        <v>34032331</v>
      </c>
      <c r="P51" s="45" t="n">
        <f aca="false">SUMIF($B$5:$B$42,$B51,P$5:P$42)</f>
        <v>44656337.25</v>
      </c>
      <c r="Q51" s="45" t="n">
        <f aca="false">SUMIF($B$5:$B$42,$B51,Q$5:Q$42)</f>
        <v>44656337.25</v>
      </c>
      <c r="R51" s="45" t="n">
        <f aca="false">SUMIF($B$5:$B$42,$B51,R$5:R$42)</f>
        <v>44656337.25</v>
      </c>
      <c r="S51" s="45" t="n">
        <f aca="false">SUMIF($B$5:$B$42,$B51,S$5:S$42)</f>
        <v>51847972.25</v>
      </c>
      <c r="T51" s="45" t="n">
        <f aca="false">SUMIF($B$5:$B$42,$B51,T$5:T$42)</f>
        <v>51847972.25</v>
      </c>
      <c r="U51" s="45" t="n">
        <f aca="false">SUMIF($B$5:$B$42,$B51,U$5:U$42)</f>
        <v>51847972.25</v>
      </c>
      <c r="V51" s="45" t="n">
        <f aca="false">SUMIF($B$5:$B$42,$B51,V$5:V$42)</f>
        <v>51847972.25</v>
      </c>
      <c r="W51" s="45" t="n">
        <f aca="false">SUMIF($B$5:$B$42,$B51,W$5:W$42)</f>
        <v>51847972.25</v>
      </c>
      <c r="X51" s="45" t="n">
        <f aca="false">SUMIF($B$5:$B$42,$B51,X$5:X$42)</f>
        <v>51847972.25</v>
      </c>
      <c r="Y51" s="45" t="n">
        <f aca="false">SUMIF($B$5:$B$42,$B51,Y$5:Y$42)</f>
        <v>51847972.25</v>
      </c>
      <c r="Z51" s="45" t="n">
        <f aca="false">SUMIF($B$5:$B$42,$B51,Z$5:Z$42)</f>
        <v>51847972.25</v>
      </c>
      <c r="AA51" s="45" t="n">
        <f aca="false">SUMIF($B$5:$B$42,$B51,AA$5:AA$42)</f>
        <v>51847972.25</v>
      </c>
    </row>
    <row r="52" customFormat="false" ht="15" hidden="false" customHeight="false" outlineLevel="0" collapsed="false">
      <c r="A52" s="18" t="n">
        <v>6</v>
      </c>
      <c r="B52" s="6" t="s">
        <v>161</v>
      </c>
      <c r="C52" s="11"/>
      <c r="D52" s="45" t="n">
        <f aca="false">SUMIF($B$5:$B$42,$B52,D$5:D$42)</f>
        <v>0</v>
      </c>
      <c r="E52" s="45" t="n">
        <f aca="false">SUMIF($B$5:$B$42,$B52,E$5:E$42)</f>
        <v>0</v>
      </c>
      <c r="F52" s="45" t="n">
        <f aca="false">SUMIF($B$5:$B$42,$B52,F$5:F$42)</f>
        <v>0</v>
      </c>
      <c r="G52" s="45" t="n">
        <f aca="false">SUMIF($B$5:$B$42,$B52,G$5:G$42)</f>
        <v>17462921</v>
      </c>
      <c r="H52" s="45" t="n">
        <f aca="false">SUMIF($B$5:$B$42,$B52,H$5:H$42)</f>
        <v>17462921</v>
      </c>
      <c r="I52" s="45" t="n">
        <f aca="false">SUMIF($B$5:$B$42,$B52,I$5:I$42)</f>
        <v>17462921</v>
      </c>
      <c r="J52" s="45" t="n">
        <f aca="false">SUMIF($B$5:$B$42,$B52,J$5:J$42)</f>
        <v>17462921</v>
      </c>
      <c r="K52" s="45" t="n">
        <f aca="false">SUMIF($B$5:$B$42,$B52,K$5:K$42)</f>
        <v>17462921</v>
      </c>
      <c r="L52" s="45" t="n">
        <f aca="false">SUMIF($B$5:$B$42,$B52,L$5:L$42)</f>
        <v>17462921</v>
      </c>
      <c r="M52" s="45" t="n">
        <f aca="false">SUMIF($B$5:$B$42,$B52,M$5:M$42)</f>
        <v>17462921</v>
      </c>
      <c r="N52" s="45" t="n">
        <f aca="false">SUMIF($B$5:$B$42,$B52,N$5:N$42)</f>
        <v>17462921</v>
      </c>
      <c r="O52" s="45" t="n">
        <f aca="false">SUMIF($B$5:$B$42,$B52,O$5:O$42)</f>
        <v>17462921</v>
      </c>
      <c r="P52" s="45" t="n">
        <f aca="false">SUMIF($B$5:$B$42,$B52,P$5:P$42)</f>
        <v>17462921</v>
      </c>
      <c r="Q52" s="45" t="n">
        <f aca="false">SUMIF($B$5:$B$42,$B52,Q$5:Q$42)</f>
        <v>17462921</v>
      </c>
      <c r="R52" s="45" t="n">
        <f aca="false">SUMIF($B$5:$B$42,$B52,R$5:R$42)</f>
        <v>17462921</v>
      </c>
      <c r="S52" s="45" t="n">
        <f aca="false">SUMIF($B$5:$B$42,$B52,S$5:S$42)</f>
        <v>17462921</v>
      </c>
      <c r="T52" s="45" t="n">
        <f aca="false">SUMIF($B$5:$B$42,$B52,T$5:T$42)</f>
        <v>17462921</v>
      </c>
      <c r="U52" s="45" t="n">
        <f aca="false">SUMIF($B$5:$B$42,$B52,U$5:U$42)</f>
        <v>17462921</v>
      </c>
      <c r="V52" s="45" t="n">
        <f aca="false">SUMIF($B$5:$B$42,$B52,V$5:V$42)</f>
        <v>17462921</v>
      </c>
      <c r="W52" s="45" t="n">
        <f aca="false">SUMIF($B$5:$B$42,$B52,W$5:W$42)</f>
        <v>17462921</v>
      </c>
      <c r="X52" s="45" t="n">
        <f aca="false">SUMIF($B$5:$B$42,$B52,X$5:X$42)</f>
        <v>17462921</v>
      </c>
      <c r="Y52" s="45" t="n">
        <f aca="false">SUMIF($B$5:$B$42,$B52,Y$5:Y$42)</f>
        <v>17462921</v>
      </c>
      <c r="Z52" s="45" t="n">
        <f aca="false">SUMIF($B$5:$B$42,$B52,Z$5:Z$42)</f>
        <v>17462921</v>
      </c>
      <c r="AA52" s="45" t="n">
        <f aca="false">SUMIF($B$5:$B$42,$B52,AA$5:AA$42)</f>
        <v>17462921</v>
      </c>
    </row>
    <row r="53" customFormat="false" ht="15" hidden="false" customHeight="false" outlineLevel="0" collapsed="false">
      <c r="A53" s="25"/>
      <c r="B53" s="25" t="s">
        <v>317</v>
      </c>
      <c r="C53" s="25"/>
      <c r="D53" s="50" t="n">
        <f aca="false">SUM(D47:D52)</f>
        <v>158704880</v>
      </c>
      <c r="E53" s="50" t="n">
        <f aca="false">SUM(E47:E52)</f>
        <v>219217748</v>
      </c>
      <c r="F53" s="50" t="n">
        <f aca="false">SUM(F47:F52)</f>
        <v>230332093</v>
      </c>
      <c r="G53" s="50" t="n">
        <f aca="false">SUM(G47:G52)</f>
        <v>375824433</v>
      </c>
      <c r="H53" s="50" t="n">
        <f aca="false">SUM(H47:H52)</f>
        <v>410057871.5</v>
      </c>
      <c r="I53" s="50" t="n">
        <f aca="false">SUM(I47:I52)</f>
        <v>435555486.5</v>
      </c>
      <c r="J53" s="50" t="n">
        <f aca="false">SUM(J47:J52)</f>
        <v>435555486.5</v>
      </c>
      <c r="K53" s="50" t="n">
        <f aca="false">SUM(K47:K52)</f>
        <v>435555486.5</v>
      </c>
      <c r="L53" s="50" t="n">
        <f aca="false">SUM(L47:L52)</f>
        <v>435555486.5</v>
      </c>
      <c r="M53" s="50" t="n">
        <f aca="false">SUM(M47:M52)</f>
        <v>435555486.5</v>
      </c>
      <c r="N53" s="50" t="n">
        <f aca="false">SUM(N47:N52)</f>
        <v>435555486.5</v>
      </c>
      <c r="O53" s="50" t="n">
        <f aca="false">SUM(O47:O52)</f>
        <v>435555486.5</v>
      </c>
      <c r="P53" s="50" t="n">
        <f aca="false">SUM(P47:P52)</f>
        <v>514771937.75</v>
      </c>
      <c r="Q53" s="50" t="n">
        <f aca="false">SUM(Q47:Q52)</f>
        <v>548965022.75</v>
      </c>
      <c r="R53" s="50" t="n">
        <f aca="false">SUM(R47:R52)</f>
        <v>567745399.75</v>
      </c>
      <c r="S53" s="50" t="n">
        <f aca="false">SUM(S47:S52)</f>
        <v>584743809.75</v>
      </c>
      <c r="T53" s="50" t="n">
        <f aca="false">SUM(T47:T52)</f>
        <v>601585945.75</v>
      </c>
      <c r="U53" s="50" t="n">
        <f aca="false">SUM(U47:U52)</f>
        <v>610738935.75</v>
      </c>
      <c r="V53" s="50" t="n">
        <f aca="false">SUM(V47:V52)</f>
        <v>636272061.75</v>
      </c>
      <c r="W53" s="50" t="n">
        <f aca="false">SUM(W47:W52)</f>
        <v>636272061.75</v>
      </c>
      <c r="X53" s="50" t="n">
        <f aca="false">SUM(X47:X52)</f>
        <v>636272061.75</v>
      </c>
      <c r="Y53" s="50" t="n">
        <f aca="false">SUM(Y47:Y52)</f>
        <v>636272061.75</v>
      </c>
      <c r="Z53" s="50" t="n">
        <f aca="false">SUM(Z47:Z52)</f>
        <v>636272061.75</v>
      </c>
      <c r="AA53" s="50" t="n">
        <f aca="false">SUM(AA47:AA52)</f>
        <v>636272061.75</v>
      </c>
    </row>
    <row r="55" customFormat="false" ht="15" hidden="false" customHeight="false" outlineLevel="0" collapsed="false">
      <c r="B55" s="27" t="s">
        <v>318</v>
      </c>
      <c r="D55" s="44" t="n">
        <f aca="false">SUM(D43:AA43)</f>
        <v>11689208853</v>
      </c>
    </row>
    <row r="56" customFormat="false" ht="15" hidden="false" customHeight="false" outlineLevel="0" collapsed="false">
      <c r="B56" s="27" t="s">
        <v>319</v>
      </c>
      <c r="D56" s="44" t="n">
        <f aca="false">SUM(D43:O43)</f>
        <v>4443025431</v>
      </c>
    </row>
    <row r="57" customFormat="false" ht="15" hidden="false" customHeight="false" outlineLevel="0" collapsed="false">
      <c r="B57" s="27" t="s">
        <v>320</v>
      </c>
      <c r="D57" s="44" t="n">
        <f aca="false">SUM(P43:AA43)</f>
        <v>7246183422</v>
      </c>
    </row>
    <row r="59" customFormat="false" ht="15" hidden="false" customHeight="false" outlineLevel="0" collapsed="false">
      <c r="A59" s="4" t="s">
        <v>321</v>
      </c>
      <c r="B59" s="4"/>
      <c r="C59" s="4"/>
      <c r="D59" s="4"/>
      <c r="E59" s="4"/>
      <c r="F59" s="4"/>
    </row>
    <row r="60" customFormat="false" ht="31.5" hidden="false" customHeight="true" outlineLevel="0" collapsed="false">
      <c r="A60" s="5" t="s">
        <v>73</v>
      </c>
      <c r="B60" s="5" t="s">
        <v>322</v>
      </c>
      <c r="C60" s="5" t="s">
        <v>323</v>
      </c>
      <c r="D60" s="5" t="s">
        <v>324</v>
      </c>
      <c r="E60" s="5" t="s">
        <v>325</v>
      </c>
      <c r="F60" s="5" t="s">
        <v>326</v>
      </c>
      <c r="G60" s="5" t="s">
        <v>327</v>
      </c>
      <c r="H60" s="5" t="s">
        <v>328</v>
      </c>
      <c r="I60" s="5" t="s">
        <v>329</v>
      </c>
    </row>
    <row r="61" customFormat="false" ht="15" hidden="false" customHeight="false" outlineLevel="0" collapsed="false">
      <c r="A61" s="11" t="s">
        <v>83</v>
      </c>
      <c r="B61" s="19" t="n">
        <f aca="false">SUM(D47:F47)</f>
        <v>143584373</v>
      </c>
      <c r="C61" s="19" t="n">
        <f aca="false">SUM(G47:I47)</f>
        <v>165813063</v>
      </c>
      <c r="D61" s="19" t="n">
        <f aca="false">SUM(J47:L47)</f>
        <v>165813063</v>
      </c>
      <c r="E61" s="19" t="n">
        <f aca="false">SUM(M47:O47)</f>
        <v>165813063</v>
      </c>
      <c r="F61" s="19" t="n">
        <f aca="false">SUM(P47:R47)</f>
        <v>165813063</v>
      </c>
      <c r="G61" s="19" t="n">
        <f aca="false">SUM(S47:U47)</f>
        <v>165813063</v>
      </c>
      <c r="H61" s="19" t="n">
        <f aca="false">SUM(V47:X47)</f>
        <v>165813063</v>
      </c>
      <c r="I61" s="19" t="n">
        <f aca="false">SUM(Y47:AA47)</f>
        <v>165813063</v>
      </c>
    </row>
    <row r="62" customFormat="false" ht="15" hidden="false" customHeight="false" outlineLevel="0" collapsed="false">
      <c r="A62" s="11" t="s">
        <v>91</v>
      </c>
      <c r="B62" s="19" t="n">
        <f aca="false">SUM(D48:F48)</f>
        <v>300729506</v>
      </c>
      <c r="C62" s="19" t="n">
        <f aca="false">SUM(G48:I48)</f>
        <v>513184875</v>
      </c>
      <c r="D62" s="19" t="n">
        <f aca="false">SUM(J48:L48)</f>
        <v>554936841</v>
      </c>
      <c r="E62" s="19" t="n">
        <f aca="false">SUM(M48:O48)</f>
        <v>554936841</v>
      </c>
      <c r="F62" s="19" t="n">
        <f aca="false">SUM(P48:R48)</f>
        <v>690954714</v>
      </c>
      <c r="G62" s="19" t="n">
        <f aca="false">SUM(S48:U48)</f>
        <v>804964267</v>
      </c>
      <c r="H62" s="19" t="n">
        <f aca="false">SUM(V48:X48)</f>
        <v>916711761</v>
      </c>
      <c r="I62" s="19" t="n">
        <f aca="false">SUM(Y48:AA48)</f>
        <v>916711761</v>
      </c>
    </row>
    <row r="63" customFormat="false" ht="15" hidden="false" customHeight="false" outlineLevel="0" collapsed="false">
      <c r="A63" s="11" t="s">
        <v>123</v>
      </c>
      <c r="B63" s="19" t="n">
        <f aca="false">SUM(D49:F49)</f>
        <v>112874590</v>
      </c>
      <c r="C63" s="19" t="n">
        <f aca="false">SUM(G49:I49)</f>
        <v>305767654</v>
      </c>
      <c r="D63" s="19" t="n">
        <f aca="false">SUM(J49:L49)</f>
        <v>349244356.5</v>
      </c>
      <c r="E63" s="19" t="n">
        <f aca="false">SUM(M49:O49)</f>
        <v>349244356.5</v>
      </c>
      <c r="F63" s="19" t="n">
        <f aca="false">SUM(P49:R49)</f>
        <v>458056530.5</v>
      </c>
      <c r="G63" s="19" t="n">
        <f aca="false">SUM(S49:U49)</f>
        <v>488058403.5</v>
      </c>
      <c r="H63" s="19" t="n">
        <f aca="false">SUM(V49:X49)</f>
        <v>488058403.5</v>
      </c>
      <c r="I63" s="19" t="n">
        <f aca="false">SUM(Y49:AA49)</f>
        <v>488058403.5</v>
      </c>
    </row>
    <row r="64" customFormat="false" ht="15" hidden="false" customHeight="false" outlineLevel="0" collapsed="false">
      <c r="A64" s="11" t="s">
        <v>147</v>
      </c>
      <c r="B64" s="19" t="n">
        <f aca="false">SUM(D50:F50)</f>
        <v>0</v>
      </c>
      <c r="C64" s="19" t="n">
        <f aca="false">SUM(G50:I50)</f>
        <v>82186443</v>
      </c>
      <c r="D64" s="19" t="n">
        <f aca="false">SUM(J50:L50)</f>
        <v>82186443</v>
      </c>
      <c r="E64" s="19" t="n">
        <f aca="false">SUM(M50:O50)</f>
        <v>82186443</v>
      </c>
      <c r="F64" s="19" t="n">
        <f aca="false">SUM(P50:R50)</f>
        <v>130300278</v>
      </c>
      <c r="G64" s="19" t="n">
        <f aca="false">SUM(S50:U50)</f>
        <v>130300278</v>
      </c>
      <c r="H64" s="19" t="n">
        <f aca="false">SUM(V50:X50)</f>
        <v>130300278</v>
      </c>
      <c r="I64" s="19" t="n">
        <f aca="false">SUM(Y50:AA50)</f>
        <v>130300278</v>
      </c>
    </row>
    <row r="65" customFormat="false" ht="15" hidden="false" customHeight="false" outlineLevel="0" collapsed="false">
      <c r="A65" s="11" t="s">
        <v>153</v>
      </c>
      <c r="B65" s="19" t="n">
        <f aca="false">SUM(D51:F51)</f>
        <v>51066252</v>
      </c>
      <c r="C65" s="19" t="n">
        <f aca="false">SUM(G51:I51)</f>
        <v>102096993</v>
      </c>
      <c r="D65" s="19" t="n">
        <f aca="false">SUM(J51:L51)</f>
        <v>102096993</v>
      </c>
      <c r="E65" s="19" t="n">
        <f aca="false">SUM(M51:O51)</f>
        <v>102096993</v>
      </c>
      <c r="F65" s="19" t="n">
        <f aca="false">SUM(P51:R51)</f>
        <v>133969011.75</v>
      </c>
      <c r="G65" s="19" t="n">
        <f aca="false">SUM(S51:U51)</f>
        <v>155543916.75</v>
      </c>
      <c r="H65" s="19" t="n">
        <f aca="false">SUM(V51:X51)</f>
        <v>155543916.75</v>
      </c>
      <c r="I65" s="19" t="n">
        <f aca="false">SUM(Y51:AA51)</f>
        <v>155543916.75</v>
      </c>
    </row>
    <row r="66" customFormat="false" ht="15" hidden="false" customHeight="false" outlineLevel="0" collapsed="false">
      <c r="A66" s="11" t="s">
        <v>161</v>
      </c>
      <c r="B66" s="19" t="n">
        <f aca="false">SUM(D52:F52)</f>
        <v>0</v>
      </c>
      <c r="C66" s="19" t="n">
        <f aca="false">SUM(G52:I52)</f>
        <v>52388763</v>
      </c>
      <c r="D66" s="19" t="n">
        <f aca="false">SUM(J52:L52)</f>
        <v>52388763</v>
      </c>
      <c r="E66" s="19" t="n">
        <f aca="false">SUM(M52:O52)</f>
        <v>52388763</v>
      </c>
      <c r="F66" s="19" t="n">
        <f aca="false">SUM(P52:R52)</f>
        <v>52388763</v>
      </c>
      <c r="G66" s="19" t="n">
        <f aca="false">SUM(S52:U52)</f>
        <v>52388763</v>
      </c>
      <c r="H66" s="19" t="n">
        <f aca="false">SUM(V52:X52)</f>
        <v>52388763</v>
      </c>
      <c r="I66" s="19" t="n">
        <f aca="false">SUM(Y52:AA52)</f>
        <v>52388763</v>
      </c>
    </row>
    <row r="67" customFormat="false" ht="15" hidden="false" customHeight="false" outlineLevel="0" collapsed="false">
      <c r="A67" s="25" t="s">
        <v>171</v>
      </c>
      <c r="B67" s="50" t="n">
        <f aca="false">SUM(B61:B66)</f>
        <v>608254721</v>
      </c>
      <c r="C67" s="50" t="n">
        <f aca="false">SUM(C61:C66)</f>
        <v>1221437791</v>
      </c>
      <c r="D67" s="50" t="n">
        <f aca="false">SUM(D61:D66)</f>
        <v>1306666459.5</v>
      </c>
      <c r="E67" s="50" t="n">
        <f aca="false">SUM(E61:E66)</f>
        <v>1306666459.5</v>
      </c>
      <c r="F67" s="50" t="n">
        <f aca="false">SUM(F61:F66)</f>
        <v>1631482360.25</v>
      </c>
      <c r="G67" s="50" t="n">
        <f aca="false">SUM(G61:G66)</f>
        <v>1797068691.25</v>
      </c>
      <c r="H67" s="50" t="n">
        <f aca="false">SUM(H61:H66)</f>
        <v>1908816185.25</v>
      </c>
      <c r="I67" s="50" t="n">
        <f aca="false">SUM(I61:I66)</f>
        <v>1908816185.25</v>
      </c>
    </row>
    <row r="69" customFormat="false" ht="15" hidden="false" customHeight="false" outlineLevel="0" collapsed="false">
      <c r="A69" s="22" t="s">
        <v>330</v>
      </c>
    </row>
    <row r="70" customFormat="false" ht="15" hidden="false" customHeight="false" outlineLevel="0" collapsed="false">
      <c r="A70" s="22" t="s">
        <v>331</v>
      </c>
    </row>
  </sheetData>
  <mergeCells count="4">
    <mergeCell ref="A1:AA1"/>
    <mergeCell ref="A2:AA2"/>
    <mergeCell ref="A45:C45"/>
    <mergeCell ref="A59:F5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8"/>
    <col collapsed="false" customWidth="true" hidden="false" outlineLevel="0" max="3" min="3" style="0" width="48"/>
    <col collapsed="false" customWidth="true" hidden="false" outlineLevel="0" max="4" min="4" style="0" width="16"/>
    <col collapsed="false" customWidth="true" hidden="false" outlineLevel="0" max="8" min="5" style="0" width="12"/>
    <col collapsed="false" customWidth="true" hidden="false" outlineLevel="0" max="11" min="9" style="0" width="18"/>
    <col collapsed="false" customWidth="true" hidden="false" outlineLevel="0" max="12" min="12" style="0" width="14"/>
    <col collapsed="false" customWidth="true" hidden="false" outlineLevel="0" max="13" min="13" style="0" width="20"/>
    <col collapsed="false" customWidth="true" hidden="false" outlineLevel="0" max="14" min="14" style="0" width="60"/>
  </cols>
  <sheetData>
    <row r="1" customFormat="false" ht="25.5" hidden="false" customHeight="true" outlineLevel="0" collapsed="false">
      <c r="A1" s="1" t="s">
        <v>332</v>
      </c>
      <c r="B1" s="1"/>
      <c r="C1" s="1"/>
      <c r="D1" s="1"/>
      <c r="E1" s="1"/>
      <c r="F1" s="1"/>
      <c r="G1" s="1"/>
      <c r="H1" s="1"/>
      <c r="I1" s="1"/>
      <c r="J1" s="1"/>
      <c r="K1" s="1"/>
      <c r="L1" s="1"/>
      <c r="M1" s="1"/>
      <c r="N1" s="1"/>
    </row>
    <row r="2" customFormat="false" ht="15" hidden="false" customHeight="false" outlineLevel="0" collapsed="false">
      <c r="A2" s="2" t="s">
        <v>333</v>
      </c>
      <c r="B2" s="2"/>
      <c r="C2" s="2"/>
      <c r="D2" s="2"/>
      <c r="E2" s="2"/>
      <c r="F2" s="2"/>
      <c r="G2" s="2"/>
      <c r="H2" s="2"/>
      <c r="I2" s="2"/>
      <c r="J2" s="2"/>
      <c r="K2" s="2"/>
      <c r="L2" s="2"/>
      <c r="M2" s="2"/>
      <c r="N2" s="2"/>
    </row>
    <row r="4" customFormat="false" ht="15" hidden="false" customHeight="false" outlineLevel="0" collapsed="false">
      <c r="A4" s="4" t="s">
        <v>334</v>
      </c>
      <c r="B4" s="4"/>
      <c r="C4" s="4"/>
      <c r="D4" s="4"/>
      <c r="E4" s="4"/>
    </row>
    <row r="5" customFormat="false" ht="31.5" hidden="false" customHeight="true" outlineLevel="0" collapsed="false">
      <c r="A5" s="5" t="s">
        <v>72</v>
      </c>
      <c r="B5" s="5" t="s">
        <v>335</v>
      </c>
      <c r="C5" s="5" t="s">
        <v>336</v>
      </c>
      <c r="D5" s="5" t="s">
        <v>337</v>
      </c>
      <c r="E5" s="5" t="s">
        <v>185</v>
      </c>
      <c r="F5" s="5" t="s">
        <v>287</v>
      </c>
      <c r="G5" s="5" t="s">
        <v>288</v>
      </c>
      <c r="H5" s="5" t="s">
        <v>289</v>
      </c>
      <c r="I5" s="5" t="s">
        <v>290</v>
      </c>
      <c r="J5" s="5" t="s">
        <v>291</v>
      </c>
      <c r="K5" s="5" t="s">
        <v>292</v>
      </c>
      <c r="L5" s="5" t="s">
        <v>301</v>
      </c>
      <c r="M5" s="5" t="s">
        <v>338</v>
      </c>
      <c r="N5" s="5" t="s">
        <v>339</v>
      </c>
    </row>
    <row r="6" customFormat="false" ht="23.85" hidden="false" customHeight="false" outlineLevel="0" collapsed="false">
      <c r="A6" s="18" t="n">
        <v>1</v>
      </c>
      <c r="B6" s="11" t="s">
        <v>340</v>
      </c>
      <c r="C6" s="11" t="s">
        <v>341</v>
      </c>
      <c r="D6" s="52" t="n">
        <v>1200000</v>
      </c>
      <c r="E6" s="53" t="s">
        <v>342</v>
      </c>
      <c r="F6" s="18" t="n">
        <f aca="false">SUMIF('Biaya Bulanan'!$D$26:$D$63,"Pekanbaru",'Biaya Bulanan'!$V$26:$V$63)</f>
        <v>9</v>
      </c>
      <c r="G6" s="18" t="n">
        <f aca="false">SUMIF('Biaya Bulanan'!$D$26:$D$63,"Pekanbaru",'Biaya Bulanan'!$W$26:$W$63)</f>
        <v>21</v>
      </c>
      <c r="H6" s="18" t="n">
        <f aca="false">SUMIF('Biaya Bulanan'!$D$26:$D$63,"Pekanbaru",'Biaya Bulanan'!$X$26:$X$63)</f>
        <v>26</v>
      </c>
      <c r="I6" s="45" t="n">
        <f aca="false">$D6*$F6</f>
        <v>10800000</v>
      </c>
      <c r="J6" s="45" t="n">
        <f aca="false">$D6*$G6</f>
        <v>25200000</v>
      </c>
      <c r="K6" s="45" t="n">
        <f aca="false">$D6*$H6</f>
        <v>31200000</v>
      </c>
      <c r="L6" s="34" t="n">
        <f aca="false">SUMIF('Biaya Bulanan'!$D$26:$D$63,"Pekanbaru",'Biaya Bulanan'!$AK$26:$AK$63)</f>
        <v>513</v>
      </c>
      <c r="M6" s="19" t="n">
        <f aca="false">$D6*$L6</f>
        <v>615600000</v>
      </c>
      <c r="N6" s="24" t="s">
        <v>343</v>
      </c>
    </row>
    <row r="7" customFormat="false" ht="23.85" hidden="false" customHeight="false" outlineLevel="0" collapsed="false">
      <c r="A7" s="18" t="n">
        <v>2</v>
      </c>
      <c r="B7" s="11" t="s">
        <v>344</v>
      </c>
      <c r="C7" s="11" t="s">
        <v>341</v>
      </c>
      <c r="D7" s="52" t="n">
        <v>900000</v>
      </c>
      <c r="E7" s="53" t="s">
        <v>342</v>
      </c>
      <c r="F7" s="18" t="n">
        <f aca="false">SUMIF('Biaya Bulanan'!$D$26:$D$63,"Padang",'Biaya Bulanan'!$V$26:$V$63)</f>
        <v>0</v>
      </c>
      <c r="G7" s="18" t="n">
        <f aca="false">SUMIF('Biaya Bulanan'!$D$26:$D$63,"Padang",'Biaya Bulanan'!$W$26:$W$63)</f>
        <v>0</v>
      </c>
      <c r="H7" s="18" t="n">
        <f aca="false">SUMIF('Biaya Bulanan'!$D$26:$D$63,"Padang",'Biaya Bulanan'!$X$26:$X$63)</f>
        <v>8</v>
      </c>
      <c r="I7" s="45" t="n">
        <f aca="false">$D7*$F7</f>
        <v>0</v>
      </c>
      <c r="J7" s="45" t="n">
        <f aca="false">$D7*$G7</f>
        <v>0</v>
      </c>
      <c r="K7" s="45" t="n">
        <f aca="false">$D7*$H7</f>
        <v>7200000</v>
      </c>
      <c r="L7" s="34" t="n">
        <f aca="false">SUMIF('Biaya Bulanan'!$D$26:$D$63,"Padang",'Biaya Bulanan'!$AK$26:$AK$63)</f>
        <v>83</v>
      </c>
      <c r="M7" s="19" t="n">
        <f aca="false">$D7*$L7</f>
        <v>74700000</v>
      </c>
      <c r="N7" s="24" t="s">
        <v>345</v>
      </c>
    </row>
    <row r="8" customFormat="false" ht="23.85" hidden="false" customHeight="false" outlineLevel="0" collapsed="false">
      <c r="A8" s="18" t="n">
        <v>3</v>
      </c>
      <c r="B8" s="11" t="s">
        <v>346</v>
      </c>
      <c r="C8" s="11" t="s">
        <v>347</v>
      </c>
      <c r="D8" s="52" t="n">
        <v>450000</v>
      </c>
      <c r="E8" s="53" t="s">
        <v>342</v>
      </c>
      <c r="F8" s="18" t="n">
        <f aca="false">SUM('Biaya Bulanan'!$V$26:$V$63)</f>
        <v>9</v>
      </c>
      <c r="G8" s="18" t="n">
        <f aca="false">SUM('Biaya Bulanan'!$W$26:$W$63)</f>
        <v>24</v>
      </c>
      <c r="H8" s="18" t="n">
        <f aca="false">SUM('Biaya Bulanan'!$X$26:$X$63)</f>
        <v>42</v>
      </c>
      <c r="I8" s="45" t="n">
        <f aca="false">$D8*$F8</f>
        <v>4050000</v>
      </c>
      <c r="J8" s="45" t="n">
        <f aca="false">$D8*$G8</f>
        <v>10800000</v>
      </c>
      <c r="K8" s="45" t="n">
        <f aca="false">$D8*$H8</f>
        <v>18900000</v>
      </c>
      <c r="L8" s="34" t="n">
        <f aca="false">SUM('Biaya Bulanan'!$AK$26:$AK$63)</f>
        <v>705</v>
      </c>
      <c r="M8" s="19" t="n">
        <f aca="false">$D8*$L8</f>
        <v>317250000</v>
      </c>
      <c r="N8" s="24" t="s">
        <v>348</v>
      </c>
    </row>
    <row r="9" customFormat="false" ht="23.85" hidden="false" customHeight="false" outlineLevel="0" collapsed="false">
      <c r="A9" s="18" t="n">
        <v>4</v>
      </c>
      <c r="B9" s="11" t="s">
        <v>349</v>
      </c>
      <c r="C9" s="11" t="s">
        <v>350</v>
      </c>
      <c r="D9" s="52" t="n">
        <v>350000</v>
      </c>
      <c r="E9" s="53" t="s">
        <v>342</v>
      </c>
      <c r="F9" s="18" t="n">
        <f aca="false">SUM('Biaya Bulanan'!$V$26:$V$63)</f>
        <v>9</v>
      </c>
      <c r="G9" s="18" t="n">
        <f aca="false">SUM('Biaya Bulanan'!$W$26:$W$63)</f>
        <v>24</v>
      </c>
      <c r="H9" s="18" t="n">
        <f aca="false">SUM('Biaya Bulanan'!$X$26:$X$63)</f>
        <v>42</v>
      </c>
      <c r="I9" s="45" t="n">
        <f aca="false">$D9*$F9</f>
        <v>3150000</v>
      </c>
      <c r="J9" s="45" t="n">
        <f aca="false">$D9*$G9</f>
        <v>8400000</v>
      </c>
      <c r="K9" s="45" t="n">
        <f aca="false">$D9*$H9</f>
        <v>14700000</v>
      </c>
      <c r="L9" s="34" t="n">
        <f aca="false">SUM('Biaya Bulanan'!$AK$26:$AK$63)</f>
        <v>705</v>
      </c>
      <c r="M9" s="19" t="n">
        <f aca="false">$D9*$L9</f>
        <v>246750000</v>
      </c>
      <c r="N9" s="24" t="s">
        <v>351</v>
      </c>
    </row>
    <row r="10" customFormat="false" ht="23.85" hidden="false" customHeight="false" outlineLevel="0" collapsed="false">
      <c r="A10" s="18" t="n">
        <v>5</v>
      </c>
      <c r="B10" s="11" t="s">
        <v>352</v>
      </c>
      <c r="C10" s="11" t="s">
        <v>353</v>
      </c>
      <c r="D10" s="52" t="n">
        <v>150000</v>
      </c>
      <c r="E10" s="53" t="s">
        <v>342</v>
      </c>
      <c r="F10" s="18" t="n">
        <f aca="false">SUM('Biaya Bulanan'!$V$26:$V$63)</f>
        <v>9</v>
      </c>
      <c r="G10" s="18" t="n">
        <f aca="false">SUM('Biaya Bulanan'!$W$26:$W$63)</f>
        <v>24</v>
      </c>
      <c r="H10" s="18" t="n">
        <f aca="false">SUM('Biaya Bulanan'!$X$26:$X$63)</f>
        <v>42</v>
      </c>
      <c r="I10" s="45" t="n">
        <f aca="false">$D10*$F10</f>
        <v>1350000</v>
      </c>
      <c r="J10" s="45" t="n">
        <f aca="false">$D10*$G10</f>
        <v>3600000</v>
      </c>
      <c r="K10" s="45" t="n">
        <f aca="false">$D10*$H10</f>
        <v>6300000</v>
      </c>
      <c r="L10" s="34" t="n">
        <f aca="false">SUM('Biaya Bulanan'!$AK$26:$AK$63)</f>
        <v>705</v>
      </c>
      <c r="M10" s="19" t="n">
        <f aca="false">$D10*$L10</f>
        <v>105750000</v>
      </c>
      <c r="N10" s="24" t="s">
        <v>354</v>
      </c>
    </row>
    <row r="11" customFormat="false" ht="15" hidden="false" customHeight="false" outlineLevel="0" collapsed="false">
      <c r="A11" s="25"/>
      <c r="B11" s="25" t="s">
        <v>355</v>
      </c>
      <c r="C11" s="25"/>
      <c r="D11" s="25"/>
      <c r="E11" s="25"/>
      <c r="F11" s="25"/>
      <c r="G11" s="25"/>
      <c r="H11" s="25"/>
      <c r="I11" s="50" t="n">
        <f aca="false">SUM(I6:I10)</f>
        <v>19350000</v>
      </c>
      <c r="J11" s="50" t="n">
        <f aca="false">SUM(J6:J10)</f>
        <v>48000000</v>
      </c>
      <c r="K11" s="50" t="n">
        <f aca="false">SUM(K6:K10)</f>
        <v>78300000</v>
      </c>
      <c r="L11" s="25"/>
      <c r="M11" s="50" t="n">
        <f aca="false">SUM(M6:M10)</f>
        <v>1360050000</v>
      </c>
      <c r="N11" s="25"/>
    </row>
    <row r="13" customFormat="false" ht="15" hidden="false" customHeight="false" outlineLevel="0" collapsed="false">
      <c r="A13" s="4" t="s">
        <v>356</v>
      </c>
      <c r="B13" s="4"/>
      <c r="C13" s="4"/>
      <c r="D13" s="4"/>
      <c r="E13" s="4"/>
    </row>
    <row r="14" customFormat="false" ht="31.5" hidden="false" customHeight="true" outlineLevel="0" collapsed="false">
      <c r="A14" s="5" t="s">
        <v>72</v>
      </c>
      <c r="B14" s="5" t="s">
        <v>335</v>
      </c>
      <c r="C14" s="5" t="s">
        <v>336</v>
      </c>
      <c r="D14" s="5" t="s">
        <v>337</v>
      </c>
      <c r="E14" s="5" t="s">
        <v>185</v>
      </c>
      <c r="F14" s="5" t="s">
        <v>357</v>
      </c>
      <c r="G14" s="5" t="s">
        <v>358</v>
      </c>
      <c r="H14" s="5" t="s">
        <v>359</v>
      </c>
      <c r="I14" s="5" t="s">
        <v>360</v>
      </c>
      <c r="J14" s="5" t="s">
        <v>361</v>
      </c>
      <c r="K14" s="5" t="s">
        <v>362</v>
      </c>
      <c r="L14" s="5" t="s">
        <v>363</v>
      </c>
      <c r="M14" s="5" t="s">
        <v>338</v>
      </c>
      <c r="N14" s="5" t="s">
        <v>339</v>
      </c>
    </row>
    <row r="15" customFormat="false" ht="15" hidden="false" customHeight="false" outlineLevel="0" collapsed="false">
      <c r="A15" s="18" t="n">
        <v>1</v>
      </c>
      <c r="B15" s="11" t="s">
        <v>364</v>
      </c>
      <c r="C15" s="11" t="s">
        <v>365</v>
      </c>
      <c r="D15" s="52" t="n">
        <v>2500000</v>
      </c>
      <c r="E15" s="53" t="s">
        <v>342</v>
      </c>
      <c r="F15" s="23" t="n">
        <f aca="false">Headcount!$H$43</f>
        <v>9</v>
      </c>
      <c r="G15" s="23" t="n">
        <f aca="false">Headcount!$I$43-Headcount!$H$43</f>
        <v>15</v>
      </c>
      <c r="H15" s="23" t="n">
        <f aca="false">Headcount!$J$43-Headcount!$I$43</f>
        <v>18</v>
      </c>
      <c r="I15" s="19" t="n">
        <f aca="false">$D15*$F15</f>
        <v>22500000</v>
      </c>
      <c r="J15" s="19" t="n">
        <f aca="false">$D15*$G15</f>
        <v>37500000</v>
      </c>
      <c r="K15" s="19" t="n">
        <f aca="false">$D15*$H15</f>
        <v>45000000</v>
      </c>
      <c r="L15" s="18" t="n">
        <f aca="false">SUM($F15:$H15)</f>
        <v>42</v>
      </c>
      <c r="M15" s="19" t="n">
        <f aca="false">SUM($I15:$K15)</f>
        <v>105000000</v>
      </c>
      <c r="N15" s="24" t="s">
        <v>366</v>
      </c>
    </row>
    <row r="16" customFormat="false" ht="15" hidden="false" customHeight="false" outlineLevel="0" collapsed="false">
      <c r="A16" s="18" t="n">
        <v>2</v>
      </c>
      <c r="B16" s="11" t="s">
        <v>367</v>
      </c>
      <c r="C16" s="11" t="s">
        <v>368</v>
      </c>
      <c r="D16" s="52" t="n">
        <v>11000000</v>
      </c>
      <c r="E16" s="53" t="s">
        <v>342</v>
      </c>
      <c r="F16" s="23" t="n">
        <f aca="false">Headcount!$H$43</f>
        <v>9</v>
      </c>
      <c r="G16" s="23" t="n">
        <f aca="false">Headcount!$I$43-Headcount!$H$43</f>
        <v>15</v>
      </c>
      <c r="H16" s="23" t="n">
        <f aca="false">Headcount!$J$43-Headcount!$I$43</f>
        <v>18</v>
      </c>
      <c r="I16" s="19" t="n">
        <f aca="false">$D16*$F16</f>
        <v>99000000</v>
      </c>
      <c r="J16" s="19" t="n">
        <f aca="false">$D16*$G16</f>
        <v>165000000</v>
      </c>
      <c r="K16" s="19" t="n">
        <f aca="false">$D16*$H16</f>
        <v>198000000</v>
      </c>
      <c r="L16" s="18" t="n">
        <f aca="false">SUM($F16:$H16)</f>
        <v>42</v>
      </c>
      <c r="M16" s="19" t="n">
        <f aca="false">SUM($I16:$K16)</f>
        <v>462000000</v>
      </c>
      <c r="N16" s="24" t="s">
        <v>369</v>
      </c>
    </row>
    <row r="17" customFormat="false" ht="15" hidden="false" customHeight="false" outlineLevel="0" collapsed="false">
      <c r="A17" s="25"/>
      <c r="B17" s="25" t="s">
        <v>370</v>
      </c>
      <c r="C17" s="25"/>
      <c r="D17" s="25"/>
      <c r="E17" s="25"/>
      <c r="F17" s="25"/>
      <c r="G17" s="25"/>
      <c r="H17" s="25"/>
      <c r="I17" s="50" t="n">
        <f aca="false">SUM(I15:I16)</f>
        <v>121500000</v>
      </c>
      <c r="J17" s="50" t="n">
        <f aca="false">SUM(J15:J16)</f>
        <v>202500000</v>
      </c>
      <c r="K17" s="50" t="n">
        <f aca="false">SUM(K15:K16)</f>
        <v>243000000</v>
      </c>
      <c r="L17" s="25"/>
      <c r="M17" s="50" t="n">
        <f aca="false">SUM(M15:M16)</f>
        <v>567000000</v>
      </c>
      <c r="N17" s="25"/>
    </row>
    <row r="19" customFormat="false" ht="15" hidden="false" customHeight="false" outlineLevel="0" collapsed="false">
      <c r="B19" s="27" t="s">
        <v>371</v>
      </c>
      <c r="M19" s="50" t="n">
        <f aca="false">M11+M17</f>
        <v>1927050000</v>
      </c>
    </row>
    <row r="20" customFormat="false" ht="15" hidden="false" customHeight="false" outlineLevel="0" collapsed="false">
      <c r="B20" s="27" t="s">
        <v>372</v>
      </c>
      <c r="M20" s="44" t="n">
        <f aca="false">K11</f>
        <v>78300000</v>
      </c>
    </row>
    <row r="22" customFormat="false" ht="15" hidden="false" customHeight="false" outlineLevel="0" collapsed="false">
      <c r="A22" s="22" t="s">
        <v>373</v>
      </c>
    </row>
    <row r="23" customFormat="false" ht="15" hidden="false" customHeight="false" outlineLevel="0" collapsed="false">
      <c r="A23" s="22" t="s">
        <v>374</v>
      </c>
    </row>
  </sheetData>
  <mergeCells count="4">
    <mergeCell ref="A1:N1"/>
    <mergeCell ref="A2:N2"/>
    <mergeCell ref="A4:E4"/>
    <mergeCell ref="A13:E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7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6"/>
    <col collapsed="false" customWidth="true" hidden="false" outlineLevel="0" max="2" min="2" style="0" width="42"/>
    <col collapsed="false" customWidth="true" hidden="false" outlineLevel="0" max="3" min="3" style="0" width="16"/>
    <col collapsed="false" customWidth="true" hidden="false" outlineLevel="0" max="5" min="4" style="0" width="13"/>
    <col collapsed="false" customWidth="true" hidden="false" outlineLevel="0" max="8" min="6" style="0" width="9"/>
    <col collapsed="false" customWidth="true" hidden="false" outlineLevel="0" max="9" min="9" style="0" width="11"/>
    <col collapsed="false" customWidth="true" hidden="false" outlineLevel="0" max="28" min="10" style="0" width="16"/>
  </cols>
  <sheetData>
    <row r="1" customFormat="false" ht="25.5" hidden="false" customHeight="true" outlineLevel="0" collapsed="false">
      <c r="A1" s="1" t="s">
        <v>375</v>
      </c>
      <c r="B1" s="1"/>
      <c r="C1" s="1"/>
      <c r="D1" s="1"/>
      <c r="E1" s="1"/>
      <c r="F1" s="1"/>
      <c r="G1" s="1"/>
      <c r="H1" s="1"/>
      <c r="I1" s="1"/>
      <c r="J1" s="1"/>
      <c r="K1" s="1"/>
      <c r="L1" s="1"/>
    </row>
    <row r="2" customFormat="false" ht="15" hidden="false" customHeight="false" outlineLevel="0" collapsed="false">
      <c r="A2" s="2" t="s">
        <v>376</v>
      </c>
      <c r="B2" s="2"/>
      <c r="C2" s="2"/>
      <c r="D2" s="2"/>
      <c r="E2" s="2"/>
      <c r="F2" s="2"/>
      <c r="G2" s="2"/>
      <c r="H2" s="2"/>
      <c r="I2" s="2"/>
      <c r="J2" s="2"/>
      <c r="K2" s="2"/>
      <c r="L2" s="2"/>
    </row>
    <row r="4" customFormat="false" ht="15" hidden="false" customHeight="false" outlineLevel="0" collapsed="false">
      <c r="A4" s="4" t="s">
        <v>377</v>
      </c>
      <c r="B4" s="4"/>
      <c r="C4" s="4"/>
      <c r="D4" s="4"/>
      <c r="E4" s="4"/>
      <c r="F4" s="4"/>
      <c r="G4" s="4"/>
      <c r="H4" s="4"/>
    </row>
    <row r="5" customFormat="false" ht="31.5" hidden="false" customHeight="true" outlineLevel="0" collapsed="false">
      <c r="A5" s="5" t="s">
        <v>72</v>
      </c>
      <c r="B5" s="5" t="s">
        <v>74</v>
      </c>
      <c r="C5" s="5" t="s">
        <v>378</v>
      </c>
      <c r="D5" s="5" t="s">
        <v>76</v>
      </c>
      <c r="E5" s="5" t="s">
        <v>379</v>
      </c>
      <c r="F5" s="5" t="s">
        <v>380</v>
      </c>
      <c r="G5" s="5" t="s">
        <v>381</v>
      </c>
      <c r="H5" s="5" t="s">
        <v>382</v>
      </c>
      <c r="I5" s="5" t="s">
        <v>78</v>
      </c>
      <c r="J5" s="5" t="s">
        <v>383</v>
      </c>
      <c r="K5" s="5" t="s">
        <v>384</v>
      </c>
      <c r="L5" s="5" t="s">
        <v>385</v>
      </c>
      <c r="M5" s="5" t="s">
        <v>386</v>
      </c>
      <c r="N5" s="5" t="s">
        <v>387</v>
      </c>
      <c r="O5" s="5" t="s">
        <v>388</v>
      </c>
      <c r="P5" s="5" t="s">
        <v>389</v>
      </c>
      <c r="Q5" s="5" t="s">
        <v>390</v>
      </c>
      <c r="R5" s="5" t="s">
        <v>391</v>
      </c>
      <c r="S5" s="5" t="s">
        <v>392</v>
      </c>
      <c r="T5" s="5" t="s">
        <v>393</v>
      </c>
      <c r="U5" s="5" t="s">
        <v>394</v>
      </c>
      <c r="V5" s="5" t="s">
        <v>395</v>
      </c>
      <c r="W5" s="5" t="s">
        <v>396</v>
      </c>
      <c r="X5" s="5" t="s">
        <v>397</v>
      </c>
      <c r="Y5" s="5" t="s">
        <v>398</v>
      </c>
      <c r="Z5" s="5" t="s">
        <v>399</v>
      </c>
      <c r="AA5" s="5" t="s">
        <v>400</v>
      </c>
      <c r="AB5" s="5" t="s">
        <v>401</v>
      </c>
    </row>
    <row r="6" customFormat="false" ht="15" hidden="false" customHeight="false" outlineLevel="0" collapsed="false">
      <c r="A6" s="18" t="n">
        <v>1</v>
      </c>
      <c r="B6" s="43" t="str">
        <f aca="false">'Biaya Bulanan'!$C$26</f>
        <v>Direktur Utama (CEO)</v>
      </c>
      <c r="C6" s="54" t="n">
        <f aca="false">'Biaya Bulanan'!$K$26</f>
        <v>35000000</v>
      </c>
      <c r="D6" s="23" t="str">
        <f aca="false">'Biaya Bulanan'!$E$26</f>
        <v>Pekanbaru</v>
      </c>
      <c r="E6" s="23" t="str">
        <f aca="false">'Biaya Bulanan'!$H$26</f>
        <v>Kantor</v>
      </c>
      <c r="F6" s="23" t="n">
        <f aca="false">'Biaya Bulanan'!$V$26</f>
        <v>1</v>
      </c>
      <c r="G6" s="23" t="n">
        <f aca="false">'Biaya Bulanan'!$W$26</f>
        <v>1</v>
      </c>
      <c r="H6" s="23" t="n">
        <f aca="false">'Biaya Bulanan'!$X$26</f>
        <v>1</v>
      </c>
      <c r="I6" s="23" t="n">
        <f aca="false">'Biaya Bulanan'!$I$26</f>
        <v>1</v>
      </c>
      <c r="J6" s="46" t="n">
        <f aca="false">(($C6*(1+-0.2))*(1+Tunjangan_Pct))*(1+IF($E6="Lapangan",Tarif_JKK_Lapangan,Tarif_JKK_Kantor)+Tarif_JKM+Tarif_JHT+Tarif_THR)+MIN((($C6*(1+-0.2))*(1+Tunjangan_Pct)),Plafon_JP)*Tarif_JP+MIN(MAX((($C6*(1+-0.2))*(1+Tunjangan_Pct)),IF($D6="Padang",UMP_Padang,UMK_Pekanbaru)),Plafon_JKN)*Tarif_JKN</f>
        <v>35465686</v>
      </c>
      <c r="K6" s="46" t="n">
        <f aca="false">(($C6*(1+-0.1))*(1+Tunjangan_Pct))*(1+IF($E6="Lapangan",Tarif_JKK_Lapangan,Tarif_JKK_Kantor)+Tarif_JKM+Tarif_JHT+Tarif_THR)+MIN((($C6*(1+-0.1))*(1+Tunjangan_Pct)),Plafon_JP)*Tarif_JP+MIN(MAX((($C6*(1+-0.1))*(1+Tunjangan_Pct)),IF($D6="Padang",UMP_Padang,UMK_Pekanbaru)),Plafon_JKN)*Tarif_JKN</f>
        <v>39811181</v>
      </c>
      <c r="L6" s="46" t="n">
        <f aca="false">(($C6*(1+0))*(1+Tunjangan_Pct))*(1+IF($E6="Lapangan",Tarif_JKK_Lapangan,Tarif_JKK_Kantor)+Tarif_JKM+Tarif_JHT+Tarif_THR)+MIN((($C6*(1+0))*(1+Tunjangan_Pct)),Plafon_JP)*Tarif_JP+MIN(MAX((($C6*(1+0))*(1+Tunjangan_Pct)),IF($D6="Padang",UMP_Padang,UMK_Pekanbaru)),Plafon_JKN)*Tarif_JKN</f>
        <v>44156676</v>
      </c>
      <c r="M6" s="46" t="n">
        <f aca="false">(($C6*(1+0.1))*(1+Tunjangan_Pct))*(1+IF($E6="Lapangan",Tarif_JKK_Lapangan,Tarif_JKK_Kantor)+Tarif_JKM+Tarif_JHT+Tarif_THR)+MIN((($C6*(1+0.1))*(1+Tunjangan_Pct)),Plafon_JP)*Tarif_JP+MIN(MAX((($C6*(1+0.1))*(1+Tunjangan_Pct)),IF($D6="Padang",UMP_Padang,UMK_Pekanbaru)),Plafon_JKN)*Tarif_JKN</f>
        <v>48502171</v>
      </c>
      <c r="N6" s="46" t="n">
        <f aca="false">(($C6*(1+0.2))*(1+Tunjangan_Pct))*(1+IF($E6="Lapangan",Tarif_JKK_Lapangan,Tarif_JKK_Kantor)+Tarif_JKM+Tarif_JHT+Tarif_THR)+MIN((($C6*(1+0.2))*(1+Tunjangan_Pct)),Plafon_JP)*Tarif_JP+MIN(MAX((($C6*(1+0.2))*(1+Tunjangan_Pct)),IF($D6="Padang",UMP_Padang,UMK_Pekanbaru)),Plafon_JKN)*Tarif_JKN</f>
        <v>52847666</v>
      </c>
      <c r="O6" s="47" t="n">
        <f aca="false">$F6*MAX(0,MIN(3,4-MAX(1,$I6+-3)))+$G6*MAX(0,MIN(9,13-MAX(MAX(1,$I6+-3),4)))</f>
        <v>12</v>
      </c>
      <c r="P6" s="47" t="n">
        <f aca="false">$F6*MAX(0,MIN(3,4-MAX(1,$I6+-2)))+$G6*MAX(0,MIN(9,13-MAX(MAX(1,$I6+-2),4)))</f>
        <v>12</v>
      </c>
      <c r="Q6" s="47" t="n">
        <f aca="false">$F6*MAX(0,MIN(3,4-MAX(1,$I6+-1)))+$G6*MAX(0,MIN(9,13-MAX(MAX(1,$I6+-1),4)))</f>
        <v>12</v>
      </c>
      <c r="R6" s="47" t="n">
        <f aca="false">$F6*MAX(0,MIN(3,4-MAX(1,$I6+0)))+$G6*MAX(0,MIN(9,13-MAX(MAX(1,$I6+0),4)))</f>
        <v>12</v>
      </c>
      <c r="S6" s="47" t="n">
        <f aca="false">$F6*MAX(0,MIN(3,4-MAX(1,$I6+1)))+$G6*MAX(0,MIN(9,13-MAX(MAX(1,$I6+1),4)))</f>
        <v>11</v>
      </c>
      <c r="T6" s="47" t="n">
        <f aca="false">$F6*MAX(0,MIN(3,4-MAX(1,$I6+2)))+$G6*MAX(0,MIN(9,13-MAX(MAX(1,$I6+2),4)))</f>
        <v>10</v>
      </c>
      <c r="U6" s="47" t="n">
        <f aca="false">$F6*MAX(0,MIN(3,4-MAX(1,$I6+3)))+$G6*MAX(0,MIN(9,13-MAX(MAX(1,$I6+3),4)))</f>
        <v>9</v>
      </c>
      <c r="V6" s="47" t="n">
        <f aca="false">O6+$H6*MAX(0,MIN(12,25-MAX(MAX(1,$I6+-3),13)))</f>
        <v>24</v>
      </c>
      <c r="W6" s="47" t="n">
        <f aca="false">P6+$H6*MAX(0,MIN(12,25-MAX(MAX(1,$I6+-2),13)))</f>
        <v>24</v>
      </c>
      <c r="X6" s="47" t="n">
        <f aca="false">Q6+$H6*MAX(0,MIN(12,25-MAX(MAX(1,$I6+-1),13)))</f>
        <v>24</v>
      </c>
      <c r="Y6" s="47" t="n">
        <f aca="false">R6+$H6*MAX(0,MIN(12,25-MAX(MAX(1,$I6+0),13)))</f>
        <v>24</v>
      </c>
      <c r="Z6" s="47" t="n">
        <f aca="false">S6+$H6*MAX(0,MIN(12,25-MAX(MAX(1,$I6+1),13)))</f>
        <v>23</v>
      </c>
      <c r="AA6" s="47" t="n">
        <f aca="false">T6+$H6*MAX(0,MIN(12,25-MAX(MAX(1,$I6+2),13)))</f>
        <v>22</v>
      </c>
      <c r="AB6" s="47" t="n">
        <f aca="false">U6+$H6*MAX(0,MIN(12,25-MAX(MAX(1,$I6+3),13)))</f>
        <v>21</v>
      </c>
    </row>
    <row r="7" customFormat="false" ht="15" hidden="false" customHeight="false" outlineLevel="0" collapsed="false">
      <c r="A7" s="18" t="n">
        <v>2</v>
      </c>
      <c r="B7" s="43" t="str">
        <f aca="false">'Biaya Bulanan'!$C$27</f>
        <v>HR &amp; GA Generalist</v>
      </c>
      <c r="C7" s="54" t="n">
        <f aca="false">'Biaya Bulanan'!$K$27</f>
        <v>8500000</v>
      </c>
      <c r="D7" s="23" t="str">
        <f aca="false">'Biaya Bulanan'!$E$27</f>
        <v>Pekanbaru</v>
      </c>
      <c r="E7" s="23" t="str">
        <f aca="false">'Biaya Bulanan'!$H$27</f>
        <v>Kantor</v>
      </c>
      <c r="F7" s="23" t="n">
        <f aca="false">'Biaya Bulanan'!$V$27</f>
        <v>1</v>
      </c>
      <c r="G7" s="23" t="n">
        <f aca="false">'Biaya Bulanan'!$W$27</f>
        <v>1</v>
      </c>
      <c r="H7" s="23" t="n">
        <f aca="false">'Biaya Bulanan'!$X$27</f>
        <v>1</v>
      </c>
      <c r="I7" s="23" t="n">
        <f aca="false">'Biaya Bulanan'!$I$27</f>
        <v>3</v>
      </c>
      <c r="J7" s="46" t="n">
        <f aca="false">(($C7*(1+-0.2))*(1+Tunjangan_Pct))*(1+IF($E7="Lapangan",Tarif_JKK_Lapangan,Tarif_JKK_Kantor)+Tarif_JKM+Tarif_JHT+Tarif_THR)+MIN((($C7*(1+-0.2))*(1+Tunjangan_Pct)),Plafon_JP)*Tarif_JP+MIN(MAX((($C7*(1+-0.2))*(1+Tunjangan_Pct)),IF($D7="Padang",UMP_Padang,UMK_Pekanbaru)),Plafon_JKN)*Tarif_JKN</f>
        <v>8891476</v>
      </c>
      <c r="K7" s="46" t="n">
        <f aca="false">(($C7*(1+-0.1))*(1+Tunjangan_Pct))*(1+IF($E7="Lapangan",Tarif_JKK_Lapangan,Tarif_JKK_Kantor)+Tarif_JKM+Tarif_JHT+Tarif_THR)+MIN((($C7*(1+-0.1))*(1+Tunjangan_Pct)),Plafon_JP)*Tarif_JP+MIN(MAX((($C7*(1+-0.1))*(1+Tunjangan_Pct)),IF($D7="Padang",UMP_Padang,UMK_Pekanbaru)),Plafon_JKN)*Tarif_JKN</f>
        <v>10002910.5</v>
      </c>
      <c r="L7" s="46" t="n">
        <f aca="false">(($C7*(1+0))*(1+Tunjangan_Pct))*(1+IF($E7="Lapangan",Tarif_JKK_Lapangan,Tarif_JKK_Kantor)+Tarif_JKM+Tarif_JHT+Tarif_THR)+MIN((($C7*(1+0))*(1+Tunjangan_Pct)),Plafon_JP)*Tarif_JP+MIN(MAX((($C7*(1+0))*(1+Tunjangan_Pct)),IF($D7="Padang",UMP_Padang,UMK_Pekanbaru)),Plafon_JKN)*Tarif_JKN</f>
        <v>11114345</v>
      </c>
      <c r="M7" s="46" t="n">
        <f aca="false">(($C7*(1+0.1))*(1+Tunjangan_Pct))*(1+IF($E7="Lapangan",Tarif_JKK_Lapangan,Tarif_JKK_Kantor)+Tarif_JKM+Tarif_JHT+Tarif_THR)+MIN((($C7*(1+0.1))*(1+Tunjangan_Pct)),Plafon_JP)*Tarif_JP+MIN(MAX((($C7*(1+0.1))*(1+Tunjangan_Pct)),IF($D7="Padang",UMP_Padang,UMK_Pekanbaru)),Plafon_JKN)*Tarif_JKN</f>
        <v>12225779.5</v>
      </c>
      <c r="N7" s="46" t="n">
        <f aca="false">(($C7*(1+0.2))*(1+Tunjangan_Pct))*(1+IF($E7="Lapangan",Tarif_JKK_Lapangan,Tarif_JKK_Kantor)+Tarif_JKM+Tarif_JHT+Tarif_THR)+MIN((($C7*(1+0.2))*(1+Tunjangan_Pct)),Plafon_JP)*Tarif_JP+MIN(MAX((($C7*(1+0.2))*(1+Tunjangan_Pct)),IF($D7="Padang",UMP_Padang,UMK_Pekanbaru)),Plafon_JKN)*Tarif_JKN</f>
        <v>13334540</v>
      </c>
      <c r="O7" s="47" t="n">
        <f aca="false">$F7*MAX(0,MIN(3,4-MAX(1,$I7+-3)))+$G7*MAX(0,MIN(9,13-MAX(MAX(1,$I7+-3),4)))</f>
        <v>12</v>
      </c>
      <c r="P7" s="47" t="n">
        <f aca="false">$F7*MAX(0,MIN(3,4-MAX(1,$I7+-2)))+$G7*MAX(0,MIN(9,13-MAX(MAX(1,$I7+-2),4)))</f>
        <v>12</v>
      </c>
      <c r="Q7" s="47" t="n">
        <f aca="false">$F7*MAX(0,MIN(3,4-MAX(1,$I7+-1)))+$G7*MAX(0,MIN(9,13-MAX(MAX(1,$I7+-1),4)))</f>
        <v>11</v>
      </c>
      <c r="R7" s="47" t="n">
        <f aca="false">$F7*MAX(0,MIN(3,4-MAX(1,$I7+0)))+$G7*MAX(0,MIN(9,13-MAX(MAX(1,$I7+0),4)))</f>
        <v>10</v>
      </c>
      <c r="S7" s="47" t="n">
        <f aca="false">$F7*MAX(0,MIN(3,4-MAX(1,$I7+1)))+$G7*MAX(0,MIN(9,13-MAX(MAX(1,$I7+1),4)))</f>
        <v>9</v>
      </c>
      <c r="T7" s="47" t="n">
        <f aca="false">$F7*MAX(0,MIN(3,4-MAX(1,$I7+2)))+$G7*MAX(0,MIN(9,13-MAX(MAX(1,$I7+2),4)))</f>
        <v>8</v>
      </c>
      <c r="U7" s="47" t="n">
        <f aca="false">$F7*MAX(0,MIN(3,4-MAX(1,$I7+3)))+$G7*MAX(0,MIN(9,13-MAX(MAX(1,$I7+3),4)))</f>
        <v>7</v>
      </c>
      <c r="V7" s="47" t="n">
        <f aca="false">O7+$H7*MAX(0,MIN(12,25-MAX(MAX(1,$I7+-3),13)))</f>
        <v>24</v>
      </c>
      <c r="W7" s="47" t="n">
        <f aca="false">P7+$H7*MAX(0,MIN(12,25-MAX(MAX(1,$I7+-2),13)))</f>
        <v>24</v>
      </c>
      <c r="X7" s="47" t="n">
        <f aca="false">Q7+$H7*MAX(0,MIN(12,25-MAX(MAX(1,$I7+-1),13)))</f>
        <v>23</v>
      </c>
      <c r="Y7" s="47" t="n">
        <f aca="false">R7+$H7*MAX(0,MIN(12,25-MAX(MAX(1,$I7+0),13)))</f>
        <v>22</v>
      </c>
      <c r="Z7" s="47" t="n">
        <f aca="false">S7+$H7*MAX(0,MIN(12,25-MAX(MAX(1,$I7+1),13)))</f>
        <v>21</v>
      </c>
      <c r="AA7" s="47" t="n">
        <f aca="false">T7+$H7*MAX(0,MIN(12,25-MAX(MAX(1,$I7+2),13)))</f>
        <v>20</v>
      </c>
      <c r="AB7" s="47" t="n">
        <f aca="false">U7+$H7*MAX(0,MIN(12,25-MAX(MAX(1,$I7+3),13)))</f>
        <v>19</v>
      </c>
    </row>
    <row r="8" customFormat="false" ht="15" hidden="false" customHeight="false" outlineLevel="0" collapsed="false">
      <c r="A8" s="18" t="n">
        <v>3</v>
      </c>
      <c r="B8" s="43" t="str">
        <f aca="false">'Biaya Bulanan'!$C$28</f>
        <v>Direktur Teknologi (CTO)</v>
      </c>
      <c r="C8" s="54" t="n">
        <f aca="false">'Biaya Bulanan'!$K$28</f>
        <v>30000000</v>
      </c>
      <c r="D8" s="23" t="str">
        <f aca="false">'Biaya Bulanan'!$E$28</f>
        <v>Pekanbaru</v>
      </c>
      <c r="E8" s="23" t="str">
        <f aca="false">'Biaya Bulanan'!$H$28</f>
        <v>Kantor</v>
      </c>
      <c r="F8" s="23" t="n">
        <f aca="false">'Biaya Bulanan'!$V$28</f>
        <v>1</v>
      </c>
      <c r="G8" s="23" t="n">
        <f aca="false">'Biaya Bulanan'!$W$28</f>
        <v>1</v>
      </c>
      <c r="H8" s="23" t="n">
        <f aca="false">'Biaya Bulanan'!$X$28</f>
        <v>1</v>
      </c>
      <c r="I8" s="23" t="n">
        <f aca="false">'Biaya Bulanan'!$I$28</f>
        <v>1</v>
      </c>
      <c r="J8" s="46" t="n">
        <f aca="false">(($C8*(1+-0.2))*(1+Tunjangan_Pct))*(1+IF($E8="Lapangan",Tarif_JKK_Lapangan,Tarif_JKK_Kantor)+Tarif_JKM+Tarif_JHT+Tarif_THR)+MIN((($C8*(1+-0.2))*(1+Tunjangan_Pct)),Plafon_JP)*Tarif_JP+MIN(MAX((($C8*(1+-0.2))*(1+Tunjangan_Pct)),IF($D8="Padang",UMP_Padang,UMK_Pekanbaru)),Plafon_JKN)*Tarif_JKN</f>
        <v>30499406</v>
      </c>
      <c r="K8" s="46" t="n">
        <f aca="false">(($C8*(1+-0.1))*(1+Tunjangan_Pct))*(1+IF($E8="Lapangan",Tarif_JKK_Lapangan,Tarif_JKK_Kantor)+Tarif_JKM+Tarif_JHT+Tarif_THR)+MIN((($C8*(1+-0.1))*(1+Tunjangan_Pct)),Plafon_JP)*Tarif_JP+MIN(MAX((($C8*(1+-0.1))*(1+Tunjangan_Pct)),IF($D8="Padang",UMP_Padang,UMK_Pekanbaru)),Plafon_JKN)*Tarif_JKN</f>
        <v>34224116</v>
      </c>
      <c r="L8" s="46" t="n">
        <f aca="false">(($C8*(1+0))*(1+Tunjangan_Pct))*(1+IF($E8="Lapangan",Tarif_JKK_Lapangan,Tarif_JKK_Kantor)+Tarif_JKM+Tarif_JHT+Tarif_THR)+MIN((($C8*(1+0))*(1+Tunjangan_Pct)),Plafon_JP)*Tarif_JP+MIN(MAX((($C8*(1+0))*(1+Tunjangan_Pct)),IF($D8="Padang",UMP_Padang,UMK_Pekanbaru)),Plafon_JKN)*Tarif_JKN</f>
        <v>37948826</v>
      </c>
      <c r="M8" s="46" t="n">
        <f aca="false">(($C8*(1+0.1))*(1+Tunjangan_Pct))*(1+IF($E8="Lapangan",Tarif_JKK_Lapangan,Tarif_JKK_Kantor)+Tarif_JKM+Tarif_JHT+Tarif_THR)+MIN((($C8*(1+0.1))*(1+Tunjangan_Pct)),Plafon_JP)*Tarif_JP+MIN(MAX((($C8*(1+0.1))*(1+Tunjangan_Pct)),IF($D8="Padang",UMP_Padang,UMK_Pekanbaru)),Plafon_JKN)*Tarif_JKN</f>
        <v>41673536</v>
      </c>
      <c r="N8" s="46" t="n">
        <f aca="false">(($C8*(1+0.2))*(1+Tunjangan_Pct))*(1+IF($E8="Lapangan",Tarif_JKK_Lapangan,Tarif_JKK_Kantor)+Tarif_JKM+Tarif_JHT+Tarif_THR)+MIN((($C8*(1+0.2))*(1+Tunjangan_Pct)),Plafon_JP)*Tarif_JP+MIN(MAX((($C8*(1+0.2))*(1+Tunjangan_Pct)),IF($D8="Padang",UMP_Padang,UMK_Pekanbaru)),Plafon_JKN)*Tarif_JKN</f>
        <v>45398246</v>
      </c>
      <c r="O8" s="47" t="n">
        <f aca="false">$F8*MAX(0,MIN(3,4-MAX(1,$I8+-3)))+$G8*MAX(0,MIN(9,13-MAX(MAX(1,$I8+-3),4)))</f>
        <v>12</v>
      </c>
      <c r="P8" s="47" t="n">
        <f aca="false">$F8*MAX(0,MIN(3,4-MAX(1,$I8+-2)))+$G8*MAX(0,MIN(9,13-MAX(MAX(1,$I8+-2),4)))</f>
        <v>12</v>
      </c>
      <c r="Q8" s="47" t="n">
        <f aca="false">$F8*MAX(0,MIN(3,4-MAX(1,$I8+-1)))+$G8*MAX(0,MIN(9,13-MAX(MAX(1,$I8+-1),4)))</f>
        <v>12</v>
      </c>
      <c r="R8" s="47" t="n">
        <f aca="false">$F8*MAX(0,MIN(3,4-MAX(1,$I8+0)))+$G8*MAX(0,MIN(9,13-MAX(MAX(1,$I8+0),4)))</f>
        <v>12</v>
      </c>
      <c r="S8" s="47" t="n">
        <f aca="false">$F8*MAX(0,MIN(3,4-MAX(1,$I8+1)))+$G8*MAX(0,MIN(9,13-MAX(MAX(1,$I8+1),4)))</f>
        <v>11</v>
      </c>
      <c r="T8" s="47" t="n">
        <f aca="false">$F8*MAX(0,MIN(3,4-MAX(1,$I8+2)))+$G8*MAX(0,MIN(9,13-MAX(MAX(1,$I8+2),4)))</f>
        <v>10</v>
      </c>
      <c r="U8" s="47" t="n">
        <f aca="false">$F8*MAX(0,MIN(3,4-MAX(1,$I8+3)))+$G8*MAX(0,MIN(9,13-MAX(MAX(1,$I8+3),4)))</f>
        <v>9</v>
      </c>
      <c r="V8" s="47" t="n">
        <f aca="false">O8+$H8*MAX(0,MIN(12,25-MAX(MAX(1,$I8+-3),13)))</f>
        <v>24</v>
      </c>
      <c r="W8" s="47" t="n">
        <f aca="false">P8+$H8*MAX(0,MIN(12,25-MAX(MAX(1,$I8+-2),13)))</f>
        <v>24</v>
      </c>
      <c r="X8" s="47" t="n">
        <f aca="false">Q8+$H8*MAX(0,MIN(12,25-MAX(MAX(1,$I8+-1),13)))</f>
        <v>24</v>
      </c>
      <c r="Y8" s="47" t="n">
        <f aca="false">R8+$H8*MAX(0,MIN(12,25-MAX(MAX(1,$I8+0),13)))</f>
        <v>24</v>
      </c>
      <c r="Z8" s="47" t="n">
        <f aca="false">S8+$H8*MAX(0,MIN(12,25-MAX(MAX(1,$I8+1),13)))</f>
        <v>23</v>
      </c>
      <c r="AA8" s="47" t="n">
        <f aca="false">T8+$H8*MAX(0,MIN(12,25-MAX(MAX(1,$I8+2),13)))</f>
        <v>22</v>
      </c>
      <c r="AB8" s="47" t="n">
        <f aca="false">U8+$H8*MAX(0,MIN(12,25-MAX(MAX(1,$I8+3),13)))</f>
        <v>21</v>
      </c>
    </row>
    <row r="9" customFormat="false" ht="15" hidden="false" customHeight="false" outlineLevel="0" collapsed="false">
      <c r="A9" s="18" t="n">
        <v>4</v>
      </c>
      <c r="B9" s="43" t="str">
        <f aca="false">'Biaya Bulanan'!$C$29</f>
        <v>Engineering Manager</v>
      </c>
      <c r="C9" s="54" t="n">
        <f aca="false">'Biaya Bulanan'!$K$29</f>
        <v>27500000</v>
      </c>
      <c r="D9" s="23" t="str">
        <f aca="false">'Biaya Bulanan'!$E$29</f>
        <v>Pekanbaru</v>
      </c>
      <c r="E9" s="23" t="str">
        <f aca="false">'Biaya Bulanan'!$H$29</f>
        <v>Kantor</v>
      </c>
      <c r="F9" s="23" t="n">
        <f aca="false">'Biaya Bulanan'!$V$29</f>
        <v>0</v>
      </c>
      <c r="G9" s="23" t="n">
        <f aca="false">'Biaya Bulanan'!$W$29</f>
        <v>1</v>
      </c>
      <c r="H9" s="23" t="n">
        <f aca="false">'Biaya Bulanan'!$X$29</f>
        <v>1</v>
      </c>
      <c r="I9" s="23" t="n">
        <f aca="false">'Biaya Bulanan'!$I$29</f>
        <v>4</v>
      </c>
      <c r="J9" s="46" t="n">
        <f aca="false">(($C9*(1+-0.2))*(1+Tunjangan_Pct))*(1+IF($E9="Lapangan",Tarif_JKK_Lapangan,Tarif_JKK_Kantor)+Tarif_JKM+Tarif_JHT+Tarif_THR)+MIN((($C9*(1+-0.2))*(1+Tunjangan_Pct)),Plafon_JP)*Tarif_JP+MIN(MAX((($C9*(1+-0.2))*(1+Tunjangan_Pct)),IF($D9="Padang",UMP_Padang,UMK_Pekanbaru)),Plafon_JKN)*Tarif_JKN</f>
        <v>28016266</v>
      </c>
      <c r="K9" s="46" t="n">
        <f aca="false">(($C9*(1+-0.1))*(1+Tunjangan_Pct))*(1+IF($E9="Lapangan",Tarif_JKK_Lapangan,Tarif_JKK_Kantor)+Tarif_JKM+Tarif_JHT+Tarif_THR)+MIN((($C9*(1+-0.1))*(1+Tunjangan_Pct)),Plafon_JP)*Tarif_JP+MIN(MAX((($C9*(1+-0.1))*(1+Tunjangan_Pct)),IF($D9="Padang",UMP_Padang,UMK_Pekanbaru)),Plafon_JKN)*Tarif_JKN</f>
        <v>31430583.5</v>
      </c>
      <c r="L9" s="46" t="n">
        <f aca="false">(($C9*(1+0))*(1+Tunjangan_Pct))*(1+IF($E9="Lapangan",Tarif_JKK_Lapangan,Tarif_JKK_Kantor)+Tarif_JKM+Tarif_JHT+Tarif_THR)+MIN((($C9*(1+0))*(1+Tunjangan_Pct)),Plafon_JP)*Tarif_JP+MIN(MAX((($C9*(1+0))*(1+Tunjangan_Pct)),IF($D9="Padang",UMP_Padang,UMK_Pekanbaru)),Plafon_JKN)*Tarif_JKN</f>
        <v>34844901</v>
      </c>
      <c r="M9" s="46" t="n">
        <f aca="false">(($C9*(1+0.1))*(1+Tunjangan_Pct))*(1+IF($E9="Lapangan",Tarif_JKK_Lapangan,Tarif_JKK_Kantor)+Tarif_JKM+Tarif_JHT+Tarif_THR)+MIN((($C9*(1+0.1))*(1+Tunjangan_Pct)),Plafon_JP)*Tarif_JP+MIN(MAX((($C9*(1+0.1))*(1+Tunjangan_Pct)),IF($D9="Padang",UMP_Padang,UMK_Pekanbaru)),Plafon_JKN)*Tarif_JKN</f>
        <v>38259218.5</v>
      </c>
      <c r="N9" s="46" t="n">
        <f aca="false">(($C9*(1+0.2))*(1+Tunjangan_Pct))*(1+IF($E9="Lapangan",Tarif_JKK_Lapangan,Tarif_JKK_Kantor)+Tarif_JKM+Tarif_JHT+Tarif_THR)+MIN((($C9*(1+0.2))*(1+Tunjangan_Pct)),Plafon_JP)*Tarif_JP+MIN(MAX((($C9*(1+0.2))*(1+Tunjangan_Pct)),IF($D9="Padang",UMP_Padang,UMK_Pekanbaru)),Plafon_JKN)*Tarif_JKN</f>
        <v>41673536</v>
      </c>
      <c r="O9" s="47" t="n">
        <f aca="false">$F9*MAX(0,MIN(3,4-MAX(1,$I9+-3)))+$G9*MAX(0,MIN(9,13-MAX(MAX(1,$I9+-3),4)))</f>
        <v>9</v>
      </c>
      <c r="P9" s="47" t="n">
        <f aca="false">$F9*MAX(0,MIN(3,4-MAX(1,$I9+-2)))+$G9*MAX(0,MIN(9,13-MAX(MAX(1,$I9+-2),4)))</f>
        <v>9</v>
      </c>
      <c r="Q9" s="47" t="n">
        <f aca="false">$F9*MAX(0,MIN(3,4-MAX(1,$I9+-1)))+$G9*MAX(0,MIN(9,13-MAX(MAX(1,$I9+-1),4)))</f>
        <v>9</v>
      </c>
      <c r="R9" s="47" t="n">
        <f aca="false">$F9*MAX(0,MIN(3,4-MAX(1,$I9+0)))+$G9*MAX(0,MIN(9,13-MAX(MAX(1,$I9+0),4)))</f>
        <v>9</v>
      </c>
      <c r="S9" s="47" t="n">
        <f aca="false">$F9*MAX(0,MIN(3,4-MAX(1,$I9+1)))+$G9*MAX(0,MIN(9,13-MAX(MAX(1,$I9+1),4)))</f>
        <v>8</v>
      </c>
      <c r="T9" s="47" t="n">
        <f aca="false">$F9*MAX(0,MIN(3,4-MAX(1,$I9+2)))+$G9*MAX(0,MIN(9,13-MAX(MAX(1,$I9+2),4)))</f>
        <v>7</v>
      </c>
      <c r="U9" s="47" t="n">
        <f aca="false">$F9*MAX(0,MIN(3,4-MAX(1,$I9+3)))+$G9*MAX(0,MIN(9,13-MAX(MAX(1,$I9+3),4)))</f>
        <v>6</v>
      </c>
      <c r="V9" s="47" t="n">
        <f aca="false">O9+$H9*MAX(0,MIN(12,25-MAX(MAX(1,$I9+-3),13)))</f>
        <v>21</v>
      </c>
      <c r="W9" s="47" t="n">
        <f aca="false">P9+$H9*MAX(0,MIN(12,25-MAX(MAX(1,$I9+-2),13)))</f>
        <v>21</v>
      </c>
      <c r="X9" s="47" t="n">
        <f aca="false">Q9+$H9*MAX(0,MIN(12,25-MAX(MAX(1,$I9+-1),13)))</f>
        <v>21</v>
      </c>
      <c r="Y9" s="47" t="n">
        <f aca="false">R9+$H9*MAX(0,MIN(12,25-MAX(MAX(1,$I9+0),13)))</f>
        <v>21</v>
      </c>
      <c r="Z9" s="47" t="n">
        <f aca="false">S9+$H9*MAX(0,MIN(12,25-MAX(MAX(1,$I9+1),13)))</f>
        <v>20</v>
      </c>
      <c r="AA9" s="47" t="n">
        <f aca="false">T9+$H9*MAX(0,MIN(12,25-MAX(MAX(1,$I9+2),13)))</f>
        <v>19</v>
      </c>
      <c r="AB9" s="47" t="n">
        <f aca="false">U9+$H9*MAX(0,MIN(12,25-MAX(MAX(1,$I9+3),13)))</f>
        <v>18</v>
      </c>
    </row>
    <row r="10" customFormat="false" ht="15" hidden="false" customHeight="false" outlineLevel="0" collapsed="false">
      <c r="A10" s="18" t="n">
        <v>5</v>
      </c>
      <c r="B10" s="43" t="str">
        <f aca="false">'Biaya Bulanan'!$C$30</f>
        <v>Mobile Engineer (Senior)</v>
      </c>
      <c r="C10" s="54" t="n">
        <f aca="false">'Biaya Bulanan'!$K$30</f>
        <v>20000000</v>
      </c>
      <c r="D10" s="23" t="str">
        <f aca="false">'Biaya Bulanan'!$E$30</f>
        <v>Pekanbaru</v>
      </c>
      <c r="E10" s="23" t="str">
        <f aca="false">'Biaya Bulanan'!$H$30</f>
        <v>Kantor</v>
      </c>
      <c r="F10" s="23" t="n">
        <f aca="false">'Biaya Bulanan'!$V$30</f>
        <v>1</v>
      </c>
      <c r="G10" s="23" t="n">
        <f aca="false">'Biaya Bulanan'!$W$30</f>
        <v>1</v>
      </c>
      <c r="H10" s="23" t="n">
        <f aca="false">'Biaya Bulanan'!$X$30</f>
        <v>1</v>
      </c>
      <c r="I10" s="23" t="n">
        <f aca="false">'Biaya Bulanan'!$I$30</f>
        <v>1</v>
      </c>
      <c r="J10" s="46" t="n">
        <f aca="false">(($C10*(1+-0.2))*(1+Tunjangan_Pct))*(1+IF($E10="Lapangan",Tarif_JKK_Lapangan,Tarif_JKK_Kantor)+Tarif_JKM+Tarif_JHT+Tarif_THR)+MIN((($C10*(1+-0.2))*(1+Tunjangan_Pct)),Plafon_JP)*Tarif_JP+MIN(MAX((($C10*(1+-0.2))*(1+Tunjangan_Pct)),IF($D10="Padang",UMP_Padang,UMK_Pekanbaru)),Plafon_JKN)*Tarif_JKN</f>
        <v>20566846</v>
      </c>
      <c r="K10" s="46" t="n">
        <f aca="false">(($C10*(1+-0.1))*(1+Tunjangan_Pct))*(1+IF($E10="Lapangan",Tarif_JKK_Lapangan,Tarif_JKK_Kantor)+Tarif_JKM+Tarif_JHT+Tarif_THR)+MIN((($C10*(1+-0.1))*(1+Tunjangan_Pct)),Plafon_JP)*Tarif_JP+MIN(MAX((($C10*(1+-0.1))*(1+Tunjangan_Pct)),IF($D10="Padang",UMP_Padang,UMK_Pekanbaru)),Plafon_JKN)*Tarif_JKN</f>
        <v>23049986</v>
      </c>
      <c r="L10" s="46" t="n">
        <f aca="false">(($C10*(1+0))*(1+Tunjangan_Pct))*(1+IF($E10="Lapangan",Tarif_JKK_Lapangan,Tarif_JKK_Kantor)+Tarif_JKM+Tarif_JHT+Tarif_THR)+MIN((($C10*(1+0))*(1+Tunjangan_Pct)),Plafon_JP)*Tarif_JP+MIN(MAX((($C10*(1+0))*(1+Tunjangan_Pct)),IF($D10="Padang",UMP_Padang,UMK_Pekanbaru)),Plafon_JKN)*Tarif_JKN</f>
        <v>25533126</v>
      </c>
      <c r="M10" s="46" t="n">
        <f aca="false">(($C10*(1+0.1))*(1+Tunjangan_Pct))*(1+IF($E10="Lapangan",Tarif_JKK_Lapangan,Tarif_JKK_Kantor)+Tarif_JKM+Tarif_JHT+Tarif_THR)+MIN((($C10*(1+0.1))*(1+Tunjangan_Pct)),Plafon_JP)*Tarif_JP+MIN(MAX((($C10*(1+0.1))*(1+Tunjangan_Pct)),IF($D10="Padang",UMP_Padang,UMK_Pekanbaru)),Plafon_JKN)*Tarif_JKN</f>
        <v>28016266</v>
      </c>
      <c r="N10" s="46" t="n">
        <f aca="false">(($C10*(1+0.2))*(1+Tunjangan_Pct))*(1+IF($E10="Lapangan",Tarif_JKK_Lapangan,Tarif_JKK_Kantor)+Tarif_JKM+Tarif_JHT+Tarif_THR)+MIN((($C10*(1+0.2))*(1+Tunjangan_Pct)),Plafon_JP)*Tarif_JP+MIN(MAX((($C10*(1+0.2))*(1+Tunjangan_Pct)),IF($D10="Padang",UMP_Padang,UMK_Pekanbaru)),Plafon_JKN)*Tarif_JKN</f>
        <v>30499406</v>
      </c>
      <c r="O10" s="47" t="n">
        <f aca="false">$F10*MAX(0,MIN(3,4-MAX(1,$I10+-3)))+$G10*MAX(0,MIN(9,13-MAX(MAX(1,$I10+-3),4)))</f>
        <v>12</v>
      </c>
      <c r="P10" s="47" t="n">
        <f aca="false">$F10*MAX(0,MIN(3,4-MAX(1,$I10+-2)))+$G10*MAX(0,MIN(9,13-MAX(MAX(1,$I10+-2),4)))</f>
        <v>12</v>
      </c>
      <c r="Q10" s="47" t="n">
        <f aca="false">$F10*MAX(0,MIN(3,4-MAX(1,$I10+-1)))+$G10*MAX(0,MIN(9,13-MAX(MAX(1,$I10+-1),4)))</f>
        <v>12</v>
      </c>
      <c r="R10" s="47" t="n">
        <f aca="false">$F10*MAX(0,MIN(3,4-MAX(1,$I10+0)))+$G10*MAX(0,MIN(9,13-MAX(MAX(1,$I10+0),4)))</f>
        <v>12</v>
      </c>
      <c r="S10" s="47" t="n">
        <f aca="false">$F10*MAX(0,MIN(3,4-MAX(1,$I10+1)))+$G10*MAX(0,MIN(9,13-MAX(MAX(1,$I10+1),4)))</f>
        <v>11</v>
      </c>
      <c r="T10" s="47" t="n">
        <f aca="false">$F10*MAX(0,MIN(3,4-MAX(1,$I10+2)))+$G10*MAX(0,MIN(9,13-MAX(MAX(1,$I10+2),4)))</f>
        <v>10</v>
      </c>
      <c r="U10" s="47" t="n">
        <f aca="false">$F10*MAX(0,MIN(3,4-MAX(1,$I10+3)))+$G10*MAX(0,MIN(9,13-MAX(MAX(1,$I10+3),4)))</f>
        <v>9</v>
      </c>
      <c r="V10" s="47" t="n">
        <f aca="false">O10+$H10*MAX(0,MIN(12,25-MAX(MAX(1,$I10+-3),13)))</f>
        <v>24</v>
      </c>
      <c r="W10" s="47" t="n">
        <f aca="false">P10+$H10*MAX(0,MIN(12,25-MAX(MAX(1,$I10+-2),13)))</f>
        <v>24</v>
      </c>
      <c r="X10" s="47" t="n">
        <f aca="false">Q10+$H10*MAX(0,MIN(12,25-MAX(MAX(1,$I10+-1),13)))</f>
        <v>24</v>
      </c>
      <c r="Y10" s="47" t="n">
        <f aca="false">R10+$H10*MAX(0,MIN(12,25-MAX(MAX(1,$I10+0),13)))</f>
        <v>24</v>
      </c>
      <c r="Z10" s="47" t="n">
        <f aca="false">S10+$H10*MAX(0,MIN(12,25-MAX(MAX(1,$I10+1),13)))</f>
        <v>23</v>
      </c>
      <c r="AA10" s="47" t="n">
        <f aca="false">T10+$H10*MAX(0,MIN(12,25-MAX(MAX(1,$I10+2),13)))</f>
        <v>22</v>
      </c>
      <c r="AB10" s="47" t="n">
        <f aca="false">U10+$H10*MAX(0,MIN(12,25-MAX(MAX(1,$I10+3),13)))</f>
        <v>21</v>
      </c>
    </row>
    <row r="11" customFormat="false" ht="15" hidden="false" customHeight="false" outlineLevel="0" collapsed="false">
      <c r="A11" s="18" t="n">
        <v>6</v>
      </c>
      <c r="B11" s="43" t="str">
        <f aca="false">'Biaya Bulanan'!$C$31</f>
        <v>Mobile Engineer (Mid)</v>
      </c>
      <c r="C11" s="54" t="n">
        <f aca="false">'Biaya Bulanan'!$K$31</f>
        <v>12000000</v>
      </c>
      <c r="D11" s="23" t="str">
        <f aca="false">'Biaya Bulanan'!$E$31</f>
        <v>Pekanbaru</v>
      </c>
      <c r="E11" s="23" t="str">
        <f aca="false">'Biaya Bulanan'!$H$31</f>
        <v>Kantor</v>
      </c>
      <c r="F11" s="23" t="n">
        <f aca="false">'Biaya Bulanan'!$V$31</f>
        <v>0</v>
      </c>
      <c r="G11" s="23" t="n">
        <f aca="false">'Biaya Bulanan'!$W$31</f>
        <v>1</v>
      </c>
      <c r="H11" s="23" t="n">
        <f aca="false">'Biaya Bulanan'!$X$31</f>
        <v>1</v>
      </c>
      <c r="I11" s="23" t="n">
        <f aca="false">'Biaya Bulanan'!$I$31</f>
        <v>5</v>
      </c>
      <c r="J11" s="46" t="n">
        <f aca="false">(($C11*(1+-0.2))*(1+Tunjangan_Pct))*(1+IF($E11="Lapangan",Tarif_JKK_Lapangan,Tarif_JKK_Kantor)+Tarif_JKM+Tarif_JHT+Tarif_THR)+MIN((($C11*(1+-0.2))*(1+Tunjangan_Pct)),Plafon_JP)*Tarif_JP+MIN(MAX((($C11*(1+-0.2))*(1+Tunjangan_Pct)),IF($D11="Padang",UMP_Padang,UMK_Pekanbaru)),Plafon_JKN)*Tarif_JKN</f>
        <v>12552672</v>
      </c>
      <c r="K11" s="46" t="n">
        <f aca="false">(($C11*(1+-0.1))*(1+Tunjangan_Pct))*(1+IF($E11="Lapangan",Tarif_JKK_Lapangan,Tarif_JKK_Kantor)+Tarif_JKM+Tarif_JHT+Tarif_THR)+MIN((($C11*(1+-0.1))*(1+Tunjangan_Pct)),Plafon_JP)*Tarif_JP+MIN(MAX((($C11*(1+-0.1))*(1+Tunjangan_Pct)),IF($D11="Padang",UMP_Padang,UMK_Pekanbaru)),Plafon_JKN)*Tarif_JKN</f>
        <v>14105882</v>
      </c>
      <c r="L11" s="46" t="n">
        <f aca="false">(($C11*(1+0))*(1+Tunjangan_Pct))*(1+IF($E11="Lapangan",Tarif_JKK_Lapangan,Tarif_JKK_Kantor)+Tarif_JKM+Tarif_JHT+Tarif_THR)+MIN((($C11*(1+0))*(1+Tunjangan_Pct)),Plafon_JP)*Tarif_JP+MIN(MAX((($C11*(1+0))*(1+Tunjangan_Pct)),IF($D11="Padang",UMP_Padang,UMK_Pekanbaru)),Plafon_JKN)*Tarif_JKN</f>
        <v>15600566</v>
      </c>
      <c r="M11" s="46" t="n">
        <f aca="false">(($C11*(1+0.1))*(1+Tunjangan_Pct))*(1+IF($E11="Lapangan",Tarif_JKK_Lapangan,Tarif_JKK_Kantor)+Tarif_JKM+Tarif_JHT+Tarif_THR)+MIN((($C11*(1+0.1))*(1+Tunjangan_Pct)),Plafon_JP)*Tarif_JP+MIN(MAX((($C11*(1+0.1))*(1+Tunjangan_Pct)),IF($D11="Padang",UMP_Padang,UMK_Pekanbaru)),Plafon_JKN)*Tarif_JKN</f>
        <v>17090450</v>
      </c>
      <c r="N11" s="46" t="n">
        <f aca="false">(($C11*(1+0.2))*(1+Tunjangan_Pct))*(1+IF($E11="Lapangan",Tarif_JKK_Lapangan,Tarif_JKK_Kantor)+Tarif_JKM+Tarif_JHT+Tarif_THR)+MIN((($C11*(1+0.2))*(1+Tunjangan_Pct)),Plafon_JP)*Tarif_JP+MIN(MAX((($C11*(1+0.2))*(1+Tunjangan_Pct)),IF($D11="Padang",UMP_Padang,UMK_Pekanbaru)),Plafon_JKN)*Tarif_JKN</f>
        <v>18580334</v>
      </c>
      <c r="O11" s="47" t="n">
        <f aca="false">$F11*MAX(0,MIN(3,4-MAX(1,$I11+-3)))+$G11*MAX(0,MIN(9,13-MAX(MAX(1,$I11+-3),4)))</f>
        <v>9</v>
      </c>
      <c r="P11" s="47" t="n">
        <f aca="false">$F11*MAX(0,MIN(3,4-MAX(1,$I11+-2)))+$G11*MAX(0,MIN(9,13-MAX(MAX(1,$I11+-2),4)))</f>
        <v>9</v>
      </c>
      <c r="Q11" s="47" t="n">
        <f aca="false">$F11*MAX(0,MIN(3,4-MAX(1,$I11+-1)))+$G11*MAX(0,MIN(9,13-MAX(MAX(1,$I11+-1),4)))</f>
        <v>9</v>
      </c>
      <c r="R11" s="47" t="n">
        <f aca="false">$F11*MAX(0,MIN(3,4-MAX(1,$I11+0)))+$G11*MAX(0,MIN(9,13-MAX(MAX(1,$I11+0),4)))</f>
        <v>8</v>
      </c>
      <c r="S11" s="47" t="n">
        <f aca="false">$F11*MAX(0,MIN(3,4-MAX(1,$I11+1)))+$G11*MAX(0,MIN(9,13-MAX(MAX(1,$I11+1),4)))</f>
        <v>7</v>
      </c>
      <c r="T11" s="47" t="n">
        <f aca="false">$F11*MAX(0,MIN(3,4-MAX(1,$I11+2)))+$G11*MAX(0,MIN(9,13-MAX(MAX(1,$I11+2),4)))</f>
        <v>6</v>
      </c>
      <c r="U11" s="47" t="n">
        <f aca="false">$F11*MAX(0,MIN(3,4-MAX(1,$I11+3)))+$G11*MAX(0,MIN(9,13-MAX(MAX(1,$I11+3),4)))</f>
        <v>5</v>
      </c>
      <c r="V11" s="47" t="n">
        <f aca="false">O11+$H11*MAX(0,MIN(12,25-MAX(MAX(1,$I11+-3),13)))</f>
        <v>21</v>
      </c>
      <c r="W11" s="47" t="n">
        <f aca="false">P11+$H11*MAX(0,MIN(12,25-MAX(MAX(1,$I11+-2),13)))</f>
        <v>21</v>
      </c>
      <c r="X11" s="47" t="n">
        <f aca="false">Q11+$H11*MAX(0,MIN(12,25-MAX(MAX(1,$I11+-1),13)))</f>
        <v>21</v>
      </c>
      <c r="Y11" s="47" t="n">
        <f aca="false">R11+$H11*MAX(0,MIN(12,25-MAX(MAX(1,$I11+0),13)))</f>
        <v>20</v>
      </c>
      <c r="Z11" s="47" t="n">
        <f aca="false">S11+$H11*MAX(0,MIN(12,25-MAX(MAX(1,$I11+1),13)))</f>
        <v>19</v>
      </c>
      <c r="AA11" s="47" t="n">
        <f aca="false">T11+$H11*MAX(0,MIN(12,25-MAX(MAX(1,$I11+2),13)))</f>
        <v>18</v>
      </c>
      <c r="AB11" s="47" t="n">
        <f aca="false">U11+$H11*MAX(0,MIN(12,25-MAX(MAX(1,$I11+3),13)))</f>
        <v>17</v>
      </c>
    </row>
    <row r="12" customFormat="false" ht="15" hidden="false" customHeight="false" outlineLevel="0" collapsed="false">
      <c r="A12" s="18" t="n">
        <v>7</v>
      </c>
      <c r="B12" s="43" t="str">
        <f aca="false">'Biaya Bulanan'!$C$32</f>
        <v>Mobile Engineer (Mid) - gelombang 2</v>
      </c>
      <c r="C12" s="54" t="n">
        <f aca="false">'Biaya Bulanan'!$K$32</f>
        <v>12000000</v>
      </c>
      <c r="D12" s="23" t="str">
        <f aca="false">'Biaya Bulanan'!$E$32</f>
        <v>Pekanbaru</v>
      </c>
      <c r="E12" s="23" t="str">
        <f aca="false">'Biaya Bulanan'!$H$32</f>
        <v>Kantor</v>
      </c>
      <c r="F12" s="23" t="n">
        <f aca="false">'Biaya Bulanan'!$V$32</f>
        <v>0</v>
      </c>
      <c r="G12" s="23" t="n">
        <f aca="false">'Biaya Bulanan'!$W$32</f>
        <v>0</v>
      </c>
      <c r="H12" s="23" t="n">
        <f aca="false">'Biaya Bulanan'!$X$32</f>
        <v>1</v>
      </c>
      <c r="I12" s="23" t="n">
        <f aca="false">'Biaya Bulanan'!$I$32</f>
        <v>14</v>
      </c>
      <c r="J12" s="46" t="n">
        <f aca="false">(($C12*(1+-0.2))*(1+Tunjangan_Pct))*(1+IF($E12="Lapangan",Tarif_JKK_Lapangan,Tarif_JKK_Kantor)+Tarif_JKM+Tarif_JHT+Tarif_THR)+MIN((($C12*(1+-0.2))*(1+Tunjangan_Pct)),Plafon_JP)*Tarif_JP+MIN(MAX((($C12*(1+-0.2))*(1+Tunjangan_Pct)),IF($D12="Padang",UMP_Padang,UMK_Pekanbaru)),Plafon_JKN)*Tarif_JKN</f>
        <v>12552672</v>
      </c>
      <c r="K12" s="46" t="n">
        <f aca="false">(($C12*(1+-0.1))*(1+Tunjangan_Pct))*(1+IF($E12="Lapangan",Tarif_JKK_Lapangan,Tarif_JKK_Kantor)+Tarif_JKM+Tarif_JHT+Tarif_THR)+MIN((($C12*(1+-0.1))*(1+Tunjangan_Pct)),Plafon_JP)*Tarif_JP+MIN(MAX((($C12*(1+-0.1))*(1+Tunjangan_Pct)),IF($D12="Padang",UMP_Padang,UMK_Pekanbaru)),Plafon_JKN)*Tarif_JKN</f>
        <v>14105882</v>
      </c>
      <c r="L12" s="46" t="n">
        <f aca="false">(($C12*(1+0))*(1+Tunjangan_Pct))*(1+IF($E12="Lapangan",Tarif_JKK_Lapangan,Tarif_JKK_Kantor)+Tarif_JKM+Tarif_JHT+Tarif_THR)+MIN((($C12*(1+0))*(1+Tunjangan_Pct)),Plafon_JP)*Tarif_JP+MIN(MAX((($C12*(1+0))*(1+Tunjangan_Pct)),IF($D12="Padang",UMP_Padang,UMK_Pekanbaru)),Plafon_JKN)*Tarif_JKN</f>
        <v>15600566</v>
      </c>
      <c r="M12" s="46" t="n">
        <f aca="false">(($C12*(1+0.1))*(1+Tunjangan_Pct))*(1+IF($E12="Lapangan",Tarif_JKK_Lapangan,Tarif_JKK_Kantor)+Tarif_JKM+Tarif_JHT+Tarif_THR)+MIN((($C12*(1+0.1))*(1+Tunjangan_Pct)),Plafon_JP)*Tarif_JP+MIN(MAX((($C12*(1+0.1))*(1+Tunjangan_Pct)),IF($D12="Padang",UMP_Padang,UMK_Pekanbaru)),Plafon_JKN)*Tarif_JKN</f>
        <v>17090450</v>
      </c>
      <c r="N12" s="46" t="n">
        <f aca="false">(($C12*(1+0.2))*(1+Tunjangan_Pct))*(1+IF($E12="Lapangan",Tarif_JKK_Lapangan,Tarif_JKK_Kantor)+Tarif_JKM+Tarif_JHT+Tarif_THR)+MIN((($C12*(1+0.2))*(1+Tunjangan_Pct)),Plafon_JP)*Tarif_JP+MIN(MAX((($C12*(1+0.2))*(1+Tunjangan_Pct)),IF($D12="Padang",UMP_Padang,UMK_Pekanbaru)),Plafon_JKN)*Tarif_JKN</f>
        <v>18580334</v>
      </c>
      <c r="O12" s="47" t="n">
        <f aca="false">$F12*MAX(0,MIN(3,4-MAX(1,$I12+-3)))+$G12*MAX(0,MIN(9,13-MAX(MAX(1,$I12+-3),4)))</f>
        <v>0</v>
      </c>
      <c r="P12" s="47" t="n">
        <f aca="false">$F12*MAX(0,MIN(3,4-MAX(1,$I12+-2)))+$G12*MAX(0,MIN(9,13-MAX(MAX(1,$I12+-2),4)))</f>
        <v>0</v>
      </c>
      <c r="Q12" s="47" t="n">
        <f aca="false">$F12*MAX(0,MIN(3,4-MAX(1,$I12+-1)))+$G12*MAX(0,MIN(9,13-MAX(MAX(1,$I12+-1),4)))</f>
        <v>0</v>
      </c>
      <c r="R12" s="47" t="n">
        <f aca="false">$F12*MAX(0,MIN(3,4-MAX(1,$I12+0)))+$G12*MAX(0,MIN(9,13-MAX(MAX(1,$I12+0),4)))</f>
        <v>0</v>
      </c>
      <c r="S12" s="47" t="n">
        <f aca="false">$F12*MAX(0,MIN(3,4-MAX(1,$I12+1)))+$G12*MAX(0,MIN(9,13-MAX(MAX(1,$I12+1),4)))</f>
        <v>0</v>
      </c>
      <c r="T12" s="47" t="n">
        <f aca="false">$F12*MAX(0,MIN(3,4-MAX(1,$I12+2)))+$G12*MAX(0,MIN(9,13-MAX(MAX(1,$I12+2),4)))</f>
        <v>0</v>
      </c>
      <c r="U12" s="47" t="n">
        <f aca="false">$F12*MAX(0,MIN(3,4-MAX(1,$I12+3)))+$G12*MAX(0,MIN(9,13-MAX(MAX(1,$I12+3),4)))</f>
        <v>0</v>
      </c>
      <c r="V12" s="47" t="n">
        <f aca="false">O12+$H12*MAX(0,MIN(12,25-MAX(MAX(1,$I12+-3),13)))</f>
        <v>12</v>
      </c>
      <c r="W12" s="47" t="n">
        <f aca="false">P12+$H12*MAX(0,MIN(12,25-MAX(MAX(1,$I12+-2),13)))</f>
        <v>12</v>
      </c>
      <c r="X12" s="47" t="n">
        <f aca="false">Q12+$H12*MAX(0,MIN(12,25-MAX(MAX(1,$I12+-1),13)))</f>
        <v>12</v>
      </c>
      <c r="Y12" s="47" t="n">
        <f aca="false">R12+$H12*MAX(0,MIN(12,25-MAX(MAX(1,$I12+0),13)))</f>
        <v>11</v>
      </c>
      <c r="Z12" s="47" t="n">
        <f aca="false">S12+$H12*MAX(0,MIN(12,25-MAX(MAX(1,$I12+1),13)))</f>
        <v>10</v>
      </c>
      <c r="AA12" s="47" t="n">
        <f aca="false">T12+$H12*MAX(0,MIN(12,25-MAX(MAX(1,$I12+2),13)))</f>
        <v>9</v>
      </c>
      <c r="AB12" s="47" t="n">
        <f aca="false">U12+$H12*MAX(0,MIN(12,25-MAX(MAX(1,$I12+3),13)))</f>
        <v>8</v>
      </c>
    </row>
    <row r="13" customFormat="false" ht="15" hidden="false" customHeight="false" outlineLevel="0" collapsed="false">
      <c r="A13" s="18" t="n">
        <v>8</v>
      </c>
      <c r="B13" s="43" t="str">
        <f aca="false">'Biaya Bulanan'!$C$33</f>
        <v>Backend Engineer (Senior)</v>
      </c>
      <c r="C13" s="54" t="n">
        <f aca="false">'Biaya Bulanan'!$K$33</f>
        <v>20000000</v>
      </c>
      <c r="D13" s="23" t="str">
        <f aca="false">'Biaya Bulanan'!$E$33</f>
        <v>Pekanbaru</v>
      </c>
      <c r="E13" s="23" t="str">
        <f aca="false">'Biaya Bulanan'!$H$33</f>
        <v>Kantor</v>
      </c>
      <c r="F13" s="23" t="n">
        <f aca="false">'Biaya Bulanan'!$V$33</f>
        <v>1</v>
      </c>
      <c r="G13" s="23" t="n">
        <f aca="false">'Biaya Bulanan'!$W$33</f>
        <v>1</v>
      </c>
      <c r="H13" s="23" t="n">
        <f aca="false">'Biaya Bulanan'!$X$33</f>
        <v>1</v>
      </c>
      <c r="I13" s="23" t="n">
        <f aca="false">'Biaya Bulanan'!$I$33</f>
        <v>1</v>
      </c>
      <c r="J13" s="46" t="n">
        <f aca="false">(($C13*(1+-0.2))*(1+Tunjangan_Pct))*(1+IF($E13="Lapangan",Tarif_JKK_Lapangan,Tarif_JKK_Kantor)+Tarif_JKM+Tarif_JHT+Tarif_THR)+MIN((($C13*(1+-0.2))*(1+Tunjangan_Pct)),Plafon_JP)*Tarif_JP+MIN(MAX((($C13*(1+-0.2))*(1+Tunjangan_Pct)),IF($D13="Padang",UMP_Padang,UMK_Pekanbaru)),Plafon_JKN)*Tarif_JKN</f>
        <v>20566846</v>
      </c>
      <c r="K13" s="46" t="n">
        <f aca="false">(($C13*(1+-0.1))*(1+Tunjangan_Pct))*(1+IF($E13="Lapangan",Tarif_JKK_Lapangan,Tarif_JKK_Kantor)+Tarif_JKM+Tarif_JHT+Tarif_THR)+MIN((($C13*(1+-0.1))*(1+Tunjangan_Pct)),Plafon_JP)*Tarif_JP+MIN(MAX((($C13*(1+-0.1))*(1+Tunjangan_Pct)),IF($D13="Padang",UMP_Padang,UMK_Pekanbaru)),Plafon_JKN)*Tarif_JKN</f>
        <v>23049986</v>
      </c>
      <c r="L13" s="46" t="n">
        <f aca="false">(($C13*(1+0))*(1+Tunjangan_Pct))*(1+IF($E13="Lapangan",Tarif_JKK_Lapangan,Tarif_JKK_Kantor)+Tarif_JKM+Tarif_JHT+Tarif_THR)+MIN((($C13*(1+0))*(1+Tunjangan_Pct)),Plafon_JP)*Tarif_JP+MIN(MAX((($C13*(1+0))*(1+Tunjangan_Pct)),IF($D13="Padang",UMP_Padang,UMK_Pekanbaru)),Plafon_JKN)*Tarif_JKN</f>
        <v>25533126</v>
      </c>
      <c r="M13" s="46" t="n">
        <f aca="false">(($C13*(1+0.1))*(1+Tunjangan_Pct))*(1+IF($E13="Lapangan",Tarif_JKK_Lapangan,Tarif_JKK_Kantor)+Tarif_JKM+Tarif_JHT+Tarif_THR)+MIN((($C13*(1+0.1))*(1+Tunjangan_Pct)),Plafon_JP)*Tarif_JP+MIN(MAX((($C13*(1+0.1))*(1+Tunjangan_Pct)),IF($D13="Padang",UMP_Padang,UMK_Pekanbaru)),Plafon_JKN)*Tarif_JKN</f>
        <v>28016266</v>
      </c>
      <c r="N13" s="46" t="n">
        <f aca="false">(($C13*(1+0.2))*(1+Tunjangan_Pct))*(1+IF($E13="Lapangan",Tarif_JKK_Lapangan,Tarif_JKK_Kantor)+Tarif_JKM+Tarif_JHT+Tarif_THR)+MIN((($C13*(1+0.2))*(1+Tunjangan_Pct)),Plafon_JP)*Tarif_JP+MIN(MAX((($C13*(1+0.2))*(1+Tunjangan_Pct)),IF($D13="Padang",UMP_Padang,UMK_Pekanbaru)),Plafon_JKN)*Tarif_JKN</f>
        <v>30499406</v>
      </c>
      <c r="O13" s="47" t="n">
        <f aca="false">$F13*MAX(0,MIN(3,4-MAX(1,$I13+-3)))+$G13*MAX(0,MIN(9,13-MAX(MAX(1,$I13+-3),4)))</f>
        <v>12</v>
      </c>
      <c r="P13" s="47" t="n">
        <f aca="false">$F13*MAX(0,MIN(3,4-MAX(1,$I13+-2)))+$G13*MAX(0,MIN(9,13-MAX(MAX(1,$I13+-2),4)))</f>
        <v>12</v>
      </c>
      <c r="Q13" s="47" t="n">
        <f aca="false">$F13*MAX(0,MIN(3,4-MAX(1,$I13+-1)))+$G13*MAX(0,MIN(9,13-MAX(MAX(1,$I13+-1),4)))</f>
        <v>12</v>
      </c>
      <c r="R13" s="47" t="n">
        <f aca="false">$F13*MAX(0,MIN(3,4-MAX(1,$I13+0)))+$G13*MAX(0,MIN(9,13-MAX(MAX(1,$I13+0),4)))</f>
        <v>12</v>
      </c>
      <c r="S13" s="47" t="n">
        <f aca="false">$F13*MAX(0,MIN(3,4-MAX(1,$I13+1)))+$G13*MAX(0,MIN(9,13-MAX(MAX(1,$I13+1),4)))</f>
        <v>11</v>
      </c>
      <c r="T13" s="47" t="n">
        <f aca="false">$F13*MAX(0,MIN(3,4-MAX(1,$I13+2)))+$G13*MAX(0,MIN(9,13-MAX(MAX(1,$I13+2),4)))</f>
        <v>10</v>
      </c>
      <c r="U13" s="47" t="n">
        <f aca="false">$F13*MAX(0,MIN(3,4-MAX(1,$I13+3)))+$G13*MAX(0,MIN(9,13-MAX(MAX(1,$I13+3),4)))</f>
        <v>9</v>
      </c>
      <c r="V13" s="47" t="n">
        <f aca="false">O13+$H13*MAX(0,MIN(12,25-MAX(MAX(1,$I13+-3),13)))</f>
        <v>24</v>
      </c>
      <c r="W13" s="47" t="n">
        <f aca="false">P13+$H13*MAX(0,MIN(12,25-MAX(MAX(1,$I13+-2),13)))</f>
        <v>24</v>
      </c>
      <c r="X13" s="47" t="n">
        <f aca="false">Q13+$H13*MAX(0,MIN(12,25-MAX(MAX(1,$I13+-1),13)))</f>
        <v>24</v>
      </c>
      <c r="Y13" s="47" t="n">
        <f aca="false">R13+$H13*MAX(0,MIN(12,25-MAX(MAX(1,$I13+0),13)))</f>
        <v>24</v>
      </c>
      <c r="Z13" s="47" t="n">
        <f aca="false">S13+$H13*MAX(0,MIN(12,25-MAX(MAX(1,$I13+1),13)))</f>
        <v>23</v>
      </c>
      <c r="AA13" s="47" t="n">
        <f aca="false">T13+$H13*MAX(0,MIN(12,25-MAX(MAX(1,$I13+2),13)))</f>
        <v>22</v>
      </c>
      <c r="AB13" s="47" t="n">
        <f aca="false">U13+$H13*MAX(0,MIN(12,25-MAX(MAX(1,$I13+3),13)))</f>
        <v>21</v>
      </c>
    </row>
    <row r="14" customFormat="false" ht="15" hidden="false" customHeight="false" outlineLevel="0" collapsed="false">
      <c r="A14" s="18" t="n">
        <v>9</v>
      </c>
      <c r="B14" s="43" t="str">
        <f aca="false">'Biaya Bulanan'!$C$34</f>
        <v>Backend Engineer (Senior) - gelombang 2</v>
      </c>
      <c r="C14" s="54" t="n">
        <f aca="false">'Biaya Bulanan'!$K$34</f>
        <v>20000000</v>
      </c>
      <c r="D14" s="23" t="str">
        <f aca="false">'Biaya Bulanan'!$E$34</f>
        <v>Pekanbaru</v>
      </c>
      <c r="E14" s="23" t="str">
        <f aca="false">'Biaya Bulanan'!$H$34</f>
        <v>Kantor</v>
      </c>
      <c r="F14" s="23" t="n">
        <f aca="false">'Biaya Bulanan'!$V$34</f>
        <v>0</v>
      </c>
      <c r="G14" s="23" t="n">
        <f aca="false">'Biaya Bulanan'!$W$34</f>
        <v>0</v>
      </c>
      <c r="H14" s="23" t="n">
        <f aca="false">'Biaya Bulanan'!$X$34</f>
        <v>1</v>
      </c>
      <c r="I14" s="23" t="n">
        <f aca="false">'Biaya Bulanan'!$I$34</f>
        <v>19</v>
      </c>
      <c r="J14" s="46" t="n">
        <f aca="false">(($C14*(1+-0.2))*(1+Tunjangan_Pct))*(1+IF($E14="Lapangan",Tarif_JKK_Lapangan,Tarif_JKK_Kantor)+Tarif_JKM+Tarif_JHT+Tarif_THR)+MIN((($C14*(1+-0.2))*(1+Tunjangan_Pct)),Plafon_JP)*Tarif_JP+MIN(MAX((($C14*(1+-0.2))*(1+Tunjangan_Pct)),IF($D14="Padang",UMP_Padang,UMK_Pekanbaru)),Plafon_JKN)*Tarif_JKN</f>
        <v>20566846</v>
      </c>
      <c r="K14" s="46" t="n">
        <f aca="false">(($C14*(1+-0.1))*(1+Tunjangan_Pct))*(1+IF($E14="Lapangan",Tarif_JKK_Lapangan,Tarif_JKK_Kantor)+Tarif_JKM+Tarif_JHT+Tarif_THR)+MIN((($C14*(1+-0.1))*(1+Tunjangan_Pct)),Plafon_JP)*Tarif_JP+MIN(MAX((($C14*(1+-0.1))*(1+Tunjangan_Pct)),IF($D14="Padang",UMP_Padang,UMK_Pekanbaru)),Plafon_JKN)*Tarif_JKN</f>
        <v>23049986</v>
      </c>
      <c r="L14" s="46" t="n">
        <f aca="false">(($C14*(1+0))*(1+Tunjangan_Pct))*(1+IF($E14="Lapangan",Tarif_JKK_Lapangan,Tarif_JKK_Kantor)+Tarif_JKM+Tarif_JHT+Tarif_THR)+MIN((($C14*(1+0))*(1+Tunjangan_Pct)),Plafon_JP)*Tarif_JP+MIN(MAX((($C14*(1+0))*(1+Tunjangan_Pct)),IF($D14="Padang",UMP_Padang,UMK_Pekanbaru)),Plafon_JKN)*Tarif_JKN</f>
        <v>25533126</v>
      </c>
      <c r="M14" s="46" t="n">
        <f aca="false">(($C14*(1+0.1))*(1+Tunjangan_Pct))*(1+IF($E14="Lapangan",Tarif_JKK_Lapangan,Tarif_JKK_Kantor)+Tarif_JKM+Tarif_JHT+Tarif_THR)+MIN((($C14*(1+0.1))*(1+Tunjangan_Pct)),Plafon_JP)*Tarif_JP+MIN(MAX((($C14*(1+0.1))*(1+Tunjangan_Pct)),IF($D14="Padang",UMP_Padang,UMK_Pekanbaru)),Plafon_JKN)*Tarif_JKN</f>
        <v>28016266</v>
      </c>
      <c r="N14" s="46" t="n">
        <f aca="false">(($C14*(1+0.2))*(1+Tunjangan_Pct))*(1+IF($E14="Lapangan",Tarif_JKK_Lapangan,Tarif_JKK_Kantor)+Tarif_JKM+Tarif_JHT+Tarif_THR)+MIN((($C14*(1+0.2))*(1+Tunjangan_Pct)),Plafon_JP)*Tarif_JP+MIN(MAX((($C14*(1+0.2))*(1+Tunjangan_Pct)),IF($D14="Padang",UMP_Padang,UMK_Pekanbaru)),Plafon_JKN)*Tarif_JKN</f>
        <v>30499406</v>
      </c>
      <c r="O14" s="47" t="n">
        <f aca="false">$F14*MAX(0,MIN(3,4-MAX(1,$I14+-3)))+$G14*MAX(0,MIN(9,13-MAX(MAX(1,$I14+-3),4)))</f>
        <v>0</v>
      </c>
      <c r="P14" s="47" t="n">
        <f aca="false">$F14*MAX(0,MIN(3,4-MAX(1,$I14+-2)))+$G14*MAX(0,MIN(9,13-MAX(MAX(1,$I14+-2),4)))</f>
        <v>0</v>
      </c>
      <c r="Q14" s="47" t="n">
        <f aca="false">$F14*MAX(0,MIN(3,4-MAX(1,$I14+-1)))+$G14*MAX(0,MIN(9,13-MAX(MAX(1,$I14+-1),4)))</f>
        <v>0</v>
      </c>
      <c r="R14" s="47" t="n">
        <f aca="false">$F14*MAX(0,MIN(3,4-MAX(1,$I14+0)))+$G14*MAX(0,MIN(9,13-MAX(MAX(1,$I14+0),4)))</f>
        <v>0</v>
      </c>
      <c r="S14" s="47" t="n">
        <f aca="false">$F14*MAX(0,MIN(3,4-MAX(1,$I14+1)))+$G14*MAX(0,MIN(9,13-MAX(MAX(1,$I14+1),4)))</f>
        <v>0</v>
      </c>
      <c r="T14" s="47" t="n">
        <f aca="false">$F14*MAX(0,MIN(3,4-MAX(1,$I14+2)))+$G14*MAX(0,MIN(9,13-MAX(MAX(1,$I14+2),4)))</f>
        <v>0</v>
      </c>
      <c r="U14" s="47" t="n">
        <f aca="false">$F14*MAX(0,MIN(3,4-MAX(1,$I14+3)))+$G14*MAX(0,MIN(9,13-MAX(MAX(1,$I14+3),4)))</f>
        <v>0</v>
      </c>
      <c r="V14" s="47" t="n">
        <f aca="false">O14+$H14*MAX(0,MIN(12,25-MAX(MAX(1,$I14+-3),13)))</f>
        <v>9</v>
      </c>
      <c r="W14" s="47" t="n">
        <f aca="false">P14+$H14*MAX(0,MIN(12,25-MAX(MAX(1,$I14+-2),13)))</f>
        <v>8</v>
      </c>
      <c r="X14" s="47" t="n">
        <f aca="false">Q14+$H14*MAX(0,MIN(12,25-MAX(MAX(1,$I14+-1),13)))</f>
        <v>7</v>
      </c>
      <c r="Y14" s="47" t="n">
        <f aca="false">R14+$H14*MAX(0,MIN(12,25-MAX(MAX(1,$I14+0),13)))</f>
        <v>6</v>
      </c>
      <c r="Z14" s="47" t="n">
        <f aca="false">S14+$H14*MAX(0,MIN(12,25-MAX(MAX(1,$I14+1),13)))</f>
        <v>5</v>
      </c>
      <c r="AA14" s="47" t="n">
        <f aca="false">T14+$H14*MAX(0,MIN(12,25-MAX(MAX(1,$I14+2),13)))</f>
        <v>4</v>
      </c>
      <c r="AB14" s="47" t="n">
        <f aca="false">U14+$H14*MAX(0,MIN(12,25-MAX(MAX(1,$I14+3),13)))</f>
        <v>3</v>
      </c>
    </row>
    <row r="15" customFormat="false" ht="15" hidden="false" customHeight="false" outlineLevel="0" collapsed="false">
      <c r="A15" s="18" t="n">
        <v>10</v>
      </c>
      <c r="B15" s="43" t="str">
        <f aca="false">'Biaya Bulanan'!$C$35</f>
        <v>Backend Engineer (Mid)</v>
      </c>
      <c r="C15" s="54" t="n">
        <f aca="false">'Biaya Bulanan'!$K$35</f>
        <v>12000000</v>
      </c>
      <c r="D15" s="23" t="str">
        <f aca="false">'Biaya Bulanan'!$E$35</f>
        <v>Pekanbaru</v>
      </c>
      <c r="E15" s="23" t="str">
        <f aca="false">'Biaya Bulanan'!$H$35</f>
        <v>Kantor</v>
      </c>
      <c r="F15" s="23" t="n">
        <f aca="false">'Biaya Bulanan'!$V$35</f>
        <v>0</v>
      </c>
      <c r="G15" s="23" t="n">
        <f aca="false">'Biaya Bulanan'!$W$35</f>
        <v>1</v>
      </c>
      <c r="H15" s="23" t="n">
        <f aca="false">'Biaya Bulanan'!$X$35</f>
        <v>1</v>
      </c>
      <c r="I15" s="23" t="n">
        <f aca="false">'Biaya Bulanan'!$I$35</f>
        <v>4</v>
      </c>
      <c r="J15" s="46" t="n">
        <f aca="false">(($C15*(1+-0.2))*(1+Tunjangan_Pct))*(1+IF($E15="Lapangan",Tarif_JKK_Lapangan,Tarif_JKK_Kantor)+Tarif_JKM+Tarif_JHT+Tarif_THR)+MIN((($C15*(1+-0.2))*(1+Tunjangan_Pct)),Plafon_JP)*Tarif_JP+MIN(MAX((($C15*(1+-0.2))*(1+Tunjangan_Pct)),IF($D15="Padang",UMP_Padang,UMK_Pekanbaru)),Plafon_JKN)*Tarif_JKN</f>
        <v>12552672</v>
      </c>
      <c r="K15" s="46" t="n">
        <f aca="false">(($C15*(1+-0.1))*(1+Tunjangan_Pct))*(1+IF($E15="Lapangan",Tarif_JKK_Lapangan,Tarif_JKK_Kantor)+Tarif_JKM+Tarif_JHT+Tarif_THR)+MIN((($C15*(1+-0.1))*(1+Tunjangan_Pct)),Plafon_JP)*Tarif_JP+MIN(MAX((($C15*(1+-0.1))*(1+Tunjangan_Pct)),IF($D15="Padang",UMP_Padang,UMK_Pekanbaru)),Plafon_JKN)*Tarif_JKN</f>
        <v>14105882</v>
      </c>
      <c r="L15" s="46" t="n">
        <f aca="false">(($C15*(1+0))*(1+Tunjangan_Pct))*(1+IF($E15="Lapangan",Tarif_JKK_Lapangan,Tarif_JKK_Kantor)+Tarif_JKM+Tarif_JHT+Tarif_THR)+MIN((($C15*(1+0))*(1+Tunjangan_Pct)),Plafon_JP)*Tarif_JP+MIN(MAX((($C15*(1+0))*(1+Tunjangan_Pct)),IF($D15="Padang",UMP_Padang,UMK_Pekanbaru)),Plafon_JKN)*Tarif_JKN</f>
        <v>15600566</v>
      </c>
      <c r="M15" s="46" t="n">
        <f aca="false">(($C15*(1+0.1))*(1+Tunjangan_Pct))*(1+IF($E15="Lapangan",Tarif_JKK_Lapangan,Tarif_JKK_Kantor)+Tarif_JKM+Tarif_JHT+Tarif_THR)+MIN((($C15*(1+0.1))*(1+Tunjangan_Pct)),Plafon_JP)*Tarif_JP+MIN(MAX((($C15*(1+0.1))*(1+Tunjangan_Pct)),IF($D15="Padang",UMP_Padang,UMK_Pekanbaru)),Plafon_JKN)*Tarif_JKN</f>
        <v>17090450</v>
      </c>
      <c r="N15" s="46" t="n">
        <f aca="false">(($C15*(1+0.2))*(1+Tunjangan_Pct))*(1+IF($E15="Lapangan",Tarif_JKK_Lapangan,Tarif_JKK_Kantor)+Tarif_JKM+Tarif_JHT+Tarif_THR)+MIN((($C15*(1+0.2))*(1+Tunjangan_Pct)),Plafon_JP)*Tarif_JP+MIN(MAX((($C15*(1+0.2))*(1+Tunjangan_Pct)),IF($D15="Padang",UMP_Padang,UMK_Pekanbaru)),Plafon_JKN)*Tarif_JKN</f>
        <v>18580334</v>
      </c>
      <c r="O15" s="47" t="n">
        <f aca="false">$F15*MAX(0,MIN(3,4-MAX(1,$I15+-3)))+$G15*MAX(0,MIN(9,13-MAX(MAX(1,$I15+-3),4)))</f>
        <v>9</v>
      </c>
      <c r="P15" s="47" t="n">
        <f aca="false">$F15*MAX(0,MIN(3,4-MAX(1,$I15+-2)))+$G15*MAX(0,MIN(9,13-MAX(MAX(1,$I15+-2),4)))</f>
        <v>9</v>
      </c>
      <c r="Q15" s="47" t="n">
        <f aca="false">$F15*MAX(0,MIN(3,4-MAX(1,$I15+-1)))+$G15*MAX(0,MIN(9,13-MAX(MAX(1,$I15+-1),4)))</f>
        <v>9</v>
      </c>
      <c r="R15" s="47" t="n">
        <f aca="false">$F15*MAX(0,MIN(3,4-MAX(1,$I15+0)))+$G15*MAX(0,MIN(9,13-MAX(MAX(1,$I15+0),4)))</f>
        <v>9</v>
      </c>
      <c r="S15" s="47" t="n">
        <f aca="false">$F15*MAX(0,MIN(3,4-MAX(1,$I15+1)))+$G15*MAX(0,MIN(9,13-MAX(MAX(1,$I15+1),4)))</f>
        <v>8</v>
      </c>
      <c r="T15" s="47" t="n">
        <f aca="false">$F15*MAX(0,MIN(3,4-MAX(1,$I15+2)))+$G15*MAX(0,MIN(9,13-MAX(MAX(1,$I15+2),4)))</f>
        <v>7</v>
      </c>
      <c r="U15" s="47" t="n">
        <f aca="false">$F15*MAX(0,MIN(3,4-MAX(1,$I15+3)))+$G15*MAX(0,MIN(9,13-MAX(MAX(1,$I15+3),4)))</f>
        <v>6</v>
      </c>
      <c r="V15" s="47" t="n">
        <f aca="false">O15+$H15*MAX(0,MIN(12,25-MAX(MAX(1,$I15+-3),13)))</f>
        <v>21</v>
      </c>
      <c r="W15" s="47" t="n">
        <f aca="false">P15+$H15*MAX(0,MIN(12,25-MAX(MAX(1,$I15+-2),13)))</f>
        <v>21</v>
      </c>
      <c r="X15" s="47" t="n">
        <f aca="false">Q15+$H15*MAX(0,MIN(12,25-MAX(MAX(1,$I15+-1),13)))</f>
        <v>21</v>
      </c>
      <c r="Y15" s="47" t="n">
        <f aca="false">R15+$H15*MAX(0,MIN(12,25-MAX(MAX(1,$I15+0),13)))</f>
        <v>21</v>
      </c>
      <c r="Z15" s="47" t="n">
        <f aca="false">S15+$H15*MAX(0,MIN(12,25-MAX(MAX(1,$I15+1),13)))</f>
        <v>20</v>
      </c>
      <c r="AA15" s="47" t="n">
        <f aca="false">T15+$H15*MAX(0,MIN(12,25-MAX(MAX(1,$I15+2),13)))</f>
        <v>19</v>
      </c>
      <c r="AB15" s="47" t="n">
        <f aca="false">U15+$H15*MAX(0,MIN(12,25-MAX(MAX(1,$I15+3),13)))</f>
        <v>18</v>
      </c>
    </row>
    <row r="16" customFormat="false" ht="15" hidden="false" customHeight="false" outlineLevel="0" collapsed="false">
      <c r="A16" s="18" t="n">
        <v>11</v>
      </c>
      <c r="B16" s="43" t="str">
        <f aca="false">'Biaya Bulanan'!$C$36</f>
        <v>Backend Engineer (Mid) - gelombang 2</v>
      </c>
      <c r="C16" s="54" t="n">
        <f aca="false">'Biaya Bulanan'!$K$36</f>
        <v>12000000</v>
      </c>
      <c r="D16" s="23" t="str">
        <f aca="false">'Biaya Bulanan'!$E$36</f>
        <v>Pekanbaru</v>
      </c>
      <c r="E16" s="23" t="str">
        <f aca="false">'Biaya Bulanan'!$H$36</f>
        <v>Kantor</v>
      </c>
      <c r="F16" s="23" t="n">
        <f aca="false">'Biaya Bulanan'!$V$36</f>
        <v>0</v>
      </c>
      <c r="G16" s="23" t="n">
        <f aca="false">'Biaya Bulanan'!$W$36</f>
        <v>0</v>
      </c>
      <c r="H16" s="23" t="n">
        <f aca="false">'Biaya Bulanan'!$X$36</f>
        <v>1</v>
      </c>
      <c r="I16" s="23" t="n">
        <f aca="false">'Biaya Bulanan'!$I$36</f>
        <v>13</v>
      </c>
      <c r="J16" s="46" t="n">
        <f aca="false">(($C16*(1+-0.2))*(1+Tunjangan_Pct))*(1+IF($E16="Lapangan",Tarif_JKK_Lapangan,Tarif_JKK_Kantor)+Tarif_JKM+Tarif_JHT+Tarif_THR)+MIN((($C16*(1+-0.2))*(1+Tunjangan_Pct)),Plafon_JP)*Tarif_JP+MIN(MAX((($C16*(1+-0.2))*(1+Tunjangan_Pct)),IF($D16="Padang",UMP_Padang,UMK_Pekanbaru)),Plafon_JKN)*Tarif_JKN</f>
        <v>12552672</v>
      </c>
      <c r="K16" s="46" t="n">
        <f aca="false">(($C16*(1+-0.1))*(1+Tunjangan_Pct))*(1+IF($E16="Lapangan",Tarif_JKK_Lapangan,Tarif_JKK_Kantor)+Tarif_JKM+Tarif_JHT+Tarif_THR)+MIN((($C16*(1+-0.1))*(1+Tunjangan_Pct)),Plafon_JP)*Tarif_JP+MIN(MAX((($C16*(1+-0.1))*(1+Tunjangan_Pct)),IF($D16="Padang",UMP_Padang,UMK_Pekanbaru)),Plafon_JKN)*Tarif_JKN</f>
        <v>14105882</v>
      </c>
      <c r="L16" s="46" t="n">
        <f aca="false">(($C16*(1+0))*(1+Tunjangan_Pct))*(1+IF($E16="Lapangan",Tarif_JKK_Lapangan,Tarif_JKK_Kantor)+Tarif_JKM+Tarif_JHT+Tarif_THR)+MIN((($C16*(1+0))*(1+Tunjangan_Pct)),Plafon_JP)*Tarif_JP+MIN(MAX((($C16*(1+0))*(1+Tunjangan_Pct)),IF($D16="Padang",UMP_Padang,UMK_Pekanbaru)),Plafon_JKN)*Tarif_JKN</f>
        <v>15600566</v>
      </c>
      <c r="M16" s="46" t="n">
        <f aca="false">(($C16*(1+0.1))*(1+Tunjangan_Pct))*(1+IF($E16="Lapangan",Tarif_JKK_Lapangan,Tarif_JKK_Kantor)+Tarif_JKM+Tarif_JHT+Tarif_THR)+MIN((($C16*(1+0.1))*(1+Tunjangan_Pct)),Plafon_JP)*Tarif_JP+MIN(MAX((($C16*(1+0.1))*(1+Tunjangan_Pct)),IF($D16="Padang",UMP_Padang,UMK_Pekanbaru)),Plafon_JKN)*Tarif_JKN</f>
        <v>17090450</v>
      </c>
      <c r="N16" s="46" t="n">
        <f aca="false">(($C16*(1+0.2))*(1+Tunjangan_Pct))*(1+IF($E16="Lapangan",Tarif_JKK_Lapangan,Tarif_JKK_Kantor)+Tarif_JKM+Tarif_JHT+Tarif_THR)+MIN((($C16*(1+0.2))*(1+Tunjangan_Pct)),Plafon_JP)*Tarif_JP+MIN(MAX((($C16*(1+0.2))*(1+Tunjangan_Pct)),IF($D16="Padang",UMP_Padang,UMK_Pekanbaru)),Plafon_JKN)*Tarif_JKN</f>
        <v>18580334</v>
      </c>
      <c r="O16" s="47" t="n">
        <f aca="false">$F16*MAX(0,MIN(3,4-MAX(1,$I16+-3)))+$G16*MAX(0,MIN(9,13-MAX(MAX(1,$I16+-3),4)))</f>
        <v>0</v>
      </c>
      <c r="P16" s="47" t="n">
        <f aca="false">$F16*MAX(0,MIN(3,4-MAX(1,$I16+-2)))+$G16*MAX(0,MIN(9,13-MAX(MAX(1,$I16+-2),4)))</f>
        <v>0</v>
      </c>
      <c r="Q16" s="47" t="n">
        <f aca="false">$F16*MAX(0,MIN(3,4-MAX(1,$I16+-1)))+$G16*MAX(0,MIN(9,13-MAX(MAX(1,$I16+-1),4)))</f>
        <v>0</v>
      </c>
      <c r="R16" s="47" t="n">
        <f aca="false">$F16*MAX(0,MIN(3,4-MAX(1,$I16+0)))+$G16*MAX(0,MIN(9,13-MAX(MAX(1,$I16+0),4)))</f>
        <v>0</v>
      </c>
      <c r="S16" s="47" t="n">
        <f aca="false">$F16*MAX(0,MIN(3,4-MAX(1,$I16+1)))+$G16*MAX(0,MIN(9,13-MAX(MAX(1,$I16+1),4)))</f>
        <v>0</v>
      </c>
      <c r="T16" s="47" t="n">
        <f aca="false">$F16*MAX(0,MIN(3,4-MAX(1,$I16+2)))+$G16*MAX(0,MIN(9,13-MAX(MAX(1,$I16+2),4)))</f>
        <v>0</v>
      </c>
      <c r="U16" s="47" t="n">
        <f aca="false">$F16*MAX(0,MIN(3,4-MAX(1,$I16+3)))+$G16*MAX(0,MIN(9,13-MAX(MAX(1,$I16+3),4)))</f>
        <v>0</v>
      </c>
      <c r="V16" s="47" t="n">
        <f aca="false">O16+$H16*MAX(0,MIN(12,25-MAX(MAX(1,$I16+-3),13)))</f>
        <v>12</v>
      </c>
      <c r="W16" s="47" t="n">
        <f aca="false">P16+$H16*MAX(0,MIN(12,25-MAX(MAX(1,$I16+-2),13)))</f>
        <v>12</v>
      </c>
      <c r="X16" s="47" t="n">
        <f aca="false">Q16+$H16*MAX(0,MIN(12,25-MAX(MAX(1,$I16+-1),13)))</f>
        <v>12</v>
      </c>
      <c r="Y16" s="47" t="n">
        <f aca="false">R16+$H16*MAX(0,MIN(12,25-MAX(MAX(1,$I16+0),13)))</f>
        <v>12</v>
      </c>
      <c r="Z16" s="47" t="n">
        <f aca="false">S16+$H16*MAX(0,MIN(12,25-MAX(MAX(1,$I16+1),13)))</f>
        <v>11</v>
      </c>
      <c r="AA16" s="47" t="n">
        <f aca="false">T16+$H16*MAX(0,MIN(12,25-MAX(MAX(1,$I16+2),13)))</f>
        <v>10</v>
      </c>
      <c r="AB16" s="47" t="n">
        <f aca="false">U16+$H16*MAX(0,MIN(12,25-MAX(MAX(1,$I16+3),13)))</f>
        <v>9</v>
      </c>
    </row>
    <row r="17" customFormat="false" ht="15" hidden="false" customHeight="false" outlineLevel="0" collapsed="false">
      <c r="A17" s="18" t="n">
        <v>12</v>
      </c>
      <c r="B17" s="43" t="str">
        <f aca="false">'Biaya Bulanan'!$C$37</f>
        <v>QA Engineer</v>
      </c>
      <c r="C17" s="54" t="n">
        <f aca="false">'Biaya Bulanan'!$K$37</f>
        <v>10000000</v>
      </c>
      <c r="D17" s="23" t="str">
        <f aca="false">'Biaya Bulanan'!$E$37</f>
        <v>Pekanbaru</v>
      </c>
      <c r="E17" s="23" t="str">
        <f aca="false">'Biaya Bulanan'!$H$37</f>
        <v>Kantor</v>
      </c>
      <c r="F17" s="23" t="n">
        <f aca="false">'Biaya Bulanan'!$V$37</f>
        <v>0</v>
      </c>
      <c r="G17" s="23" t="n">
        <f aca="false">'Biaya Bulanan'!$W$37</f>
        <v>1</v>
      </c>
      <c r="H17" s="23" t="n">
        <f aca="false">'Biaya Bulanan'!$X$37</f>
        <v>1</v>
      </c>
      <c r="I17" s="23" t="n">
        <f aca="false">'Biaya Bulanan'!$I$37</f>
        <v>6</v>
      </c>
      <c r="J17" s="46" t="n">
        <f aca="false">(($C17*(1+-0.2))*(1+Tunjangan_Pct))*(1+IF($E17="Lapangan",Tarif_JKK_Lapangan,Tarif_JKK_Kantor)+Tarif_JKM+Tarif_JHT+Tarif_THR)+MIN((($C17*(1+-0.2))*(1+Tunjangan_Pct)),Plafon_JP)*Tarif_JP+MIN(MAX((($C17*(1+-0.2))*(1+Tunjangan_Pct)),IF($D17="Padang",UMP_Padang,UMK_Pekanbaru)),Plafon_JKN)*Tarif_JKN</f>
        <v>10460560</v>
      </c>
      <c r="K17" s="46" t="n">
        <f aca="false">(($C17*(1+-0.1))*(1+Tunjangan_Pct))*(1+IF($E17="Lapangan",Tarif_JKK_Lapangan,Tarif_JKK_Kantor)+Tarif_JKM+Tarif_JHT+Tarif_THR)+MIN((($C17*(1+-0.1))*(1+Tunjangan_Pct)),Plafon_JP)*Tarif_JP+MIN(MAX((($C17*(1+-0.1))*(1+Tunjangan_Pct)),IF($D17="Padang",UMP_Padang,UMK_Pekanbaru)),Plafon_JKN)*Tarif_JKN</f>
        <v>11768130</v>
      </c>
      <c r="L17" s="46" t="n">
        <f aca="false">(($C17*(1+0))*(1+Tunjangan_Pct))*(1+IF($E17="Lapangan",Tarif_JKK_Lapangan,Tarif_JKK_Kantor)+Tarif_JKM+Tarif_JHT+Tarif_THR)+MIN((($C17*(1+0))*(1+Tunjangan_Pct)),Plafon_JP)*Tarif_JP+MIN(MAX((($C17*(1+0))*(1+Tunjangan_Pct)),IF($D17="Padang",UMP_Padang,UMK_Pekanbaru)),Plafon_JKN)*Tarif_JKN</f>
        <v>13075700</v>
      </c>
      <c r="M17" s="46" t="n">
        <f aca="false">(($C17*(1+0.1))*(1+Tunjangan_Pct))*(1+IF($E17="Lapangan",Tarif_JKK_Lapangan,Tarif_JKK_Kantor)+Tarif_JKM+Tarif_JHT+Tarif_THR)+MIN((($C17*(1+0.1))*(1+Tunjangan_Pct)),Plafon_JP)*Tarif_JP+MIN(MAX((($C17*(1+0.1))*(1+Tunjangan_Pct)),IF($D17="Padang",UMP_Padang,UMK_Pekanbaru)),Plafon_JKN)*Tarif_JKN</f>
        <v>14358996</v>
      </c>
      <c r="N17" s="46" t="n">
        <f aca="false">(($C17*(1+0.2))*(1+Tunjangan_Pct))*(1+IF($E17="Lapangan",Tarif_JKK_Lapangan,Tarif_JKK_Kantor)+Tarif_JKM+Tarif_JHT+Tarif_THR)+MIN((($C17*(1+0.2))*(1+Tunjangan_Pct)),Plafon_JP)*Tarif_JP+MIN(MAX((($C17*(1+0.2))*(1+Tunjangan_Pct)),IF($D17="Padang",UMP_Padang,UMK_Pekanbaru)),Plafon_JKN)*Tarif_JKN</f>
        <v>15600566</v>
      </c>
      <c r="O17" s="47" t="n">
        <f aca="false">$F17*MAX(0,MIN(3,4-MAX(1,$I17+-3)))+$G17*MAX(0,MIN(9,13-MAX(MAX(1,$I17+-3),4)))</f>
        <v>9</v>
      </c>
      <c r="P17" s="47" t="n">
        <f aca="false">$F17*MAX(0,MIN(3,4-MAX(1,$I17+-2)))+$G17*MAX(0,MIN(9,13-MAX(MAX(1,$I17+-2),4)))</f>
        <v>9</v>
      </c>
      <c r="Q17" s="47" t="n">
        <f aca="false">$F17*MAX(0,MIN(3,4-MAX(1,$I17+-1)))+$G17*MAX(0,MIN(9,13-MAX(MAX(1,$I17+-1),4)))</f>
        <v>8</v>
      </c>
      <c r="R17" s="47" t="n">
        <f aca="false">$F17*MAX(0,MIN(3,4-MAX(1,$I17+0)))+$G17*MAX(0,MIN(9,13-MAX(MAX(1,$I17+0),4)))</f>
        <v>7</v>
      </c>
      <c r="S17" s="47" t="n">
        <f aca="false">$F17*MAX(0,MIN(3,4-MAX(1,$I17+1)))+$G17*MAX(0,MIN(9,13-MAX(MAX(1,$I17+1),4)))</f>
        <v>6</v>
      </c>
      <c r="T17" s="47" t="n">
        <f aca="false">$F17*MAX(0,MIN(3,4-MAX(1,$I17+2)))+$G17*MAX(0,MIN(9,13-MAX(MAX(1,$I17+2),4)))</f>
        <v>5</v>
      </c>
      <c r="U17" s="47" t="n">
        <f aca="false">$F17*MAX(0,MIN(3,4-MAX(1,$I17+3)))+$G17*MAX(0,MIN(9,13-MAX(MAX(1,$I17+3),4)))</f>
        <v>4</v>
      </c>
      <c r="V17" s="47" t="n">
        <f aca="false">O17+$H17*MAX(0,MIN(12,25-MAX(MAX(1,$I17+-3),13)))</f>
        <v>21</v>
      </c>
      <c r="W17" s="47" t="n">
        <f aca="false">P17+$H17*MAX(0,MIN(12,25-MAX(MAX(1,$I17+-2),13)))</f>
        <v>21</v>
      </c>
      <c r="X17" s="47" t="n">
        <f aca="false">Q17+$H17*MAX(0,MIN(12,25-MAX(MAX(1,$I17+-1),13)))</f>
        <v>20</v>
      </c>
      <c r="Y17" s="47" t="n">
        <f aca="false">R17+$H17*MAX(0,MIN(12,25-MAX(MAX(1,$I17+0),13)))</f>
        <v>19</v>
      </c>
      <c r="Z17" s="47" t="n">
        <f aca="false">S17+$H17*MAX(0,MIN(12,25-MAX(MAX(1,$I17+1),13)))</f>
        <v>18</v>
      </c>
      <c r="AA17" s="47" t="n">
        <f aca="false">T17+$H17*MAX(0,MIN(12,25-MAX(MAX(1,$I17+2),13)))</f>
        <v>17</v>
      </c>
      <c r="AB17" s="47" t="n">
        <f aca="false">U17+$H17*MAX(0,MIN(12,25-MAX(MAX(1,$I17+3),13)))</f>
        <v>16</v>
      </c>
    </row>
    <row r="18" customFormat="false" ht="15" hidden="false" customHeight="false" outlineLevel="0" collapsed="false">
      <c r="A18" s="18" t="n">
        <v>13</v>
      </c>
      <c r="B18" s="43" t="str">
        <f aca="false">'Biaya Bulanan'!$C$38</f>
        <v>QA Engineer - gelombang 2</v>
      </c>
      <c r="C18" s="54" t="n">
        <f aca="false">'Biaya Bulanan'!$K$38</f>
        <v>10000000</v>
      </c>
      <c r="D18" s="23" t="str">
        <f aca="false">'Biaya Bulanan'!$E$38</f>
        <v>Pekanbaru</v>
      </c>
      <c r="E18" s="23" t="str">
        <f aca="false">'Biaya Bulanan'!$H$38</f>
        <v>Kantor</v>
      </c>
      <c r="F18" s="23" t="n">
        <f aca="false">'Biaya Bulanan'!$V$38</f>
        <v>0</v>
      </c>
      <c r="G18" s="23" t="n">
        <f aca="false">'Biaya Bulanan'!$W$38</f>
        <v>0</v>
      </c>
      <c r="H18" s="23" t="n">
        <f aca="false">'Biaya Bulanan'!$X$38</f>
        <v>1</v>
      </c>
      <c r="I18" s="23" t="n">
        <f aca="false">'Biaya Bulanan'!$I$38</f>
        <v>15</v>
      </c>
      <c r="J18" s="46" t="n">
        <f aca="false">(($C18*(1+-0.2))*(1+Tunjangan_Pct))*(1+IF($E18="Lapangan",Tarif_JKK_Lapangan,Tarif_JKK_Kantor)+Tarif_JKM+Tarif_JHT+Tarif_THR)+MIN((($C18*(1+-0.2))*(1+Tunjangan_Pct)),Plafon_JP)*Tarif_JP+MIN(MAX((($C18*(1+-0.2))*(1+Tunjangan_Pct)),IF($D18="Padang",UMP_Padang,UMK_Pekanbaru)),Plafon_JKN)*Tarif_JKN</f>
        <v>10460560</v>
      </c>
      <c r="K18" s="46" t="n">
        <f aca="false">(($C18*(1+-0.1))*(1+Tunjangan_Pct))*(1+IF($E18="Lapangan",Tarif_JKK_Lapangan,Tarif_JKK_Kantor)+Tarif_JKM+Tarif_JHT+Tarif_THR)+MIN((($C18*(1+-0.1))*(1+Tunjangan_Pct)),Plafon_JP)*Tarif_JP+MIN(MAX((($C18*(1+-0.1))*(1+Tunjangan_Pct)),IF($D18="Padang",UMP_Padang,UMK_Pekanbaru)),Plafon_JKN)*Tarif_JKN</f>
        <v>11768130</v>
      </c>
      <c r="L18" s="46" t="n">
        <f aca="false">(($C18*(1+0))*(1+Tunjangan_Pct))*(1+IF($E18="Lapangan",Tarif_JKK_Lapangan,Tarif_JKK_Kantor)+Tarif_JKM+Tarif_JHT+Tarif_THR)+MIN((($C18*(1+0))*(1+Tunjangan_Pct)),Plafon_JP)*Tarif_JP+MIN(MAX((($C18*(1+0))*(1+Tunjangan_Pct)),IF($D18="Padang",UMP_Padang,UMK_Pekanbaru)),Plafon_JKN)*Tarif_JKN</f>
        <v>13075700</v>
      </c>
      <c r="M18" s="46" t="n">
        <f aca="false">(($C18*(1+0.1))*(1+Tunjangan_Pct))*(1+IF($E18="Lapangan",Tarif_JKK_Lapangan,Tarif_JKK_Kantor)+Tarif_JKM+Tarif_JHT+Tarif_THR)+MIN((($C18*(1+0.1))*(1+Tunjangan_Pct)),Plafon_JP)*Tarif_JP+MIN(MAX((($C18*(1+0.1))*(1+Tunjangan_Pct)),IF($D18="Padang",UMP_Padang,UMK_Pekanbaru)),Plafon_JKN)*Tarif_JKN</f>
        <v>14358996</v>
      </c>
      <c r="N18" s="46" t="n">
        <f aca="false">(($C18*(1+0.2))*(1+Tunjangan_Pct))*(1+IF($E18="Lapangan",Tarif_JKK_Lapangan,Tarif_JKK_Kantor)+Tarif_JKM+Tarif_JHT+Tarif_THR)+MIN((($C18*(1+0.2))*(1+Tunjangan_Pct)),Plafon_JP)*Tarif_JP+MIN(MAX((($C18*(1+0.2))*(1+Tunjangan_Pct)),IF($D18="Padang",UMP_Padang,UMK_Pekanbaru)),Plafon_JKN)*Tarif_JKN</f>
        <v>15600566</v>
      </c>
      <c r="O18" s="47" t="n">
        <f aca="false">$F18*MAX(0,MIN(3,4-MAX(1,$I18+-3)))+$G18*MAX(0,MIN(9,13-MAX(MAX(1,$I18+-3),4)))</f>
        <v>0</v>
      </c>
      <c r="P18" s="47" t="n">
        <f aca="false">$F18*MAX(0,MIN(3,4-MAX(1,$I18+-2)))+$G18*MAX(0,MIN(9,13-MAX(MAX(1,$I18+-2),4)))</f>
        <v>0</v>
      </c>
      <c r="Q18" s="47" t="n">
        <f aca="false">$F18*MAX(0,MIN(3,4-MAX(1,$I18+-1)))+$G18*MAX(0,MIN(9,13-MAX(MAX(1,$I18+-1),4)))</f>
        <v>0</v>
      </c>
      <c r="R18" s="47" t="n">
        <f aca="false">$F18*MAX(0,MIN(3,4-MAX(1,$I18+0)))+$G18*MAX(0,MIN(9,13-MAX(MAX(1,$I18+0),4)))</f>
        <v>0</v>
      </c>
      <c r="S18" s="47" t="n">
        <f aca="false">$F18*MAX(0,MIN(3,4-MAX(1,$I18+1)))+$G18*MAX(0,MIN(9,13-MAX(MAX(1,$I18+1),4)))</f>
        <v>0</v>
      </c>
      <c r="T18" s="47" t="n">
        <f aca="false">$F18*MAX(0,MIN(3,4-MAX(1,$I18+2)))+$G18*MAX(0,MIN(9,13-MAX(MAX(1,$I18+2),4)))</f>
        <v>0</v>
      </c>
      <c r="U18" s="47" t="n">
        <f aca="false">$F18*MAX(0,MIN(3,4-MAX(1,$I18+3)))+$G18*MAX(0,MIN(9,13-MAX(MAX(1,$I18+3),4)))</f>
        <v>0</v>
      </c>
      <c r="V18" s="47" t="n">
        <f aca="false">O18+$H18*MAX(0,MIN(12,25-MAX(MAX(1,$I18+-3),13)))</f>
        <v>12</v>
      </c>
      <c r="W18" s="47" t="n">
        <f aca="false">P18+$H18*MAX(0,MIN(12,25-MAX(MAX(1,$I18+-2),13)))</f>
        <v>12</v>
      </c>
      <c r="X18" s="47" t="n">
        <f aca="false">Q18+$H18*MAX(0,MIN(12,25-MAX(MAX(1,$I18+-1),13)))</f>
        <v>11</v>
      </c>
      <c r="Y18" s="47" t="n">
        <f aca="false">R18+$H18*MAX(0,MIN(12,25-MAX(MAX(1,$I18+0),13)))</f>
        <v>10</v>
      </c>
      <c r="Z18" s="47" t="n">
        <f aca="false">S18+$H18*MAX(0,MIN(12,25-MAX(MAX(1,$I18+1),13)))</f>
        <v>9</v>
      </c>
      <c r="AA18" s="47" t="n">
        <f aca="false">T18+$H18*MAX(0,MIN(12,25-MAX(MAX(1,$I18+2),13)))</f>
        <v>8</v>
      </c>
      <c r="AB18" s="47" t="n">
        <f aca="false">U18+$H18*MAX(0,MIN(12,25-MAX(MAX(1,$I18+3),13)))</f>
        <v>7</v>
      </c>
    </row>
    <row r="19" customFormat="false" ht="15" hidden="false" customHeight="false" outlineLevel="0" collapsed="false">
      <c r="A19" s="18" t="n">
        <v>14</v>
      </c>
      <c r="B19" s="43" t="str">
        <f aca="false">'Biaya Bulanan'!$C$39</f>
        <v>Junior Software Engineer</v>
      </c>
      <c r="C19" s="54" t="n">
        <f aca="false">'Biaya Bulanan'!$K$39</f>
        <v>7500000</v>
      </c>
      <c r="D19" s="23" t="str">
        <f aca="false">'Biaya Bulanan'!$E$39</f>
        <v>Pekanbaru</v>
      </c>
      <c r="E19" s="23" t="str">
        <f aca="false">'Biaya Bulanan'!$H$39</f>
        <v>Kantor</v>
      </c>
      <c r="F19" s="23" t="n">
        <f aca="false">'Biaya Bulanan'!$V$39</f>
        <v>0</v>
      </c>
      <c r="G19" s="23" t="n">
        <f aca="false">'Biaya Bulanan'!$W$39</f>
        <v>0</v>
      </c>
      <c r="H19" s="23" t="n">
        <f aca="false">'Biaya Bulanan'!$X$39</f>
        <v>1</v>
      </c>
      <c r="I19" s="23" t="n">
        <f aca="false">'Biaya Bulanan'!$I$39</f>
        <v>16</v>
      </c>
      <c r="J19" s="46" t="n">
        <f aca="false">(($C19*(1+-0.2))*(1+Tunjangan_Pct))*(1+IF($E19="Lapangan",Tarif_JKK_Lapangan,Tarif_JKK_Kantor)+Tarif_JKM+Tarif_JHT+Tarif_THR)+MIN((($C19*(1+-0.2))*(1+Tunjangan_Pct)),Plafon_JP)*Tarif_JP+MIN(MAX((($C19*(1+-0.2))*(1+Tunjangan_Pct)),IF($D19="Padang",UMP_Padang,UMK_Pekanbaru)),Plafon_JKN)*Tarif_JKN</f>
        <v>7845420</v>
      </c>
      <c r="K19" s="46" t="n">
        <f aca="false">(($C19*(1+-0.1))*(1+Tunjangan_Pct))*(1+IF($E19="Lapangan",Tarif_JKK_Lapangan,Tarif_JKK_Kantor)+Tarif_JKM+Tarif_JHT+Tarif_THR)+MIN((($C19*(1+-0.1))*(1+Tunjangan_Pct)),Plafon_JP)*Tarif_JP+MIN(MAX((($C19*(1+-0.1))*(1+Tunjangan_Pct)),IF($D19="Padang",UMP_Padang,UMK_Pekanbaru)),Plafon_JKN)*Tarif_JKN</f>
        <v>8826097.5</v>
      </c>
      <c r="L19" s="46" t="n">
        <f aca="false">(($C19*(1+0))*(1+Tunjangan_Pct))*(1+IF($E19="Lapangan",Tarif_JKK_Lapangan,Tarif_JKK_Kantor)+Tarif_JKM+Tarif_JHT+Tarif_THR)+MIN((($C19*(1+0))*(1+Tunjangan_Pct)),Plafon_JP)*Tarif_JP+MIN(MAX((($C19*(1+0))*(1+Tunjangan_Pct)),IF($D19="Padang",UMP_Padang,UMK_Pekanbaru)),Plafon_JKN)*Tarif_JKN</f>
        <v>9806775</v>
      </c>
      <c r="M19" s="46" t="n">
        <f aca="false">(($C19*(1+0.1))*(1+Tunjangan_Pct))*(1+IF($E19="Lapangan",Tarif_JKK_Lapangan,Tarif_JKK_Kantor)+Tarif_JKM+Tarif_JHT+Tarif_THR)+MIN((($C19*(1+0.1))*(1+Tunjangan_Pct)),Plafon_JP)*Tarif_JP+MIN(MAX((($C19*(1+0.1))*(1+Tunjangan_Pct)),IF($D19="Padang",UMP_Padang,UMK_Pekanbaru)),Plafon_JKN)*Tarif_JKN</f>
        <v>10787452.5</v>
      </c>
      <c r="N19" s="46" t="n">
        <f aca="false">(($C19*(1+0.2))*(1+Tunjangan_Pct))*(1+IF($E19="Lapangan",Tarif_JKK_Lapangan,Tarif_JKK_Kantor)+Tarif_JKM+Tarif_JHT+Tarif_THR)+MIN((($C19*(1+0.2))*(1+Tunjangan_Pct)),Plafon_JP)*Tarif_JP+MIN(MAX((($C19*(1+0.2))*(1+Tunjangan_Pct)),IF($D19="Padang",UMP_Padang,UMK_Pekanbaru)),Plafon_JKN)*Tarif_JKN</f>
        <v>11768130</v>
      </c>
      <c r="O19" s="47" t="n">
        <f aca="false">$F19*MAX(0,MIN(3,4-MAX(1,$I19+-3)))+$G19*MAX(0,MIN(9,13-MAX(MAX(1,$I19+-3),4)))</f>
        <v>0</v>
      </c>
      <c r="P19" s="47" t="n">
        <f aca="false">$F19*MAX(0,MIN(3,4-MAX(1,$I19+-2)))+$G19*MAX(0,MIN(9,13-MAX(MAX(1,$I19+-2),4)))</f>
        <v>0</v>
      </c>
      <c r="Q19" s="47" t="n">
        <f aca="false">$F19*MAX(0,MIN(3,4-MAX(1,$I19+-1)))+$G19*MAX(0,MIN(9,13-MAX(MAX(1,$I19+-1),4)))</f>
        <v>0</v>
      </c>
      <c r="R19" s="47" t="n">
        <f aca="false">$F19*MAX(0,MIN(3,4-MAX(1,$I19+0)))+$G19*MAX(0,MIN(9,13-MAX(MAX(1,$I19+0),4)))</f>
        <v>0</v>
      </c>
      <c r="S19" s="47" t="n">
        <f aca="false">$F19*MAX(0,MIN(3,4-MAX(1,$I19+1)))+$G19*MAX(0,MIN(9,13-MAX(MAX(1,$I19+1),4)))</f>
        <v>0</v>
      </c>
      <c r="T19" s="47" t="n">
        <f aca="false">$F19*MAX(0,MIN(3,4-MAX(1,$I19+2)))+$G19*MAX(0,MIN(9,13-MAX(MAX(1,$I19+2),4)))</f>
        <v>0</v>
      </c>
      <c r="U19" s="47" t="n">
        <f aca="false">$F19*MAX(0,MIN(3,4-MAX(1,$I19+3)))+$G19*MAX(0,MIN(9,13-MAX(MAX(1,$I19+3),4)))</f>
        <v>0</v>
      </c>
      <c r="V19" s="47" t="n">
        <f aca="false">O19+$H19*MAX(0,MIN(12,25-MAX(MAX(1,$I19+-3),13)))</f>
        <v>12</v>
      </c>
      <c r="W19" s="47" t="n">
        <f aca="false">P19+$H19*MAX(0,MIN(12,25-MAX(MAX(1,$I19+-2),13)))</f>
        <v>11</v>
      </c>
      <c r="X19" s="47" t="n">
        <f aca="false">Q19+$H19*MAX(0,MIN(12,25-MAX(MAX(1,$I19+-1),13)))</f>
        <v>10</v>
      </c>
      <c r="Y19" s="47" t="n">
        <f aca="false">R19+$H19*MAX(0,MIN(12,25-MAX(MAX(1,$I19+0),13)))</f>
        <v>9</v>
      </c>
      <c r="Z19" s="47" t="n">
        <f aca="false">S19+$H19*MAX(0,MIN(12,25-MAX(MAX(1,$I19+1),13)))</f>
        <v>8</v>
      </c>
      <c r="AA19" s="47" t="n">
        <f aca="false">T19+$H19*MAX(0,MIN(12,25-MAX(MAX(1,$I19+2),13)))</f>
        <v>7</v>
      </c>
      <c r="AB19" s="47" t="n">
        <f aca="false">U19+$H19*MAX(0,MIN(12,25-MAX(MAX(1,$I19+3),13)))</f>
        <v>6</v>
      </c>
    </row>
    <row r="20" customFormat="false" ht="15" hidden="false" customHeight="false" outlineLevel="0" collapsed="false">
      <c r="A20" s="18" t="n">
        <v>15</v>
      </c>
      <c r="B20" s="43" t="str">
        <f aca="false">'Biaya Bulanan'!$C$40</f>
        <v>Junior Software Engineer - Padang</v>
      </c>
      <c r="C20" s="54" t="n">
        <f aca="false">'Biaya Bulanan'!$K$40</f>
        <v>7000000</v>
      </c>
      <c r="D20" s="23" t="str">
        <f aca="false">'Biaya Bulanan'!$E$40</f>
        <v>Padang</v>
      </c>
      <c r="E20" s="23" t="str">
        <f aca="false">'Biaya Bulanan'!$H$40</f>
        <v>Kantor</v>
      </c>
      <c r="F20" s="23" t="n">
        <f aca="false">'Biaya Bulanan'!$V$40</f>
        <v>0</v>
      </c>
      <c r="G20" s="23" t="n">
        <f aca="false">'Biaya Bulanan'!$W$40</f>
        <v>0</v>
      </c>
      <c r="H20" s="23" t="n">
        <f aca="false">'Biaya Bulanan'!$X$40</f>
        <v>1</v>
      </c>
      <c r="I20" s="23" t="n">
        <f aca="false">'Biaya Bulanan'!$I$40</f>
        <v>18</v>
      </c>
      <c r="J20" s="46" t="n">
        <f aca="false">(($C20*(1+-0.2))*(1+Tunjangan_Pct))*(1+IF($E20="Lapangan",Tarif_JKK_Lapangan,Tarif_JKK_Kantor)+Tarif_JKM+Tarif_JHT+Tarif_THR)+MIN((($C20*(1+-0.2))*(1+Tunjangan_Pct)),Plafon_JP)*Tarif_JP+MIN(MAX((($C20*(1+-0.2))*(1+Tunjangan_Pct)),IF($D20="Padang",UMP_Padang,UMK_Pekanbaru)),Plafon_JKN)*Tarif_JKN</f>
        <v>7322392</v>
      </c>
      <c r="K20" s="46" t="n">
        <f aca="false">(($C20*(1+-0.1))*(1+Tunjangan_Pct))*(1+IF($E20="Lapangan",Tarif_JKK_Lapangan,Tarif_JKK_Kantor)+Tarif_JKM+Tarif_JHT+Tarif_THR)+MIN((($C20*(1+-0.1))*(1+Tunjangan_Pct)),Plafon_JP)*Tarif_JP+MIN(MAX((($C20*(1+-0.1))*(1+Tunjangan_Pct)),IF($D20="Padang",UMP_Padang,UMK_Pekanbaru)),Plafon_JKN)*Tarif_JKN</f>
        <v>8237691</v>
      </c>
      <c r="L20" s="46" t="n">
        <f aca="false">(($C20*(1+0))*(1+Tunjangan_Pct))*(1+IF($E20="Lapangan",Tarif_JKK_Lapangan,Tarif_JKK_Kantor)+Tarif_JKM+Tarif_JHT+Tarif_THR)+MIN((($C20*(1+0))*(1+Tunjangan_Pct)),Plafon_JP)*Tarif_JP+MIN(MAX((($C20*(1+0))*(1+Tunjangan_Pct)),IF($D20="Padang",UMP_Padang,UMK_Pekanbaru)),Plafon_JKN)*Tarif_JKN</f>
        <v>9152990</v>
      </c>
      <c r="M20" s="46" t="n">
        <f aca="false">(($C20*(1+0.1))*(1+Tunjangan_Pct))*(1+IF($E20="Lapangan",Tarif_JKK_Lapangan,Tarif_JKK_Kantor)+Tarif_JKM+Tarif_JHT+Tarif_THR)+MIN((($C20*(1+0.1))*(1+Tunjangan_Pct)),Plafon_JP)*Tarif_JP+MIN(MAX((($C20*(1+0.1))*(1+Tunjangan_Pct)),IF($D20="Padang",UMP_Padang,UMK_Pekanbaru)),Plafon_JKN)*Tarif_JKN</f>
        <v>10068289</v>
      </c>
      <c r="N20" s="46" t="n">
        <f aca="false">(($C20*(1+0.2))*(1+Tunjangan_Pct))*(1+IF($E20="Lapangan",Tarif_JKK_Lapangan,Tarif_JKK_Kantor)+Tarif_JKM+Tarif_JHT+Tarif_THR)+MIN((($C20*(1+0.2))*(1+Tunjangan_Pct)),Plafon_JP)*Tarif_JP+MIN(MAX((($C20*(1+0.2))*(1+Tunjangan_Pct)),IF($D20="Padang",UMP_Padang,UMK_Pekanbaru)),Plafon_JKN)*Tarif_JKN</f>
        <v>10983588</v>
      </c>
      <c r="O20" s="47" t="n">
        <f aca="false">$F20*MAX(0,MIN(3,4-MAX(1,$I20+-3)))+$G20*MAX(0,MIN(9,13-MAX(MAX(1,$I20+-3),4)))</f>
        <v>0</v>
      </c>
      <c r="P20" s="47" t="n">
        <f aca="false">$F20*MAX(0,MIN(3,4-MAX(1,$I20+-2)))+$G20*MAX(0,MIN(9,13-MAX(MAX(1,$I20+-2),4)))</f>
        <v>0</v>
      </c>
      <c r="Q20" s="47" t="n">
        <f aca="false">$F20*MAX(0,MIN(3,4-MAX(1,$I20+-1)))+$G20*MAX(0,MIN(9,13-MAX(MAX(1,$I20+-1),4)))</f>
        <v>0</v>
      </c>
      <c r="R20" s="47" t="n">
        <f aca="false">$F20*MAX(0,MIN(3,4-MAX(1,$I20+0)))+$G20*MAX(0,MIN(9,13-MAX(MAX(1,$I20+0),4)))</f>
        <v>0</v>
      </c>
      <c r="S20" s="47" t="n">
        <f aca="false">$F20*MAX(0,MIN(3,4-MAX(1,$I20+1)))+$G20*MAX(0,MIN(9,13-MAX(MAX(1,$I20+1),4)))</f>
        <v>0</v>
      </c>
      <c r="T20" s="47" t="n">
        <f aca="false">$F20*MAX(0,MIN(3,4-MAX(1,$I20+2)))+$G20*MAX(0,MIN(9,13-MAX(MAX(1,$I20+2),4)))</f>
        <v>0</v>
      </c>
      <c r="U20" s="47" t="n">
        <f aca="false">$F20*MAX(0,MIN(3,4-MAX(1,$I20+3)))+$G20*MAX(0,MIN(9,13-MAX(MAX(1,$I20+3),4)))</f>
        <v>0</v>
      </c>
      <c r="V20" s="47" t="n">
        <f aca="false">O20+$H20*MAX(0,MIN(12,25-MAX(MAX(1,$I20+-3),13)))</f>
        <v>10</v>
      </c>
      <c r="W20" s="47" t="n">
        <f aca="false">P20+$H20*MAX(0,MIN(12,25-MAX(MAX(1,$I20+-2),13)))</f>
        <v>9</v>
      </c>
      <c r="X20" s="47" t="n">
        <f aca="false">Q20+$H20*MAX(0,MIN(12,25-MAX(MAX(1,$I20+-1),13)))</f>
        <v>8</v>
      </c>
      <c r="Y20" s="47" t="n">
        <f aca="false">R20+$H20*MAX(0,MIN(12,25-MAX(MAX(1,$I20+0),13)))</f>
        <v>7</v>
      </c>
      <c r="Z20" s="47" t="n">
        <f aca="false">S20+$H20*MAX(0,MIN(12,25-MAX(MAX(1,$I20+1),13)))</f>
        <v>6</v>
      </c>
      <c r="AA20" s="47" t="n">
        <f aca="false">T20+$H20*MAX(0,MIN(12,25-MAX(MAX(1,$I20+2),13)))</f>
        <v>5</v>
      </c>
      <c r="AB20" s="47" t="n">
        <f aca="false">U20+$H20*MAX(0,MIN(12,25-MAX(MAX(1,$I20+3),13)))</f>
        <v>4</v>
      </c>
    </row>
    <row r="21" customFormat="false" ht="15" hidden="false" customHeight="false" outlineLevel="0" collapsed="false">
      <c r="A21" s="18" t="n">
        <v>16</v>
      </c>
      <c r="B21" s="43" t="str">
        <f aca="false">'Biaya Bulanan'!$C$41</f>
        <v>Product Designer (UI/UX)</v>
      </c>
      <c r="C21" s="54" t="n">
        <f aca="false">'Biaya Bulanan'!$K$41</f>
        <v>13000000</v>
      </c>
      <c r="D21" s="23" t="str">
        <f aca="false">'Biaya Bulanan'!$E$41</f>
        <v>Pekanbaru</v>
      </c>
      <c r="E21" s="23" t="str">
        <f aca="false">'Biaya Bulanan'!$H$41</f>
        <v>Kantor</v>
      </c>
      <c r="F21" s="23" t="n">
        <f aca="false">'Biaya Bulanan'!$V$41</f>
        <v>1</v>
      </c>
      <c r="G21" s="23" t="n">
        <f aca="false">'Biaya Bulanan'!$W$41</f>
        <v>1</v>
      </c>
      <c r="H21" s="23" t="n">
        <f aca="false">'Biaya Bulanan'!$X$41</f>
        <v>1</v>
      </c>
      <c r="I21" s="23" t="n">
        <f aca="false">'Biaya Bulanan'!$I$41</f>
        <v>2</v>
      </c>
      <c r="J21" s="46" t="n">
        <f aca="false">(($C21*(1+-0.2))*(1+Tunjangan_Pct))*(1+IF($E21="Lapangan",Tarif_JKK_Lapangan,Tarif_JKK_Kantor)+Tarif_JKM+Tarif_JHT+Tarif_THR)+MIN((($C21*(1+-0.2))*(1+Tunjangan_Pct)),Plafon_JP)*Tarif_JP+MIN(MAX((($C21*(1+-0.2))*(1+Tunjangan_Pct)),IF($D21="Padang",UMP_Padang,UMK_Pekanbaru)),Plafon_JKN)*Tarif_JKN</f>
        <v>13591654</v>
      </c>
      <c r="K21" s="46" t="n">
        <f aca="false">(($C21*(1+-0.1))*(1+Tunjangan_Pct))*(1+IF($E21="Lapangan",Tarif_JKK_Lapangan,Tarif_JKK_Kantor)+Tarif_JKM+Tarif_JHT+Tarif_THR)+MIN((($C21*(1+-0.1))*(1+Tunjangan_Pct)),Plafon_JP)*Tarif_JP+MIN(MAX((($C21*(1+-0.1))*(1+Tunjangan_Pct)),IF($D21="Padang",UMP_Padang,UMK_Pekanbaru)),Plafon_JKN)*Tarif_JKN</f>
        <v>15228095</v>
      </c>
      <c r="L21" s="46" t="n">
        <f aca="false">(($C21*(1+0))*(1+Tunjangan_Pct))*(1+IF($E21="Lapangan",Tarif_JKK_Lapangan,Tarif_JKK_Kantor)+Tarif_JKM+Tarif_JHT+Tarif_THR)+MIN((($C21*(1+0))*(1+Tunjangan_Pct)),Plafon_JP)*Tarif_JP+MIN(MAX((($C21*(1+0))*(1+Tunjangan_Pct)),IF($D21="Padang",UMP_Padang,UMK_Pekanbaru)),Plafon_JKN)*Tarif_JKN</f>
        <v>16842136</v>
      </c>
      <c r="M21" s="46" t="n">
        <f aca="false">(($C21*(1+0.1))*(1+Tunjangan_Pct))*(1+IF($E21="Lapangan",Tarif_JKK_Lapangan,Tarif_JKK_Kantor)+Tarif_JKM+Tarif_JHT+Tarif_THR)+MIN((($C21*(1+0.1))*(1+Tunjangan_Pct)),Plafon_JP)*Tarif_JP+MIN(MAX((($C21*(1+0.1))*(1+Tunjangan_Pct)),IF($D21="Padang",UMP_Padang,UMK_Pekanbaru)),Plafon_JKN)*Tarif_JKN</f>
        <v>18456177</v>
      </c>
      <c r="N21" s="46" t="n">
        <f aca="false">(($C21*(1+0.2))*(1+Tunjangan_Pct))*(1+IF($E21="Lapangan",Tarif_JKK_Lapangan,Tarif_JKK_Kantor)+Tarif_JKM+Tarif_JHT+Tarif_THR)+MIN((($C21*(1+0.2))*(1+Tunjangan_Pct)),Plafon_JP)*Tarif_JP+MIN(MAX((($C21*(1+0.2))*(1+Tunjangan_Pct)),IF($D21="Padang",UMP_Padang,UMK_Pekanbaru)),Plafon_JKN)*Tarif_JKN</f>
        <v>20070218</v>
      </c>
      <c r="O21" s="47" t="n">
        <f aca="false">$F21*MAX(0,MIN(3,4-MAX(1,$I21+-3)))+$G21*MAX(0,MIN(9,13-MAX(MAX(1,$I21+-3),4)))</f>
        <v>12</v>
      </c>
      <c r="P21" s="47" t="n">
        <f aca="false">$F21*MAX(0,MIN(3,4-MAX(1,$I21+-2)))+$G21*MAX(0,MIN(9,13-MAX(MAX(1,$I21+-2),4)))</f>
        <v>12</v>
      </c>
      <c r="Q21" s="47" t="n">
        <f aca="false">$F21*MAX(0,MIN(3,4-MAX(1,$I21+-1)))+$G21*MAX(0,MIN(9,13-MAX(MAX(1,$I21+-1),4)))</f>
        <v>12</v>
      </c>
      <c r="R21" s="47" t="n">
        <f aca="false">$F21*MAX(0,MIN(3,4-MAX(1,$I21+0)))+$G21*MAX(0,MIN(9,13-MAX(MAX(1,$I21+0),4)))</f>
        <v>11</v>
      </c>
      <c r="S21" s="47" t="n">
        <f aca="false">$F21*MAX(0,MIN(3,4-MAX(1,$I21+1)))+$G21*MAX(0,MIN(9,13-MAX(MAX(1,$I21+1),4)))</f>
        <v>10</v>
      </c>
      <c r="T21" s="47" t="n">
        <f aca="false">$F21*MAX(0,MIN(3,4-MAX(1,$I21+2)))+$G21*MAX(0,MIN(9,13-MAX(MAX(1,$I21+2),4)))</f>
        <v>9</v>
      </c>
      <c r="U21" s="47" t="n">
        <f aca="false">$F21*MAX(0,MIN(3,4-MAX(1,$I21+3)))+$G21*MAX(0,MIN(9,13-MAX(MAX(1,$I21+3),4)))</f>
        <v>8</v>
      </c>
      <c r="V21" s="47" t="n">
        <f aca="false">O21+$H21*MAX(0,MIN(12,25-MAX(MAX(1,$I21+-3),13)))</f>
        <v>24</v>
      </c>
      <c r="W21" s="47" t="n">
        <f aca="false">P21+$H21*MAX(0,MIN(12,25-MAX(MAX(1,$I21+-2),13)))</f>
        <v>24</v>
      </c>
      <c r="X21" s="47" t="n">
        <f aca="false">Q21+$H21*MAX(0,MIN(12,25-MAX(MAX(1,$I21+-1),13)))</f>
        <v>24</v>
      </c>
      <c r="Y21" s="47" t="n">
        <f aca="false">R21+$H21*MAX(0,MIN(12,25-MAX(MAX(1,$I21+0),13)))</f>
        <v>23</v>
      </c>
      <c r="Z21" s="47" t="n">
        <f aca="false">S21+$H21*MAX(0,MIN(12,25-MAX(MAX(1,$I21+1),13)))</f>
        <v>22</v>
      </c>
      <c r="AA21" s="47" t="n">
        <f aca="false">T21+$H21*MAX(0,MIN(12,25-MAX(MAX(1,$I21+2),13)))</f>
        <v>21</v>
      </c>
      <c r="AB21" s="47" t="n">
        <f aca="false">U21+$H21*MAX(0,MIN(12,25-MAX(MAX(1,$I21+3),13)))</f>
        <v>20</v>
      </c>
    </row>
    <row r="22" customFormat="false" ht="15" hidden="false" customHeight="false" outlineLevel="0" collapsed="false">
      <c r="A22" s="18" t="n">
        <v>17</v>
      </c>
      <c r="B22" s="43" t="str">
        <f aca="false">'Biaya Bulanan'!$C$42</f>
        <v>Product Designer (UI/UX) - gelombang 2</v>
      </c>
      <c r="C22" s="54" t="n">
        <f aca="false">'Biaya Bulanan'!$K$42</f>
        <v>13000000</v>
      </c>
      <c r="D22" s="23" t="str">
        <f aca="false">'Biaya Bulanan'!$E$42</f>
        <v>Pekanbaru</v>
      </c>
      <c r="E22" s="23" t="str">
        <f aca="false">'Biaya Bulanan'!$H$42</f>
        <v>Kantor</v>
      </c>
      <c r="F22" s="23" t="n">
        <f aca="false">'Biaya Bulanan'!$V$42</f>
        <v>0</v>
      </c>
      <c r="G22" s="23" t="n">
        <f aca="false">'Biaya Bulanan'!$W$42</f>
        <v>0</v>
      </c>
      <c r="H22" s="23" t="n">
        <f aca="false">'Biaya Bulanan'!$X$42</f>
        <v>1</v>
      </c>
      <c r="I22" s="23" t="n">
        <f aca="false">'Biaya Bulanan'!$I$42</f>
        <v>17</v>
      </c>
      <c r="J22" s="46" t="n">
        <f aca="false">(($C22*(1+-0.2))*(1+Tunjangan_Pct))*(1+IF($E22="Lapangan",Tarif_JKK_Lapangan,Tarif_JKK_Kantor)+Tarif_JKM+Tarif_JHT+Tarif_THR)+MIN((($C22*(1+-0.2))*(1+Tunjangan_Pct)),Plafon_JP)*Tarif_JP+MIN(MAX((($C22*(1+-0.2))*(1+Tunjangan_Pct)),IF($D22="Padang",UMP_Padang,UMK_Pekanbaru)),Plafon_JKN)*Tarif_JKN</f>
        <v>13591654</v>
      </c>
      <c r="K22" s="46" t="n">
        <f aca="false">(($C22*(1+-0.1))*(1+Tunjangan_Pct))*(1+IF($E22="Lapangan",Tarif_JKK_Lapangan,Tarif_JKK_Kantor)+Tarif_JKM+Tarif_JHT+Tarif_THR)+MIN((($C22*(1+-0.1))*(1+Tunjangan_Pct)),Plafon_JP)*Tarif_JP+MIN(MAX((($C22*(1+-0.1))*(1+Tunjangan_Pct)),IF($D22="Padang",UMP_Padang,UMK_Pekanbaru)),Plafon_JKN)*Tarif_JKN</f>
        <v>15228095</v>
      </c>
      <c r="L22" s="46" t="n">
        <f aca="false">(($C22*(1+0))*(1+Tunjangan_Pct))*(1+IF($E22="Lapangan",Tarif_JKK_Lapangan,Tarif_JKK_Kantor)+Tarif_JKM+Tarif_JHT+Tarif_THR)+MIN((($C22*(1+0))*(1+Tunjangan_Pct)),Plafon_JP)*Tarif_JP+MIN(MAX((($C22*(1+0))*(1+Tunjangan_Pct)),IF($D22="Padang",UMP_Padang,UMK_Pekanbaru)),Plafon_JKN)*Tarif_JKN</f>
        <v>16842136</v>
      </c>
      <c r="M22" s="46" t="n">
        <f aca="false">(($C22*(1+0.1))*(1+Tunjangan_Pct))*(1+IF($E22="Lapangan",Tarif_JKK_Lapangan,Tarif_JKK_Kantor)+Tarif_JKM+Tarif_JHT+Tarif_THR)+MIN((($C22*(1+0.1))*(1+Tunjangan_Pct)),Plafon_JP)*Tarif_JP+MIN(MAX((($C22*(1+0.1))*(1+Tunjangan_Pct)),IF($D22="Padang",UMP_Padang,UMK_Pekanbaru)),Plafon_JKN)*Tarif_JKN</f>
        <v>18456177</v>
      </c>
      <c r="N22" s="46" t="n">
        <f aca="false">(($C22*(1+0.2))*(1+Tunjangan_Pct))*(1+IF($E22="Lapangan",Tarif_JKK_Lapangan,Tarif_JKK_Kantor)+Tarif_JKM+Tarif_JHT+Tarif_THR)+MIN((($C22*(1+0.2))*(1+Tunjangan_Pct)),Plafon_JP)*Tarif_JP+MIN(MAX((($C22*(1+0.2))*(1+Tunjangan_Pct)),IF($D22="Padang",UMP_Padang,UMK_Pekanbaru)),Plafon_JKN)*Tarif_JKN</f>
        <v>20070218</v>
      </c>
      <c r="O22" s="47" t="n">
        <f aca="false">$F22*MAX(0,MIN(3,4-MAX(1,$I22+-3)))+$G22*MAX(0,MIN(9,13-MAX(MAX(1,$I22+-3),4)))</f>
        <v>0</v>
      </c>
      <c r="P22" s="47" t="n">
        <f aca="false">$F22*MAX(0,MIN(3,4-MAX(1,$I22+-2)))+$G22*MAX(0,MIN(9,13-MAX(MAX(1,$I22+-2),4)))</f>
        <v>0</v>
      </c>
      <c r="Q22" s="47" t="n">
        <f aca="false">$F22*MAX(0,MIN(3,4-MAX(1,$I22+-1)))+$G22*MAX(0,MIN(9,13-MAX(MAX(1,$I22+-1),4)))</f>
        <v>0</v>
      </c>
      <c r="R22" s="47" t="n">
        <f aca="false">$F22*MAX(0,MIN(3,4-MAX(1,$I22+0)))+$G22*MAX(0,MIN(9,13-MAX(MAX(1,$I22+0),4)))</f>
        <v>0</v>
      </c>
      <c r="S22" s="47" t="n">
        <f aca="false">$F22*MAX(0,MIN(3,4-MAX(1,$I22+1)))+$G22*MAX(0,MIN(9,13-MAX(MAX(1,$I22+1),4)))</f>
        <v>0</v>
      </c>
      <c r="T22" s="47" t="n">
        <f aca="false">$F22*MAX(0,MIN(3,4-MAX(1,$I22+2)))+$G22*MAX(0,MIN(9,13-MAX(MAX(1,$I22+2),4)))</f>
        <v>0</v>
      </c>
      <c r="U22" s="47" t="n">
        <f aca="false">$F22*MAX(0,MIN(3,4-MAX(1,$I22+3)))+$G22*MAX(0,MIN(9,13-MAX(MAX(1,$I22+3),4)))</f>
        <v>0</v>
      </c>
      <c r="V22" s="47" t="n">
        <f aca="false">O22+$H22*MAX(0,MIN(12,25-MAX(MAX(1,$I22+-3),13)))</f>
        <v>11</v>
      </c>
      <c r="W22" s="47" t="n">
        <f aca="false">P22+$H22*MAX(0,MIN(12,25-MAX(MAX(1,$I22+-2),13)))</f>
        <v>10</v>
      </c>
      <c r="X22" s="47" t="n">
        <f aca="false">Q22+$H22*MAX(0,MIN(12,25-MAX(MAX(1,$I22+-1),13)))</f>
        <v>9</v>
      </c>
      <c r="Y22" s="47" t="n">
        <f aca="false">R22+$H22*MAX(0,MIN(12,25-MAX(MAX(1,$I22+0),13)))</f>
        <v>8</v>
      </c>
      <c r="Z22" s="47" t="n">
        <f aca="false">S22+$H22*MAX(0,MIN(12,25-MAX(MAX(1,$I22+1),13)))</f>
        <v>7</v>
      </c>
      <c r="AA22" s="47" t="n">
        <f aca="false">T22+$H22*MAX(0,MIN(12,25-MAX(MAX(1,$I22+2),13)))</f>
        <v>6</v>
      </c>
      <c r="AB22" s="47" t="n">
        <f aca="false">U22+$H22*MAX(0,MIN(12,25-MAX(MAX(1,$I22+3),13)))</f>
        <v>5</v>
      </c>
    </row>
    <row r="23" customFormat="false" ht="15" hidden="false" customHeight="false" outlineLevel="0" collapsed="false">
      <c r="A23" s="18" t="n">
        <v>18</v>
      </c>
      <c r="B23" s="43" t="str">
        <f aca="false">'Biaya Bulanan'!$C$43</f>
        <v>Data Analyst</v>
      </c>
      <c r="C23" s="54" t="n">
        <f aca="false">'Biaya Bulanan'!$K$43</f>
        <v>11500000</v>
      </c>
      <c r="D23" s="23" t="str">
        <f aca="false">'Biaya Bulanan'!$E$43</f>
        <v>Pekanbaru</v>
      </c>
      <c r="E23" s="23" t="str">
        <f aca="false">'Biaya Bulanan'!$H$43</f>
        <v>Kantor</v>
      </c>
      <c r="F23" s="23" t="n">
        <f aca="false">'Biaya Bulanan'!$V$43</f>
        <v>0</v>
      </c>
      <c r="G23" s="23" t="n">
        <f aca="false">'Biaya Bulanan'!$W$43</f>
        <v>0</v>
      </c>
      <c r="H23" s="23" t="n">
        <f aca="false">'Biaya Bulanan'!$X$43</f>
        <v>1</v>
      </c>
      <c r="I23" s="23" t="n">
        <f aca="false">'Biaya Bulanan'!$I$43</f>
        <v>13</v>
      </c>
      <c r="J23" s="46" t="n">
        <f aca="false">(($C23*(1+-0.2))*(1+Tunjangan_Pct))*(1+IF($E23="Lapangan",Tarif_JKK_Lapangan,Tarif_JKK_Kantor)+Tarif_JKM+Tarif_JHT+Tarif_THR)+MIN((($C23*(1+-0.2))*(1+Tunjangan_Pct)),Plafon_JP)*Tarif_JP+MIN(MAX((($C23*(1+-0.2))*(1+Tunjangan_Pct)),IF($D23="Padang",UMP_Padang,UMK_Pekanbaru)),Plafon_JKN)*Tarif_JKN</f>
        <v>12029644</v>
      </c>
      <c r="K23" s="46" t="n">
        <f aca="false">(($C23*(1+-0.1))*(1+Tunjangan_Pct))*(1+IF($E23="Lapangan",Tarif_JKK_Lapangan,Tarif_JKK_Kantor)+Tarif_JKM+Tarif_JHT+Tarif_THR)+MIN((($C23*(1+-0.1))*(1+Tunjangan_Pct)),Plafon_JP)*Tarif_JP+MIN(MAX((($C23*(1+-0.1))*(1+Tunjangan_Pct)),IF($D23="Padang",UMP_Padang,UMK_Pekanbaru)),Plafon_JKN)*Tarif_JKN</f>
        <v>13527375.5</v>
      </c>
      <c r="L23" s="46" t="n">
        <f aca="false">(($C23*(1+0))*(1+Tunjangan_Pct))*(1+IF($E23="Lapangan",Tarif_JKK_Lapangan,Tarif_JKK_Kantor)+Tarif_JKM+Tarif_JHT+Tarif_THR)+MIN((($C23*(1+0))*(1+Tunjangan_Pct)),Plafon_JP)*Tarif_JP+MIN(MAX((($C23*(1+0))*(1+Tunjangan_Pct)),IF($D23="Padang",UMP_Padang,UMK_Pekanbaru)),Plafon_JKN)*Tarif_JKN</f>
        <v>14979781</v>
      </c>
      <c r="M23" s="46" t="n">
        <f aca="false">(($C23*(1+0.1))*(1+Tunjangan_Pct))*(1+IF($E23="Lapangan",Tarif_JKK_Lapangan,Tarif_JKK_Kantor)+Tarif_JKM+Tarif_JHT+Tarif_THR)+MIN((($C23*(1+0.1))*(1+Tunjangan_Pct)),Plafon_JP)*Tarif_JP+MIN(MAX((($C23*(1+0.1))*(1+Tunjangan_Pct)),IF($D23="Padang",UMP_Padang,UMK_Pekanbaru)),Plafon_JKN)*Tarif_JKN</f>
        <v>16407586.5</v>
      </c>
      <c r="N23" s="46" t="n">
        <f aca="false">(($C23*(1+0.2))*(1+Tunjangan_Pct))*(1+IF($E23="Lapangan",Tarif_JKK_Lapangan,Tarif_JKK_Kantor)+Tarif_JKM+Tarif_JHT+Tarif_THR)+MIN((($C23*(1+0.2))*(1+Tunjangan_Pct)),Plafon_JP)*Tarif_JP+MIN(MAX((($C23*(1+0.2))*(1+Tunjangan_Pct)),IF($D23="Padang",UMP_Padang,UMK_Pekanbaru)),Plafon_JKN)*Tarif_JKN</f>
        <v>17835392</v>
      </c>
      <c r="O23" s="47" t="n">
        <f aca="false">$F23*MAX(0,MIN(3,4-MAX(1,$I23+-3)))+$G23*MAX(0,MIN(9,13-MAX(MAX(1,$I23+-3),4)))</f>
        <v>0</v>
      </c>
      <c r="P23" s="47" t="n">
        <f aca="false">$F23*MAX(0,MIN(3,4-MAX(1,$I23+-2)))+$G23*MAX(0,MIN(9,13-MAX(MAX(1,$I23+-2),4)))</f>
        <v>0</v>
      </c>
      <c r="Q23" s="47" t="n">
        <f aca="false">$F23*MAX(0,MIN(3,4-MAX(1,$I23+-1)))+$G23*MAX(0,MIN(9,13-MAX(MAX(1,$I23+-1),4)))</f>
        <v>0</v>
      </c>
      <c r="R23" s="47" t="n">
        <f aca="false">$F23*MAX(0,MIN(3,4-MAX(1,$I23+0)))+$G23*MAX(0,MIN(9,13-MAX(MAX(1,$I23+0),4)))</f>
        <v>0</v>
      </c>
      <c r="S23" s="47" t="n">
        <f aca="false">$F23*MAX(0,MIN(3,4-MAX(1,$I23+1)))+$G23*MAX(0,MIN(9,13-MAX(MAX(1,$I23+1),4)))</f>
        <v>0</v>
      </c>
      <c r="T23" s="47" t="n">
        <f aca="false">$F23*MAX(0,MIN(3,4-MAX(1,$I23+2)))+$G23*MAX(0,MIN(9,13-MAX(MAX(1,$I23+2),4)))</f>
        <v>0</v>
      </c>
      <c r="U23" s="47" t="n">
        <f aca="false">$F23*MAX(0,MIN(3,4-MAX(1,$I23+3)))+$G23*MAX(0,MIN(9,13-MAX(MAX(1,$I23+3),4)))</f>
        <v>0</v>
      </c>
      <c r="V23" s="47" t="n">
        <f aca="false">O23+$H23*MAX(0,MIN(12,25-MAX(MAX(1,$I23+-3),13)))</f>
        <v>12</v>
      </c>
      <c r="W23" s="47" t="n">
        <f aca="false">P23+$H23*MAX(0,MIN(12,25-MAX(MAX(1,$I23+-2),13)))</f>
        <v>12</v>
      </c>
      <c r="X23" s="47" t="n">
        <f aca="false">Q23+$H23*MAX(0,MIN(12,25-MAX(MAX(1,$I23+-1),13)))</f>
        <v>12</v>
      </c>
      <c r="Y23" s="47" t="n">
        <f aca="false">R23+$H23*MAX(0,MIN(12,25-MAX(MAX(1,$I23+0),13)))</f>
        <v>12</v>
      </c>
      <c r="Z23" s="47" t="n">
        <f aca="false">S23+$H23*MAX(0,MIN(12,25-MAX(MAX(1,$I23+1),13)))</f>
        <v>11</v>
      </c>
      <c r="AA23" s="47" t="n">
        <f aca="false">T23+$H23*MAX(0,MIN(12,25-MAX(MAX(1,$I23+2),13)))</f>
        <v>10</v>
      </c>
      <c r="AB23" s="47" t="n">
        <f aca="false">U23+$H23*MAX(0,MIN(12,25-MAX(MAX(1,$I23+3),13)))</f>
        <v>9</v>
      </c>
    </row>
    <row r="24" customFormat="false" ht="15" hidden="false" customHeight="false" outlineLevel="0" collapsed="false">
      <c r="A24" s="18" t="n">
        <v>19</v>
      </c>
      <c r="B24" s="43" t="str">
        <f aca="false">'Biaya Bulanan'!$C$44</f>
        <v>Direktur Operasi (COO)</v>
      </c>
      <c r="C24" s="54" t="n">
        <f aca="false">'Biaya Bulanan'!$K$44</f>
        <v>20000000</v>
      </c>
      <c r="D24" s="23" t="str">
        <f aca="false">'Biaya Bulanan'!$E$44</f>
        <v>Pekanbaru</v>
      </c>
      <c r="E24" s="23" t="str">
        <f aca="false">'Biaya Bulanan'!$H$44</f>
        <v>Kantor</v>
      </c>
      <c r="F24" s="23" t="n">
        <f aca="false">'Biaya Bulanan'!$V$44</f>
        <v>1</v>
      </c>
      <c r="G24" s="23" t="n">
        <f aca="false">'Biaya Bulanan'!$W$44</f>
        <v>1</v>
      </c>
      <c r="H24" s="23" t="n">
        <f aca="false">'Biaya Bulanan'!$X$44</f>
        <v>1</v>
      </c>
      <c r="I24" s="23" t="n">
        <f aca="false">'Biaya Bulanan'!$I$44</f>
        <v>1</v>
      </c>
      <c r="J24" s="46" t="n">
        <f aca="false">(($C24*(1+-0.2))*(1+Tunjangan_Pct))*(1+IF($E24="Lapangan",Tarif_JKK_Lapangan,Tarif_JKK_Kantor)+Tarif_JKM+Tarif_JHT+Tarif_THR)+MIN((($C24*(1+-0.2))*(1+Tunjangan_Pct)),Plafon_JP)*Tarif_JP+MIN(MAX((($C24*(1+-0.2))*(1+Tunjangan_Pct)),IF($D24="Padang",UMP_Padang,UMK_Pekanbaru)),Plafon_JKN)*Tarif_JKN</f>
        <v>20566846</v>
      </c>
      <c r="K24" s="46" t="n">
        <f aca="false">(($C24*(1+-0.1))*(1+Tunjangan_Pct))*(1+IF($E24="Lapangan",Tarif_JKK_Lapangan,Tarif_JKK_Kantor)+Tarif_JKM+Tarif_JHT+Tarif_THR)+MIN((($C24*(1+-0.1))*(1+Tunjangan_Pct)),Plafon_JP)*Tarif_JP+MIN(MAX((($C24*(1+-0.1))*(1+Tunjangan_Pct)),IF($D24="Padang",UMP_Padang,UMK_Pekanbaru)),Plafon_JKN)*Tarif_JKN</f>
        <v>23049986</v>
      </c>
      <c r="L24" s="46" t="n">
        <f aca="false">(($C24*(1+0))*(1+Tunjangan_Pct))*(1+IF($E24="Lapangan",Tarif_JKK_Lapangan,Tarif_JKK_Kantor)+Tarif_JKM+Tarif_JHT+Tarif_THR)+MIN((($C24*(1+0))*(1+Tunjangan_Pct)),Plafon_JP)*Tarif_JP+MIN(MAX((($C24*(1+0))*(1+Tunjangan_Pct)),IF($D24="Padang",UMP_Padang,UMK_Pekanbaru)),Plafon_JKN)*Tarif_JKN</f>
        <v>25533126</v>
      </c>
      <c r="M24" s="46" t="n">
        <f aca="false">(($C24*(1+0.1))*(1+Tunjangan_Pct))*(1+IF($E24="Lapangan",Tarif_JKK_Lapangan,Tarif_JKK_Kantor)+Tarif_JKM+Tarif_JHT+Tarif_THR)+MIN((($C24*(1+0.1))*(1+Tunjangan_Pct)),Plafon_JP)*Tarif_JP+MIN(MAX((($C24*(1+0.1))*(1+Tunjangan_Pct)),IF($D24="Padang",UMP_Padang,UMK_Pekanbaru)),Plafon_JKN)*Tarif_JKN</f>
        <v>28016266</v>
      </c>
      <c r="N24" s="46" t="n">
        <f aca="false">(($C24*(1+0.2))*(1+Tunjangan_Pct))*(1+IF($E24="Lapangan",Tarif_JKK_Lapangan,Tarif_JKK_Kantor)+Tarif_JKM+Tarif_JHT+Tarif_THR)+MIN((($C24*(1+0.2))*(1+Tunjangan_Pct)),Plafon_JP)*Tarif_JP+MIN(MAX((($C24*(1+0.2))*(1+Tunjangan_Pct)),IF($D24="Padang",UMP_Padang,UMK_Pekanbaru)),Plafon_JKN)*Tarif_JKN</f>
        <v>30499406</v>
      </c>
      <c r="O24" s="47" t="n">
        <f aca="false">$F24*MAX(0,MIN(3,4-MAX(1,$I24+-3)))+$G24*MAX(0,MIN(9,13-MAX(MAX(1,$I24+-3),4)))</f>
        <v>12</v>
      </c>
      <c r="P24" s="47" t="n">
        <f aca="false">$F24*MAX(0,MIN(3,4-MAX(1,$I24+-2)))+$G24*MAX(0,MIN(9,13-MAX(MAX(1,$I24+-2),4)))</f>
        <v>12</v>
      </c>
      <c r="Q24" s="47" t="n">
        <f aca="false">$F24*MAX(0,MIN(3,4-MAX(1,$I24+-1)))+$G24*MAX(0,MIN(9,13-MAX(MAX(1,$I24+-1),4)))</f>
        <v>12</v>
      </c>
      <c r="R24" s="47" t="n">
        <f aca="false">$F24*MAX(0,MIN(3,4-MAX(1,$I24+0)))+$G24*MAX(0,MIN(9,13-MAX(MAX(1,$I24+0),4)))</f>
        <v>12</v>
      </c>
      <c r="S24" s="47" t="n">
        <f aca="false">$F24*MAX(0,MIN(3,4-MAX(1,$I24+1)))+$G24*MAX(0,MIN(9,13-MAX(MAX(1,$I24+1),4)))</f>
        <v>11</v>
      </c>
      <c r="T24" s="47" t="n">
        <f aca="false">$F24*MAX(0,MIN(3,4-MAX(1,$I24+2)))+$G24*MAX(0,MIN(9,13-MAX(MAX(1,$I24+2),4)))</f>
        <v>10</v>
      </c>
      <c r="U24" s="47" t="n">
        <f aca="false">$F24*MAX(0,MIN(3,4-MAX(1,$I24+3)))+$G24*MAX(0,MIN(9,13-MAX(MAX(1,$I24+3),4)))</f>
        <v>9</v>
      </c>
      <c r="V24" s="47" t="n">
        <f aca="false">O24+$H24*MAX(0,MIN(12,25-MAX(MAX(1,$I24+-3),13)))</f>
        <v>24</v>
      </c>
      <c r="W24" s="47" t="n">
        <f aca="false">P24+$H24*MAX(0,MIN(12,25-MAX(MAX(1,$I24+-2),13)))</f>
        <v>24</v>
      </c>
      <c r="X24" s="47" t="n">
        <f aca="false">Q24+$H24*MAX(0,MIN(12,25-MAX(MAX(1,$I24+-1),13)))</f>
        <v>24</v>
      </c>
      <c r="Y24" s="47" t="n">
        <f aca="false">R24+$H24*MAX(0,MIN(12,25-MAX(MAX(1,$I24+0),13)))</f>
        <v>24</v>
      </c>
      <c r="Z24" s="47" t="n">
        <f aca="false">S24+$H24*MAX(0,MIN(12,25-MAX(MAX(1,$I24+1),13)))</f>
        <v>23</v>
      </c>
      <c r="AA24" s="47" t="n">
        <f aca="false">T24+$H24*MAX(0,MIN(12,25-MAX(MAX(1,$I24+2),13)))</f>
        <v>22</v>
      </c>
      <c r="AB24" s="47" t="n">
        <f aca="false">U24+$H24*MAX(0,MIN(12,25-MAX(MAX(1,$I24+3),13)))</f>
        <v>21</v>
      </c>
    </row>
    <row r="25" customFormat="false" ht="15" hidden="false" customHeight="false" outlineLevel="0" collapsed="false">
      <c r="A25" s="18" t="n">
        <v>20</v>
      </c>
      <c r="B25" s="43" t="str">
        <f aca="false">'Biaya Bulanan'!$C$45</f>
        <v>City Manager Pekanbaru</v>
      </c>
      <c r="C25" s="54" t="n">
        <f aca="false">'Biaya Bulanan'!$K$45</f>
        <v>14000000</v>
      </c>
      <c r="D25" s="23" t="str">
        <f aca="false">'Biaya Bulanan'!$E$45</f>
        <v>Pekanbaru</v>
      </c>
      <c r="E25" s="23" t="str">
        <f aca="false">'Biaya Bulanan'!$H$45</f>
        <v>Lapangan</v>
      </c>
      <c r="F25" s="23" t="n">
        <f aca="false">'Biaya Bulanan'!$V$45</f>
        <v>1</v>
      </c>
      <c r="G25" s="23" t="n">
        <f aca="false">'Biaya Bulanan'!$W$45</f>
        <v>1</v>
      </c>
      <c r="H25" s="23" t="n">
        <f aca="false">'Biaya Bulanan'!$X$45</f>
        <v>1</v>
      </c>
      <c r="I25" s="23" t="n">
        <f aca="false">'Biaya Bulanan'!$I$45</f>
        <v>2</v>
      </c>
      <c r="J25" s="46" t="n">
        <f aca="false">(($C25*(1+-0.2))*(1+Tunjangan_Pct))*(1+IF($E25="Lapangan",Tarif_JKK_Lapangan,Tarif_JKK_Kantor)+Tarif_JKM+Tarif_JHT+Tarif_THR)+MIN((($C25*(1+-0.2))*(1+Tunjangan_Pct)),Plafon_JP)*Tarif_JP+MIN(MAX((($C25*(1+-0.2))*(1+Tunjangan_Pct)),IF($D25="Padang",UMP_Padang,UMK_Pekanbaru)),Plafon_JKN)*Tarif_JKN</f>
        <v>14650430</v>
      </c>
      <c r="K25" s="46" t="n">
        <f aca="false">(($C25*(1+-0.1))*(1+Tunjangan_Pct))*(1+IF($E25="Lapangan",Tarif_JKK_Lapangan,Tarif_JKK_Kantor)+Tarif_JKM+Tarif_JHT+Tarif_THR)+MIN((($C25*(1+-0.1))*(1+Tunjangan_Pct)),Plafon_JP)*Tarif_JP+MIN(MAX((($C25*(1+-0.1))*(1+Tunjangan_Pct)),IF($D25="Padang",UMP_Padang,UMK_Pekanbaru)),Plafon_JKN)*Tarif_JKN</f>
        <v>16394018</v>
      </c>
      <c r="L25" s="46" t="n">
        <f aca="false">(($C25*(1+0))*(1+Tunjangan_Pct))*(1+IF($E25="Lapangan",Tarif_JKK_Lapangan,Tarif_JKK_Kantor)+Tarif_JKM+Tarif_JHT+Tarif_THR)+MIN((($C25*(1+0))*(1+Tunjangan_Pct)),Plafon_JP)*Tarif_JP+MIN(MAX((($C25*(1+0))*(1+Tunjangan_Pct)),IF($D25="Padang",UMP_Padang,UMK_Pekanbaru)),Plafon_JKN)*Tarif_JKN</f>
        <v>18137606</v>
      </c>
      <c r="M25" s="46" t="n">
        <f aca="false">(($C25*(1+0.1))*(1+Tunjangan_Pct))*(1+IF($E25="Lapangan",Tarif_JKK_Lapangan,Tarif_JKK_Kantor)+Tarif_JKM+Tarif_JHT+Tarif_THR)+MIN((($C25*(1+0.1))*(1+Tunjangan_Pct)),Plafon_JP)*Tarif_JP+MIN(MAX((($C25*(1+0.1))*(1+Tunjangan_Pct)),IF($D25="Padang",UMP_Padang,UMK_Pekanbaru)),Plafon_JKN)*Tarif_JKN</f>
        <v>19881194</v>
      </c>
      <c r="N25" s="46" t="n">
        <f aca="false">(($C25*(1+0.2))*(1+Tunjangan_Pct))*(1+IF($E25="Lapangan",Tarif_JKK_Lapangan,Tarif_JKK_Kantor)+Tarif_JKM+Tarif_JHT+Tarif_THR)+MIN((($C25*(1+0.2))*(1+Tunjangan_Pct)),Plafon_JP)*Tarif_JP+MIN(MAX((($C25*(1+0.2))*(1+Tunjangan_Pct)),IF($D25="Padang",UMP_Padang,UMK_Pekanbaru)),Plafon_JKN)*Tarif_JKN</f>
        <v>21624782</v>
      </c>
      <c r="O25" s="47" t="n">
        <f aca="false">$F25*MAX(0,MIN(3,4-MAX(1,$I25+-3)))+$G25*MAX(0,MIN(9,13-MAX(MAX(1,$I25+-3),4)))</f>
        <v>12</v>
      </c>
      <c r="P25" s="47" t="n">
        <f aca="false">$F25*MAX(0,MIN(3,4-MAX(1,$I25+-2)))+$G25*MAX(0,MIN(9,13-MAX(MAX(1,$I25+-2),4)))</f>
        <v>12</v>
      </c>
      <c r="Q25" s="47" t="n">
        <f aca="false">$F25*MAX(0,MIN(3,4-MAX(1,$I25+-1)))+$G25*MAX(0,MIN(9,13-MAX(MAX(1,$I25+-1),4)))</f>
        <v>12</v>
      </c>
      <c r="R25" s="47" t="n">
        <f aca="false">$F25*MAX(0,MIN(3,4-MAX(1,$I25+0)))+$G25*MAX(0,MIN(9,13-MAX(MAX(1,$I25+0),4)))</f>
        <v>11</v>
      </c>
      <c r="S25" s="47" t="n">
        <f aca="false">$F25*MAX(0,MIN(3,4-MAX(1,$I25+1)))+$G25*MAX(0,MIN(9,13-MAX(MAX(1,$I25+1),4)))</f>
        <v>10</v>
      </c>
      <c r="T25" s="47" t="n">
        <f aca="false">$F25*MAX(0,MIN(3,4-MAX(1,$I25+2)))+$G25*MAX(0,MIN(9,13-MAX(MAX(1,$I25+2),4)))</f>
        <v>9</v>
      </c>
      <c r="U25" s="47" t="n">
        <f aca="false">$F25*MAX(0,MIN(3,4-MAX(1,$I25+3)))+$G25*MAX(0,MIN(9,13-MAX(MAX(1,$I25+3),4)))</f>
        <v>8</v>
      </c>
      <c r="V25" s="47" t="n">
        <f aca="false">O25+$H25*MAX(0,MIN(12,25-MAX(MAX(1,$I25+-3),13)))</f>
        <v>24</v>
      </c>
      <c r="W25" s="47" t="n">
        <f aca="false">P25+$H25*MAX(0,MIN(12,25-MAX(MAX(1,$I25+-2),13)))</f>
        <v>24</v>
      </c>
      <c r="X25" s="47" t="n">
        <f aca="false">Q25+$H25*MAX(0,MIN(12,25-MAX(MAX(1,$I25+-1),13)))</f>
        <v>24</v>
      </c>
      <c r="Y25" s="47" t="n">
        <f aca="false">R25+$H25*MAX(0,MIN(12,25-MAX(MAX(1,$I25+0),13)))</f>
        <v>23</v>
      </c>
      <c r="Z25" s="47" t="n">
        <f aca="false">S25+$H25*MAX(0,MIN(12,25-MAX(MAX(1,$I25+1),13)))</f>
        <v>22</v>
      </c>
      <c r="AA25" s="47" t="n">
        <f aca="false">T25+$H25*MAX(0,MIN(12,25-MAX(MAX(1,$I25+2),13)))</f>
        <v>21</v>
      </c>
      <c r="AB25" s="47" t="n">
        <f aca="false">U25+$H25*MAX(0,MIN(12,25-MAX(MAX(1,$I25+3),13)))</f>
        <v>20</v>
      </c>
    </row>
    <row r="26" customFormat="false" ht="15" hidden="false" customHeight="false" outlineLevel="0" collapsed="false">
      <c r="A26" s="18" t="n">
        <v>21</v>
      </c>
      <c r="B26" s="43" t="str">
        <f aca="false">'Biaya Bulanan'!$C$46</f>
        <v>Ops Supervisor Pekanbaru</v>
      </c>
      <c r="C26" s="54" t="n">
        <f aca="false">'Biaya Bulanan'!$K$46</f>
        <v>7500000</v>
      </c>
      <c r="D26" s="23" t="str">
        <f aca="false">'Biaya Bulanan'!$E$46</f>
        <v>Pekanbaru</v>
      </c>
      <c r="E26" s="23" t="str">
        <f aca="false">'Biaya Bulanan'!$H$46</f>
        <v>Lapangan</v>
      </c>
      <c r="F26" s="23" t="n">
        <f aca="false">'Biaya Bulanan'!$V$46</f>
        <v>0</v>
      </c>
      <c r="G26" s="23" t="n">
        <f aca="false">'Biaya Bulanan'!$W$46</f>
        <v>1</v>
      </c>
      <c r="H26" s="23" t="n">
        <f aca="false">'Biaya Bulanan'!$X$46</f>
        <v>1</v>
      </c>
      <c r="I26" s="23" t="n">
        <f aca="false">'Biaya Bulanan'!$I$46</f>
        <v>4</v>
      </c>
      <c r="J26" s="46" t="n">
        <f aca="false">(($C26*(1+-0.2))*(1+Tunjangan_Pct))*(1+IF($E26="Lapangan",Tarif_JKK_Lapangan,Tarif_JKK_Kantor)+Tarif_JKM+Tarif_JHT+Tarif_THR)+MIN((($C26*(1+-0.2))*(1+Tunjangan_Pct)),Plafon_JP)*Tarif_JP+MIN(MAX((($C26*(1+-0.2))*(1+Tunjangan_Pct)),IF($D26="Padang",UMP_Padang,UMK_Pekanbaru)),Plafon_JKN)*Tarif_JKN</f>
        <v>7868520</v>
      </c>
      <c r="K26" s="46" t="n">
        <f aca="false">(($C26*(1+-0.1))*(1+Tunjangan_Pct))*(1+IF($E26="Lapangan",Tarif_JKK_Lapangan,Tarif_JKK_Kantor)+Tarif_JKM+Tarif_JHT+Tarif_THR)+MIN((($C26*(1+-0.1))*(1+Tunjangan_Pct)),Plafon_JP)*Tarif_JP+MIN(MAX((($C26*(1+-0.1))*(1+Tunjangan_Pct)),IF($D26="Padang",UMP_Padang,UMK_Pekanbaru)),Plafon_JKN)*Tarif_JKN</f>
        <v>8852085</v>
      </c>
      <c r="L26" s="46" t="n">
        <f aca="false">(($C26*(1+0))*(1+Tunjangan_Pct))*(1+IF($E26="Lapangan",Tarif_JKK_Lapangan,Tarif_JKK_Kantor)+Tarif_JKM+Tarif_JHT+Tarif_THR)+MIN((($C26*(1+0))*(1+Tunjangan_Pct)),Plafon_JP)*Tarif_JP+MIN(MAX((($C26*(1+0))*(1+Tunjangan_Pct)),IF($D26="Padang",UMP_Padang,UMK_Pekanbaru)),Plafon_JKN)*Tarif_JKN</f>
        <v>9835650</v>
      </c>
      <c r="M26" s="46" t="n">
        <f aca="false">(($C26*(1+0.1))*(1+Tunjangan_Pct))*(1+IF($E26="Lapangan",Tarif_JKK_Lapangan,Tarif_JKK_Kantor)+Tarif_JKM+Tarif_JHT+Tarif_THR)+MIN((($C26*(1+0.1))*(1+Tunjangan_Pct)),Plafon_JP)*Tarif_JP+MIN(MAX((($C26*(1+0.1))*(1+Tunjangan_Pct)),IF($D26="Padang",UMP_Padang,UMK_Pekanbaru)),Plafon_JKN)*Tarif_JKN</f>
        <v>10819215</v>
      </c>
      <c r="N26" s="46" t="n">
        <f aca="false">(($C26*(1+0.2))*(1+Tunjangan_Pct))*(1+IF($E26="Lapangan",Tarif_JKK_Lapangan,Tarif_JKK_Kantor)+Tarif_JKM+Tarif_JHT+Tarif_THR)+MIN((($C26*(1+0.2))*(1+Tunjangan_Pct)),Plafon_JP)*Tarif_JP+MIN(MAX((($C26*(1+0.2))*(1+Tunjangan_Pct)),IF($D26="Padang",UMP_Padang,UMK_Pekanbaru)),Plafon_JKN)*Tarif_JKN</f>
        <v>11802780</v>
      </c>
      <c r="O26" s="47" t="n">
        <f aca="false">$F26*MAX(0,MIN(3,4-MAX(1,$I26+-3)))+$G26*MAX(0,MIN(9,13-MAX(MAX(1,$I26+-3),4)))</f>
        <v>9</v>
      </c>
      <c r="P26" s="47" t="n">
        <f aca="false">$F26*MAX(0,MIN(3,4-MAX(1,$I26+-2)))+$G26*MAX(0,MIN(9,13-MAX(MAX(1,$I26+-2),4)))</f>
        <v>9</v>
      </c>
      <c r="Q26" s="47" t="n">
        <f aca="false">$F26*MAX(0,MIN(3,4-MAX(1,$I26+-1)))+$G26*MAX(0,MIN(9,13-MAX(MAX(1,$I26+-1),4)))</f>
        <v>9</v>
      </c>
      <c r="R26" s="47" t="n">
        <f aca="false">$F26*MAX(0,MIN(3,4-MAX(1,$I26+0)))+$G26*MAX(0,MIN(9,13-MAX(MAX(1,$I26+0),4)))</f>
        <v>9</v>
      </c>
      <c r="S26" s="47" t="n">
        <f aca="false">$F26*MAX(0,MIN(3,4-MAX(1,$I26+1)))+$G26*MAX(0,MIN(9,13-MAX(MAX(1,$I26+1),4)))</f>
        <v>8</v>
      </c>
      <c r="T26" s="47" t="n">
        <f aca="false">$F26*MAX(0,MIN(3,4-MAX(1,$I26+2)))+$G26*MAX(0,MIN(9,13-MAX(MAX(1,$I26+2),4)))</f>
        <v>7</v>
      </c>
      <c r="U26" s="47" t="n">
        <f aca="false">$F26*MAX(0,MIN(3,4-MAX(1,$I26+3)))+$G26*MAX(0,MIN(9,13-MAX(MAX(1,$I26+3),4)))</f>
        <v>6</v>
      </c>
      <c r="V26" s="47" t="n">
        <f aca="false">O26+$H26*MAX(0,MIN(12,25-MAX(MAX(1,$I26+-3),13)))</f>
        <v>21</v>
      </c>
      <c r="W26" s="47" t="n">
        <f aca="false">P26+$H26*MAX(0,MIN(12,25-MAX(MAX(1,$I26+-2),13)))</f>
        <v>21</v>
      </c>
      <c r="X26" s="47" t="n">
        <f aca="false">Q26+$H26*MAX(0,MIN(12,25-MAX(MAX(1,$I26+-1),13)))</f>
        <v>21</v>
      </c>
      <c r="Y26" s="47" t="n">
        <f aca="false">R26+$H26*MAX(0,MIN(12,25-MAX(MAX(1,$I26+0),13)))</f>
        <v>21</v>
      </c>
      <c r="Z26" s="47" t="n">
        <f aca="false">S26+$H26*MAX(0,MIN(12,25-MAX(MAX(1,$I26+1),13)))</f>
        <v>20</v>
      </c>
      <c r="AA26" s="47" t="n">
        <f aca="false">T26+$H26*MAX(0,MIN(12,25-MAX(MAX(1,$I26+2),13)))</f>
        <v>19</v>
      </c>
      <c r="AB26" s="47" t="n">
        <f aca="false">U26+$H26*MAX(0,MIN(12,25-MAX(MAX(1,$I26+3),13)))</f>
        <v>18</v>
      </c>
    </row>
    <row r="27" customFormat="false" ht="15" hidden="false" customHeight="false" outlineLevel="0" collapsed="false">
      <c r="A27" s="18" t="n">
        <v>22</v>
      </c>
      <c r="B27" s="43" t="str">
        <f aca="false">'Biaya Bulanan'!$C$47</f>
        <v>Partner Acquisition Pekanbaru</v>
      </c>
      <c r="C27" s="54" t="n">
        <f aca="false">'Biaya Bulanan'!$K$47</f>
        <v>5250000</v>
      </c>
      <c r="D27" s="23" t="str">
        <f aca="false">'Biaya Bulanan'!$E$47</f>
        <v>Pekanbaru</v>
      </c>
      <c r="E27" s="23" t="str">
        <f aca="false">'Biaya Bulanan'!$H$47</f>
        <v>Lapangan</v>
      </c>
      <c r="F27" s="23" t="n">
        <f aca="false">'Biaya Bulanan'!$V$47</f>
        <v>0</v>
      </c>
      <c r="G27" s="23" t="n">
        <f aca="false">'Biaya Bulanan'!$W$47</f>
        <v>2</v>
      </c>
      <c r="H27" s="23" t="n">
        <f aca="false">'Biaya Bulanan'!$X$47</f>
        <v>2</v>
      </c>
      <c r="I27" s="23" t="n">
        <f aca="false">'Biaya Bulanan'!$I$47</f>
        <v>4</v>
      </c>
      <c r="J27" s="46" t="n">
        <f aca="false">(($C27*(1+-0.2))*(1+Tunjangan_Pct))*(1+IF($E27="Lapangan",Tarif_JKK_Lapangan,Tarif_JKK_Kantor)+Tarif_JKM+Tarif_JHT+Tarif_THR)+MIN((($C27*(1+-0.2))*(1+Tunjangan_Pct)),Plafon_JP)*Tarif_JP+MIN(MAX((($C27*(1+-0.2))*(1+Tunjangan_Pct)),IF($D27="Padang",UMP_Padang,UMK_Pekanbaru)),Plafon_JKN)*Tarif_JKN</f>
        <v>5507964</v>
      </c>
      <c r="K27" s="46" t="n">
        <f aca="false">(($C27*(1+-0.1))*(1+Tunjangan_Pct))*(1+IF($E27="Lapangan",Tarif_JKK_Lapangan,Tarif_JKK_Kantor)+Tarif_JKM+Tarif_JHT+Tarif_THR)+MIN((($C27*(1+-0.1))*(1+Tunjangan_Pct)),Plafon_JP)*Tarif_JP+MIN(MAX((($C27*(1+-0.1))*(1+Tunjangan_Pct)),IF($D27="Padang",UMP_Padang,UMK_Pekanbaru)),Plafon_JKN)*Tarif_JKN</f>
        <v>6196459.5</v>
      </c>
      <c r="L27" s="46" t="n">
        <f aca="false">(($C27*(1+0))*(1+Tunjangan_Pct))*(1+IF($E27="Lapangan",Tarif_JKK_Lapangan,Tarif_JKK_Kantor)+Tarif_JKM+Tarif_JHT+Tarif_THR)+MIN((($C27*(1+0))*(1+Tunjangan_Pct)),Plafon_JP)*Tarif_JP+MIN(MAX((($C27*(1+0))*(1+Tunjangan_Pct)),IF($D27="Padang",UMP_Padang,UMK_Pekanbaru)),Plafon_JKN)*Tarif_JKN</f>
        <v>6884955</v>
      </c>
      <c r="M27" s="46" t="n">
        <f aca="false">(($C27*(1+0.1))*(1+Tunjangan_Pct))*(1+IF($E27="Lapangan",Tarif_JKK_Lapangan,Tarif_JKK_Kantor)+Tarif_JKM+Tarif_JHT+Tarif_THR)+MIN((($C27*(1+0.1))*(1+Tunjangan_Pct)),Plafon_JP)*Tarif_JP+MIN(MAX((($C27*(1+0.1))*(1+Tunjangan_Pct)),IF($D27="Padang",UMP_Padang,UMK_Pekanbaru)),Plafon_JKN)*Tarif_JKN</f>
        <v>7573450.5</v>
      </c>
      <c r="N27" s="46" t="n">
        <f aca="false">(($C27*(1+0.2))*(1+Tunjangan_Pct))*(1+IF($E27="Lapangan",Tarif_JKK_Lapangan,Tarif_JKK_Kantor)+Tarif_JKM+Tarif_JHT+Tarif_THR)+MIN((($C27*(1+0.2))*(1+Tunjangan_Pct)),Plafon_JP)*Tarif_JP+MIN(MAX((($C27*(1+0.2))*(1+Tunjangan_Pct)),IF($D27="Padang",UMP_Padang,UMK_Pekanbaru)),Plafon_JKN)*Tarif_JKN</f>
        <v>8261946</v>
      </c>
      <c r="O27" s="47" t="n">
        <f aca="false">$F27*MAX(0,MIN(3,4-MAX(1,$I27+-3)))+$G27*MAX(0,MIN(9,13-MAX(MAX(1,$I27+-3),4)))</f>
        <v>18</v>
      </c>
      <c r="P27" s="47" t="n">
        <f aca="false">$F27*MAX(0,MIN(3,4-MAX(1,$I27+-2)))+$G27*MAX(0,MIN(9,13-MAX(MAX(1,$I27+-2),4)))</f>
        <v>18</v>
      </c>
      <c r="Q27" s="47" t="n">
        <f aca="false">$F27*MAX(0,MIN(3,4-MAX(1,$I27+-1)))+$G27*MAX(0,MIN(9,13-MAX(MAX(1,$I27+-1),4)))</f>
        <v>18</v>
      </c>
      <c r="R27" s="47" t="n">
        <f aca="false">$F27*MAX(0,MIN(3,4-MAX(1,$I27+0)))+$G27*MAX(0,MIN(9,13-MAX(MAX(1,$I27+0),4)))</f>
        <v>18</v>
      </c>
      <c r="S27" s="47" t="n">
        <f aca="false">$F27*MAX(0,MIN(3,4-MAX(1,$I27+1)))+$G27*MAX(0,MIN(9,13-MAX(MAX(1,$I27+1),4)))</f>
        <v>16</v>
      </c>
      <c r="T27" s="47" t="n">
        <f aca="false">$F27*MAX(0,MIN(3,4-MAX(1,$I27+2)))+$G27*MAX(0,MIN(9,13-MAX(MAX(1,$I27+2),4)))</f>
        <v>14</v>
      </c>
      <c r="U27" s="47" t="n">
        <f aca="false">$F27*MAX(0,MIN(3,4-MAX(1,$I27+3)))+$G27*MAX(0,MIN(9,13-MAX(MAX(1,$I27+3),4)))</f>
        <v>12</v>
      </c>
      <c r="V27" s="47" t="n">
        <f aca="false">O27+$H27*MAX(0,MIN(12,25-MAX(MAX(1,$I27+-3),13)))</f>
        <v>42</v>
      </c>
      <c r="W27" s="47" t="n">
        <f aca="false">P27+$H27*MAX(0,MIN(12,25-MAX(MAX(1,$I27+-2),13)))</f>
        <v>42</v>
      </c>
      <c r="X27" s="47" t="n">
        <f aca="false">Q27+$H27*MAX(0,MIN(12,25-MAX(MAX(1,$I27+-1),13)))</f>
        <v>42</v>
      </c>
      <c r="Y27" s="47" t="n">
        <f aca="false">R27+$H27*MAX(0,MIN(12,25-MAX(MAX(1,$I27+0),13)))</f>
        <v>42</v>
      </c>
      <c r="Z27" s="47" t="n">
        <f aca="false">S27+$H27*MAX(0,MIN(12,25-MAX(MAX(1,$I27+1),13)))</f>
        <v>40</v>
      </c>
      <c r="AA27" s="47" t="n">
        <f aca="false">T27+$H27*MAX(0,MIN(12,25-MAX(MAX(1,$I27+2),13)))</f>
        <v>38</v>
      </c>
      <c r="AB27" s="47" t="n">
        <f aca="false">U27+$H27*MAX(0,MIN(12,25-MAX(MAX(1,$I27+3),13)))</f>
        <v>36</v>
      </c>
    </row>
    <row r="28" customFormat="false" ht="15" hidden="false" customHeight="false" outlineLevel="0" collapsed="false">
      <c r="A28" s="18" t="n">
        <v>23</v>
      </c>
      <c r="B28" s="43" t="str">
        <f aca="false">'Biaya Bulanan'!$C$48</f>
        <v>Head of Customer Experience</v>
      </c>
      <c r="C28" s="54" t="n">
        <f aca="false">'Biaya Bulanan'!$K$48</f>
        <v>14000000</v>
      </c>
      <c r="D28" s="23" t="str">
        <f aca="false">'Biaya Bulanan'!$E$48</f>
        <v>Pekanbaru</v>
      </c>
      <c r="E28" s="23" t="str">
        <f aca="false">'Biaya Bulanan'!$H$48</f>
        <v>Kantor</v>
      </c>
      <c r="F28" s="23" t="n">
        <f aca="false">'Biaya Bulanan'!$V$48</f>
        <v>0</v>
      </c>
      <c r="G28" s="23" t="n">
        <f aca="false">'Biaya Bulanan'!$W$48</f>
        <v>1</v>
      </c>
      <c r="H28" s="23" t="n">
        <f aca="false">'Biaya Bulanan'!$X$48</f>
        <v>1</v>
      </c>
      <c r="I28" s="23" t="n">
        <f aca="false">'Biaya Bulanan'!$I$48</f>
        <v>4</v>
      </c>
      <c r="J28" s="46" t="n">
        <f aca="false">(($C28*(1+-0.2))*(1+Tunjangan_Pct))*(1+IF($E28="Lapangan",Tarif_JKK_Lapangan,Tarif_JKK_Kantor)+Tarif_JKM+Tarif_JHT+Tarif_THR)+MIN((($C28*(1+-0.2))*(1+Tunjangan_Pct)),Plafon_JP)*Tarif_JP+MIN(MAX((($C28*(1+-0.2))*(1+Tunjangan_Pct)),IF($D28="Padang",UMP_Padang,UMK_Pekanbaru)),Plafon_JKN)*Tarif_JKN</f>
        <v>14607310</v>
      </c>
      <c r="K28" s="46" t="n">
        <f aca="false">(($C28*(1+-0.1))*(1+Tunjangan_Pct))*(1+IF($E28="Lapangan",Tarif_JKK_Lapangan,Tarif_JKK_Kantor)+Tarif_JKM+Tarif_JHT+Tarif_THR)+MIN((($C28*(1+-0.1))*(1+Tunjangan_Pct)),Plafon_JP)*Tarif_JP+MIN(MAX((($C28*(1+-0.1))*(1+Tunjangan_Pct)),IF($D28="Padang",UMP_Padang,UMK_Pekanbaru)),Plafon_JKN)*Tarif_JKN</f>
        <v>16345508</v>
      </c>
      <c r="L28" s="46" t="n">
        <f aca="false">(($C28*(1+0))*(1+Tunjangan_Pct))*(1+IF($E28="Lapangan",Tarif_JKK_Lapangan,Tarif_JKK_Kantor)+Tarif_JKM+Tarif_JHT+Tarif_THR)+MIN((($C28*(1+0))*(1+Tunjangan_Pct)),Plafon_JP)*Tarif_JP+MIN(MAX((($C28*(1+0))*(1+Tunjangan_Pct)),IF($D28="Padang",UMP_Padang,UMK_Pekanbaru)),Plafon_JKN)*Tarif_JKN</f>
        <v>18083706</v>
      </c>
      <c r="M28" s="46" t="n">
        <f aca="false">(($C28*(1+0.1))*(1+Tunjangan_Pct))*(1+IF($E28="Lapangan",Tarif_JKK_Lapangan,Tarif_JKK_Kantor)+Tarif_JKM+Tarif_JHT+Tarif_THR)+MIN((($C28*(1+0.1))*(1+Tunjangan_Pct)),Plafon_JP)*Tarif_JP+MIN(MAX((($C28*(1+0.1))*(1+Tunjangan_Pct)),IF($D28="Padang",UMP_Padang,UMK_Pekanbaru)),Plafon_JKN)*Tarif_JKN</f>
        <v>19821904</v>
      </c>
      <c r="N28" s="46" t="n">
        <f aca="false">(($C28*(1+0.2))*(1+Tunjangan_Pct))*(1+IF($E28="Lapangan",Tarif_JKK_Lapangan,Tarif_JKK_Kantor)+Tarif_JKM+Tarif_JHT+Tarif_THR)+MIN((($C28*(1+0.2))*(1+Tunjangan_Pct)),Plafon_JP)*Tarif_JP+MIN(MAX((($C28*(1+0.2))*(1+Tunjangan_Pct)),IF($D28="Padang",UMP_Padang,UMK_Pekanbaru)),Plafon_JKN)*Tarif_JKN</f>
        <v>21560102</v>
      </c>
      <c r="O28" s="47" t="n">
        <f aca="false">$F28*MAX(0,MIN(3,4-MAX(1,$I28+-3)))+$G28*MAX(0,MIN(9,13-MAX(MAX(1,$I28+-3),4)))</f>
        <v>9</v>
      </c>
      <c r="P28" s="47" t="n">
        <f aca="false">$F28*MAX(0,MIN(3,4-MAX(1,$I28+-2)))+$G28*MAX(0,MIN(9,13-MAX(MAX(1,$I28+-2),4)))</f>
        <v>9</v>
      </c>
      <c r="Q28" s="47" t="n">
        <f aca="false">$F28*MAX(0,MIN(3,4-MAX(1,$I28+-1)))+$G28*MAX(0,MIN(9,13-MAX(MAX(1,$I28+-1),4)))</f>
        <v>9</v>
      </c>
      <c r="R28" s="47" t="n">
        <f aca="false">$F28*MAX(0,MIN(3,4-MAX(1,$I28+0)))+$G28*MAX(0,MIN(9,13-MAX(MAX(1,$I28+0),4)))</f>
        <v>9</v>
      </c>
      <c r="S28" s="47" t="n">
        <f aca="false">$F28*MAX(0,MIN(3,4-MAX(1,$I28+1)))+$G28*MAX(0,MIN(9,13-MAX(MAX(1,$I28+1),4)))</f>
        <v>8</v>
      </c>
      <c r="T28" s="47" t="n">
        <f aca="false">$F28*MAX(0,MIN(3,4-MAX(1,$I28+2)))+$G28*MAX(0,MIN(9,13-MAX(MAX(1,$I28+2),4)))</f>
        <v>7</v>
      </c>
      <c r="U28" s="47" t="n">
        <f aca="false">$F28*MAX(0,MIN(3,4-MAX(1,$I28+3)))+$G28*MAX(0,MIN(9,13-MAX(MAX(1,$I28+3),4)))</f>
        <v>6</v>
      </c>
      <c r="V28" s="47" t="n">
        <f aca="false">O28+$H28*MAX(0,MIN(12,25-MAX(MAX(1,$I28+-3),13)))</f>
        <v>21</v>
      </c>
      <c r="W28" s="47" t="n">
        <f aca="false">P28+$H28*MAX(0,MIN(12,25-MAX(MAX(1,$I28+-2),13)))</f>
        <v>21</v>
      </c>
      <c r="X28" s="47" t="n">
        <f aca="false">Q28+$H28*MAX(0,MIN(12,25-MAX(MAX(1,$I28+-1),13)))</f>
        <v>21</v>
      </c>
      <c r="Y28" s="47" t="n">
        <f aca="false">R28+$H28*MAX(0,MIN(12,25-MAX(MAX(1,$I28+0),13)))</f>
        <v>21</v>
      </c>
      <c r="Z28" s="47" t="n">
        <f aca="false">S28+$H28*MAX(0,MIN(12,25-MAX(MAX(1,$I28+1),13)))</f>
        <v>20</v>
      </c>
      <c r="AA28" s="47" t="n">
        <f aca="false">T28+$H28*MAX(0,MIN(12,25-MAX(MAX(1,$I28+2),13)))</f>
        <v>19</v>
      </c>
      <c r="AB28" s="47" t="n">
        <f aca="false">U28+$H28*MAX(0,MIN(12,25-MAX(MAX(1,$I28+3),13)))</f>
        <v>18</v>
      </c>
    </row>
    <row r="29" customFormat="false" ht="15" hidden="false" customHeight="false" outlineLevel="0" collapsed="false">
      <c r="A29" s="18" t="n">
        <v>24</v>
      </c>
      <c r="B29" s="43" t="str">
        <f aca="false">'Biaya Bulanan'!$C$49</f>
        <v>CS Agent Pekanbaru (shift)</v>
      </c>
      <c r="C29" s="54" t="n">
        <f aca="false">'Biaya Bulanan'!$K$49</f>
        <v>4750000</v>
      </c>
      <c r="D29" s="23" t="str">
        <f aca="false">'Biaya Bulanan'!$E$49</f>
        <v>Pekanbaru</v>
      </c>
      <c r="E29" s="23" t="str">
        <f aca="false">'Biaya Bulanan'!$H$49</f>
        <v>Kantor</v>
      </c>
      <c r="F29" s="23" t="n">
        <f aca="false">'Biaya Bulanan'!$V$49</f>
        <v>0</v>
      </c>
      <c r="G29" s="23" t="n">
        <f aca="false">'Biaya Bulanan'!$W$49</f>
        <v>3</v>
      </c>
      <c r="H29" s="23" t="n">
        <f aca="false">'Biaya Bulanan'!$X$49</f>
        <v>3</v>
      </c>
      <c r="I29" s="23" t="n">
        <f aca="false">'Biaya Bulanan'!$I$49</f>
        <v>5</v>
      </c>
      <c r="J29" s="46" t="n">
        <f aca="false">(($C29*(1+-0.2))*(1+Tunjangan_Pct))*(1+IF($E29="Lapangan",Tarif_JKK_Lapangan,Tarif_JKK_Kantor)+Tarif_JKM+Tarif_JHT+Tarif_THR)+MIN((($C29*(1+-0.2))*(1+Tunjangan_Pct)),Plafon_JP)*Tarif_JP+MIN(MAX((($C29*(1+-0.2))*(1+Tunjangan_Pct)),IF($D29="Padang",UMP_Padang,UMK_Pekanbaru)),Plafon_JKN)*Tarif_JKN</f>
        <v>4968766</v>
      </c>
      <c r="K29" s="46" t="n">
        <f aca="false">(($C29*(1+-0.1))*(1+Tunjangan_Pct))*(1+IF($E29="Lapangan",Tarif_JKK_Lapangan,Tarif_JKK_Kantor)+Tarif_JKM+Tarif_JHT+Tarif_THR)+MIN((($C29*(1+-0.1))*(1+Tunjangan_Pct)),Plafon_JP)*Tarif_JP+MIN(MAX((($C29*(1+-0.1))*(1+Tunjangan_Pct)),IF($D29="Padang",UMP_Padang,UMK_Pekanbaru)),Plafon_JKN)*Tarif_JKN</f>
        <v>5589861.75</v>
      </c>
      <c r="L29" s="46" t="n">
        <f aca="false">(($C29*(1+0))*(1+Tunjangan_Pct))*(1+IF($E29="Lapangan",Tarif_JKK_Lapangan,Tarif_JKK_Kantor)+Tarif_JKM+Tarif_JHT+Tarif_THR)+MIN((($C29*(1+0))*(1+Tunjangan_Pct)),Plafon_JP)*Tarif_JP+MIN(MAX((($C29*(1+0))*(1+Tunjangan_Pct)),IF($D29="Padang",UMP_Padang,UMK_Pekanbaru)),Plafon_JKN)*Tarif_JKN</f>
        <v>6210957.5</v>
      </c>
      <c r="M29" s="46" t="n">
        <f aca="false">(($C29*(1+0.1))*(1+Tunjangan_Pct))*(1+IF($E29="Lapangan",Tarif_JKK_Lapangan,Tarif_JKK_Kantor)+Tarif_JKM+Tarif_JHT+Tarif_THR)+MIN((($C29*(1+0.1))*(1+Tunjangan_Pct)),Plafon_JP)*Tarif_JP+MIN(MAX((($C29*(1+0.1))*(1+Tunjangan_Pct)),IF($D29="Padang",UMP_Padang,UMK_Pekanbaru)),Plafon_JKN)*Tarif_JKN</f>
        <v>6832053.25</v>
      </c>
      <c r="N29" s="46" t="n">
        <f aca="false">(($C29*(1+0.2))*(1+Tunjangan_Pct))*(1+IF($E29="Lapangan",Tarif_JKK_Lapangan,Tarif_JKK_Kantor)+Tarif_JKM+Tarif_JHT+Tarif_THR)+MIN((($C29*(1+0.2))*(1+Tunjangan_Pct)),Plafon_JP)*Tarif_JP+MIN(MAX((($C29*(1+0.2))*(1+Tunjangan_Pct)),IF($D29="Padang",UMP_Padang,UMK_Pekanbaru)),Plafon_JKN)*Tarif_JKN</f>
        <v>7453149</v>
      </c>
      <c r="O29" s="47" t="n">
        <f aca="false">$F29*MAX(0,MIN(3,4-MAX(1,$I29+-3)))+$G29*MAX(0,MIN(9,13-MAX(MAX(1,$I29+-3),4)))</f>
        <v>27</v>
      </c>
      <c r="P29" s="47" t="n">
        <f aca="false">$F29*MAX(0,MIN(3,4-MAX(1,$I29+-2)))+$G29*MAX(0,MIN(9,13-MAX(MAX(1,$I29+-2),4)))</f>
        <v>27</v>
      </c>
      <c r="Q29" s="47" t="n">
        <f aca="false">$F29*MAX(0,MIN(3,4-MAX(1,$I29+-1)))+$G29*MAX(0,MIN(9,13-MAX(MAX(1,$I29+-1),4)))</f>
        <v>27</v>
      </c>
      <c r="R29" s="47" t="n">
        <f aca="false">$F29*MAX(0,MIN(3,4-MAX(1,$I29+0)))+$G29*MAX(0,MIN(9,13-MAX(MAX(1,$I29+0),4)))</f>
        <v>24</v>
      </c>
      <c r="S29" s="47" t="n">
        <f aca="false">$F29*MAX(0,MIN(3,4-MAX(1,$I29+1)))+$G29*MAX(0,MIN(9,13-MAX(MAX(1,$I29+1),4)))</f>
        <v>21</v>
      </c>
      <c r="T29" s="47" t="n">
        <f aca="false">$F29*MAX(0,MIN(3,4-MAX(1,$I29+2)))+$G29*MAX(0,MIN(9,13-MAX(MAX(1,$I29+2),4)))</f>
        <v>18</v>
      </c>
      <c r="U29" s="47" t="n">
        <f aca="false">$F29*MAX(0,MIN(3,4-MAX(1,$I29+3)))+$G29*MAX(0,MIN(9,13-MAX(MAX(1,$I29+3),4)))</f>
        <v>15</v>
      </c>
      <c r="V29" s="47" t="n">
        <f aca="false">O29+$H29*MAX(0,MIN(12,25-MAX(MAX(1,$I29+-3),13)))</f>
        <v>63</v>
      </c>
      <c r="W29" s="47" t="n">
        <f aca="false">P29+$H29*MAX(0,MIN(12,25-MAX(MAX(1,$I29+-2),13)))</f>
        <v>63</v>
      </c>
      <c r="X29" s="47" t="n">
        <f aca="false">Q29+$H29*MAX(0,MIN(12,25-MAX(MAX(1,$I29+-1),13)))</f>
        <v>63</v>
      </c>
      <c r="Y29" s="47" t="n">
        <f aca="false">R29+$H29*MAX(0,MIN(12,25-MAX(MAX(1,$I29+0),13)))</f>
        <v>60</v>
      </c>
      <c r="Z29" s="47" t="n">
        <f aca="false">S29+$H29*MAX(0,MIN(12,25-MAX(MAX(1,$I29+1),13)))</f>
        <v>57</v>
      </c>
      <c r="AA29" s="47" t="n">
        <f aca="false">T29+$H29*MAX(0,MIN(12,25-MAX(MAX(1,$I29+2),13)))</f>
        <v>54</v>
      </c>
      <c r="AB29" s="47" t="n">
        <f aca="false">U29+$H29*MAX(0,MIN(12,25-MAX(MAX(1,$I29+3),13)))</f>
        <v>51</v>
      </c>
    </row>
    <row r="30" customFormat="false" ht="15" hidden="false" customHeight="false" outlineLevel="0" collapsed="false">
      <c r="A30" s="18" t="n">
        <v>25</v>
      </c>
      <c r="B30" s="43" t="str">
        <f aca="false">'Biaya Bulanan'!$C$50</f>
        <v>Trust &amp; Safety Officer</v>
      </c>
      <c r="C30" s="54" t="n">
        <f aca="false">'Biaya Bulanan'!$K$50</f>
        <v>9500000</v>
      </c>
      <c r="D30" s="23" t="str">
        <f aca="false">'Biaya Bulanan'!$E$50</f>
        <v>Pekanbaru</v>
      </c>
      <c r="E30" s="23" t="str">
        <f aca="false">'Biaya Bulanan'!$H$50</f>
        <v>Kantor</v>
      </c>
      <c r="F30" s="23" t="n">
        <f aca="false">'Biaya Bulanan'!$V$50</f>
        <v>0</v>
      </c>
      <c r="G30" s="23" t="n">
        <f aca="false">'Biaya Bulanan'!$W$50</f>
        <v>1</v>
      </c>
      <c r="H30" s="23" t="n">
        <f aca="false">'Biaya Bulanan'!$X$50</f>
        <v>1</v>
      </c>
      <c r="I30" s="23" t="n">
        <f aca="false">'Biaya Bulanan'!$I$50</f>
        <v>6</v>
      </c>
      <c r="J30" s="46" t="n">
        <f aca="false">(($C30*(1+-0.2))*(1+Tunjangan_Pct))*(1+IF($E30="Lapangan",Tarif_JKK_Lapangan,Tarif_JKK_Kantor)+Tarif_JKM+Tarif_JHT+Tarif_THR)+MIN((($C30*(1+-0.2))*(1+Tunjangan_Pct)),Plafon_JP)*Tarif_JP+MIN(MAX((($C30*(1+-0.2))*(1+Tunjangan_Pct)),IF($D30="Padang",UMP_Padang,UMK_Pekanbaru)),Plafon_JKN)*Tarif_JKN</f>
        <v>9937532</v>
      </c>
      <c r="K30" s="46" t="n">
        <f aca="false">(($C30*(1+-0.1))*(1+Tunjangan_Pct))*(1+IF($E30="Lapangan",Tarif_JKK_Lapangan,Tarif_JKK_Kantor)+Tarif_JKM+Tarif_JHT+Tarif_THR)+MIN((($C30*(1+-0.1))*(1+Tunjangan_Pct)),Plafon_JP)*Tarif_JP+MIN(MAX((($C30*(1+-0.1))*(1+Tunjangan_Pct)),IF($D30="Padang",UMP_Padang,UMK_Pekanbaru)),Plafon_JKN)*Tarif_JKN</f>
        <v>11179723.5</v>
      </c>
      <c r="L30" s="46" t="n">
        <f aca="false">(($C30*(1+0))*(1+Tunjangan_Pct))*(1+IF($E30="Lapangan",Tarif_JKK_Lapangan,Tarif_JKK_Kantor)+Tarif_JKM+Tarif_JHT+Tarif_THR)+MIN((($C30*(1+0))*(1+Tunjangan_Pct)),Plafon_JP)*Tarif_JP+MIN(MAX((($C30*(1+0))*(1+Tunjangan_Pct)),IF($D30="Padang",UMP_Padang,UMK_Pekanbaru)),Plafon_JKN)*Tarif_JKN</f>
        <v>12421915</v>
      </c>
      <c r="M30" s="46" t="n">
        <f aca="false">(($C30*(1+0.1))*(1+Tunjangan_Pct))*(1+IF($E30="Lapangan",Tarif_JKK_Lapangan,Tarif_JKK_Kantor)+Tarif_JKM+Tarif_JHT+Tarif_THR)+MIN((($C30*(1+0.1))*(1+Tunjangan_Pct)),Plafon_JP)*Tarif_JP+MIN(MAX((($C30*(1+0.1))*(1+Tunjangan_Pct)),IF($D30="Padang",UMP_Padang,UMK_Pekanbaru)),Plafon_JKN)*Tarif_JKN</f>
        <v>13655932.5</v>
      </c>
      <c r="N30" s="46" t="n">
        <f aca="false">(($C30*(1+0.2))*(1+Tunjangan_Pct))*(1+IF($E30="Lapangan",Tarif_JKK_Lapangan,Tarif_JKK_Kantor)+Tarif_JKM+Tarif_JHT+Tarif_THR)+MIN((($C30*(1+0.2))*(1+Tunjangan_Pct)),Plafon_JP)*Tarif_JP+MIN(MAX((($C30*(1+0.2))*(1+Tunjangan_Pct)),IF($D30="Padang",UMP_Padang,UMK_Pekanbaru)),Plafon_JKN)*Tarif_JKN</f>
        <v>14855624</v>
      </c>
      <c r="O30" s="47" t="n">
        <f aca="false">$F30*MAX(0,MIN(3,4-MAX(1,$I30+-3)))+$G30*MAX(0,MIN(9,13-MAX(MAX(1,$I30+-3),4)))</f>
        <v>9</v>
      </c>
      <c r="P30" s="47" t="n">
        <f aca="false">$F30*MAX(0,MIN(3,4-MAX(1,$I30+-2)))+$G30*MAX(0,MIN(9,13-MAX(MAX(1,$I30+-2),4)))</f>
        <v>9</v>
      </c>
      <c r="Q30" s="47" t="n">
        <f aca="false">$F30*MAX(0,MIN(3,4-MAX(1,$I30+-1)))+$G30*MAX(0,MIN(9,13-MAX(MAX(1,$I30+-1),4)))</f>
        <v>8</v>
      </c>
      <c r="R30" s="47" t="n">
        <f aca="false">$F30*MAX(0,MIN(3,4-MAX(1,$I30+0)))+$G30*MAX(0,MIN(9,13-MAX(MAX(1,$I30+0),4)))</f>
        <v>7</v>
      </c>
      <c r="S30" s="47" t="n">
        <f aca="false">$F30*MAX(0,MIN(3,4-MAX(1,$I30+1)))+$G30*MAX(0,MIN(9,13-MAX(MAX(1,$I30+1),4)))</f>
        <v>6</v>
      </c>
      <c r="T30" s="47" t="n">
        <f aca="false">$F30*MAX(0,MIN(3,4-MAX(1,$I30+2)))+$G30*MAX(0,MIN(9,13-MAX(MAX(1,$I30+2),4)))</f>
        <v>5</v>
      </c>
      <c r="U30" s="47" t="n">
        <f aca="false">$F30*MAX(0,MIN(3,4-MAX(1,$I30+3)))+$G30*MAX(0,MIN(9,13-MAX(MAX(1,$I30+3),4)))</f>
        <v>4</v>
      </c>
      <c r="V30" s="47" t="n">
        <f aca="false">O30+$H30*MAX(0,MIN(12,25-MAX(MAX(1,$I30+-3),13)))</f>
        <v>21</v>
      </c>
      <c r="W30" s="47" t="n">
        <f aca="false">P30+$H30*MAX(0,MIN(12,25-MAX(MAX(1,$I30+-2),13)))</f>
        <v>21</v>
      </c>
      <c r="X30" s="47" t="n">
        <f aca="false">Q30+$H30*MAX(0,MIN(12,25-MAX(MAX(1,$I30+-1),13)))</f>
        <v>20</v>
      </c>
      <c r="Y30" s="47" t="n">
        <f aca="false">R30+$H30*MAX(0,MIN(12,25-MAX(MAX(1,$I30+0),13)))</f>
        <v>19</v>
      </c>
      <c r="Z30" s="47" t="n">
        <f aca="false">S30+$H30*MAX(0,MIN(12,25-MAX(MAX(1,$I30+1),13)))</f>
        <v>18</v>
      </c>
      <c r="AA30" s="47" t="n">
        <f aca="false">T30+$H30*MAX(0,MIN(12,25-MAX(MAX(1,$I30+2),13)))</f>
        <v>17</v>
      </c>
      <c r="AB30" s="47" t="n">
        <f aca="false">U30+$H30*MAX(0,MIN(12,25-MAX(MAX(1,$I30+3),13)))</f>
        <v>16</v>
      </c>
    </row>
    <row r="31" customFormat="false" ht="15" hidden="false" customHeight="false" outlineLevel="0" collapsed="false">
      <c r="A31" s="18" t="n">
        <v>26</v>
      </c>
      <c r="B31" s="43" t="str">
        <f aca="false">'Biaya Bulanan'!$C$51</f>
        <v>City Manager Padang</v>
      </c>
      <c r="C31" s="54" t="n">
        <f aca="false">'Biaya Bulanan'!$K$51</f>
        <v>12500000</v>
      </c>
      <c r="D31" s="23" t="str">
        <f aca="false">'Biaya Bulanan'!$E$51</f>
        <v>Padang</v>
      </c>
      <c r="E31" s="23" t="str">
        <f aca="false">'Biaya Bulanan'!$H$51</f>
        <v>Lapangan</v>
      </c>
      <c r="F31" s="23" t="n">
        <f aca="false">'Biaya Bulanan'!$V$51</f>
        <v>0</v>
      </c>
      <c r="G31" s="23" t="n">
        <f aca="false">'Biaya Bulanan'!$W$51</f>
        <v>0</v>
      </c>
      <c r="H31" s="23" t="n">
        <f aca="false">'Biaya Bulanan'!$X$51</f>
        <v>1</v>
      </c>
      <c r="I31" s="23" t="n">
        <f aca="false">'Biaya Bulanan'!$I$51</f>
        <v>13</v>
      </c>
      <c r="J31" s="46" t="n">
        <f aca="false">(($C31*(1+-0.2))*(1+Tunjangan_Pct))*(1+IF($E31="Lapangan",Tarif_JKK_Lapangan,Tarif_JKK_Kantor)+Tarif_JKM+Tarif_JHT+Tarif_THR)+MIN((($C31*(1+-0.2))*(1+Tunjangan_Pct)),Plafon_JP)*Tarif_JP+MIN(MAX((($C31*(1+-0.2))*(1+Tunjangan_Pct)),IF($D31="Padang",UMP_Padang,UMK_Pekanbaru)),Plafon_JKN)*Tarif_JKN</f>
        <v>13114200</v>
      </c>
      <c r="K31" s="46" t="n">
        <f aca="false">(($C31*(1+-0.1))*(1+Tunjangan_Pct))*(1+IF($E31="Lapangan",Tarif_JKK_Lapangan,Tarif_JKK_Kantor)+Tarif_JKM+Tarif_JHT+Tarif_THR)+MIN((($C31*(1+-0.1))*(1+Tunjangan_Pct)),Plafon_JP)*Tarif_JP+MIN(MAX((($C31*(1+-0.1))*(1+Tunjangan_Pct)),IF($D31="Padang",UMP_Padang,UMK_Pekanbaru)),Plafon_JKN)*Tarif_JKN</f>
        <v>14712701</v>
      </c>
      <c r="L31" s="46" t="n">
        <f aca="false">(($C31*(1+0))*(1+Tunjangan_Pct))*(1+IF($E31="Lapangan",Tarif_JKK_Lapangan,Tarif_JKK_Kantor)+Tarif_JKM+Tarif_JHT+Tarif_THR)+MIN((($C31*(1+0))*(1+Tunjangan_Pct)),Plafon_JP)*Tarif_JP+MIN(MAX((($C31*(1+0))*(1+Tunjangan_Pct)),IF($D31="Padang",UMP_Padang,UMK_Pekanbaru)),Plafon_JKN)*Tarif_JKN</f>
        <v>16269476</v>
      </c>
      <c r="M31" s="46" t="n">
        <f aca="false">(($C31*(1+0.1))*(1+Tunjangan_Pct))*(1+IF($E31="Lapangan",Tarif_JKK_Lapangan,Tarif_JKK_Kantor)+Tarif_JKM+Tarif_JHT+Tarif_THR)+MIN((($C31*(1+0.1))*(1+Tunjangan_Pct)),Plafon_JP)*Tarif_JP+MIN(MAX((($C31*(1+0.1))*(1+Tunjangan_Pct)),IF($D31="Padang",UMP_Padang,UMK_Pekanbaru)),Plafon_JKN)*Tarif_JKN</f>
        <v>17826251</v>
      </c>
      <c r="N31" s="46" t="n">
        <f aca="false">(($C31*(1+0.2))*(1+Tunjangan_Pct))*(1+IF($E31="Lapangan",Tarif_JKK_Lapangan,Tarif_JKK_Kantor)+Tarif_JKM+Tarif_JHT+Tarif_THR)+MIN((($C31*(1+0.2))*(1+Tunjangan_Pct)),Plafon_JP)*Tarif_JP+MIN(MAX((($C31*(1+0.2))*(1+Tunjangan_Pct)),IF($D31="Padang",UMP_Padang,UMK_Pekanbaru)),Plafon_JKN)*Tarif_JKN</f>
        <v>19383026</v>
      </c>
      <c r="O31" s="47" t="n">
        <f aca="false">$F31*MAX(0,MIN(3,4-MAX(1,$I31+-3)))+$G31*MAX(0,MIN(9,13-MAX(MAX(1,$I31+-3),4)))</f>
        <v>0</v>
      </c>
      <c r="P31" s="47" t="n">
        <f aca="false">$F31*MAX(0,MIN(3,4-MAX(1,$I31+-2)))+$G31*MAX(0,MIN(9,13-MAX(MAX(1,$I31+-2),4)))</f>
        <v>0</v>
      </c>
      <c r="Q31" s="47" t="n">
        <f aca="false">$F31*MAX(0,MIN(3,4-MAX(1,$I31+-1)))+$G31*MAX(0,MIN(9,13-MAX(MAX(1,$I31+-1),4)))</f>
        <v>0</v>
      </c>
      <c r="R31" s="47" t="n">
        <f aca="false">$F31*MAX(0,MIN(3,4-MAX(1,$I31+0)))+$G31*MAX(0,MIN(9,13-MAX(MAX(1,$I31+0),4)))</f>
        <v>0</v>
      </c>
      <c r="S31" s="47" t="n">
        <f aca="false">$F31*MAX(0,MIN(3,4-MAX(1,$I31+1)))+$G31*MAX(0,MIN(9,13-MAX(MAX(1,$I31+1),4)))</f>
        <v>0</v>
      </c>
      <c r="T31" s="47" t="n">
        <f aca="false">$F31*MAX(0,MIN(3,4-MAX(1,$I31+2)))+$G31*MAX(0,MIN(9,13-MAX(MAX(1,$I31+2),4)))</f>
        <v>0</v>
      </c>
      <c r="U31" s="47" t="n">
        <f aca="false">$F31*MAX(0,MIN(3,4-MAX(1,$I31+3)))+$G31*MAX(0,MIN(9,13-MAX(MAX(1,$I31+3),4)))</f>
        <v>0</v>
      </c>
      <c r="V31" s="47" t="n">
        <f aca="false">O31+$H31*MAX(0,MIN(12,25-MAX(MAX(1,$I31+-3),13)))</f>
        <v>12</v>
      </c>
      <c r="W31" s="47" t="n">
        <f aca="false">P31+$H31*MAX(0,MIN(12,25-MAX(MAX(1,$I31+-2),13)))</f>
        <v>12</v>
      </c>
      <c r="X31" s="47" t="n">
        <f aca="false">Q31+$H31*MAX(0,MIN(12,25-MAX(MAX(1,$I31+-1),13)))</f>
        <v>12</v>
      </c>
      <c r="Y31" s="47" t="n">
        <f aca="false">R31+$H31*MAX(0,MIN(12,25-MAX(MAX(1,$I31+0),13)))</f>
        <v>12</v>
      </c>
      <c r="Z31" s="47" t="n">
        <f aca="false">S31+$H31*MAX(0,MIN(12,25-MAX(MAX(1,$I31+1),13)))</f>
        <v>11</v>
      </c>
      <c r="AA31" s="47" t="n">
        <f aca="false">T31+$H31*MAX(0,MIN(12,25-MAX(MAX(1,$I31+2),13)))</f>
        <v>10</v>
      </c>
      <c r="AB31" s="47" t="n">
        <f aca="false">U31+$H31*MAX(0,MIN(12,25-MAX(MAX(1,$I31+3),13)))</f>
        <v>9</v>
      </c>
    </row>
    <row r="32" customFormat="false" ht="15" hidden="false" customHeight="false" outlineLevel="0" collapsed="false">
      <c r="A32" s="18" t="n">
        <v>27</v>
      </c>
      <c r="B32" s="43" t="str">
        <f aca="false">'Biaya Bulanan'!$C$52</f>
        <v>Partner Acquisition Padang</v>
      </c>
      <c r="C32" s="54" t="n">
        <f aca="false">'Biaya Bulanan'!$K$52</f>
        <v>4350000</v>
      </c>
      <c r="D32" s="23" t="str">
        <f aca="false">'Biaya Bulanan'!$E$52</f>
        <v>Padang</v>
      </c>
      <c r="E32" s="23" t="str">
        <f aca="false">'Biaya Bulanan'!$H$52</f>
        <v>Lapangan</v>
      </c>
      <c r="F32" s="23" t="n">
        <f aca="false">'Biaya Bulanan'!$V$52</f>
        <v>0</v>
      </c>
      <c r="G32" s="23" t="n">
        <f aca="false">'Biaya Bulanan'!$W$52</f>
        <v>0</v>
      </c>
      <c r="H32" s="23" t="n">
        <f aca="false">'Biaya Bulanan'!$X$52</f>
        <v>1</v>
      </c>
      <c r="I32" s="23" t="n">
        <f aca="false">'Biaya Bulanan'!$I$52</f>
        <v>13</v>
      </c>
      <c r="J32" s="46" t="n">
        <f aca="false">(($C32*(1+-0.2))*(1+Tunjangan_Pct))*(1+IF($E32="Lapangan",Tarif_JKK_Lapangan,Tarif_JKK_Kantor)+Tarif_JKM+Tarif_JHT+Tarif_THR)+MIN((($C32*(1+-0.2))*(1+Tunjangan_Pct)),Plafon_JP)*Tarif_JP+MIN(MAX((($C32*(1+-0.2))*(1+Tunjangan_Pct)),IF($D32="Padang",UMP_Padang,UMK_Pekanbaru)),Plafon_JKN)*Tarif_JKN</f>
        <v>4563741.6</v>
      </c>
      <c r="K32" s="46" t="n">
        <f aca="false">(($C32*(1+-0.1))*(1+Tunjangan_Pct))*(1+IF($E32="Lapangan",Tarif_JKK_Lapangan,Tarif_JKK_Kantor)+Tarif_JKM+Tarif_JHT+Tarif_THR)+MIN((($C32*(1+-0.1))*(1+Tunjangan_Pct)),Plafon_JP)*Tarif_JP+MIN(MAX((($C32*(1+-0.1))*(1+Tunjangan_Pct)),IF($D32="Padang",UMP_Padang,UMK_Pekanbaru)),Plafon_JKN)*Tarif_JKN</f>
        <v>5134209.3</v>
      </c>
      <c r="L32" s="46" t="n">
        <f aca="false">(($C32*(1+0))*(1+Tunjangan_Pct))*(1+IF($E32="Lapangan",Tarif_JKK_Lapangan,Tarif_JKK_Kantor)+Tarif_JKM+Tarif_JHT+Tarif_THR)+MIN((($C32*(1+0))*(1+Tunjangan_Pct)),Plafon_JP)*Tarif_JP+MIN(MAX((($C32*(1+0))*(1+Tunjangan_Pct)),IF($D32="Padang",UMP_Padang,UMK_Pekanbaru)),Plafon_JKN)*Tarif_JKN</f>
        <v>5704677</v>
      </c>
      <c r="M32" s="46" t="n">
        <f aca="false">(($C32*(1+0.1))*(1+Tunjangan_Pct))*(1+IF($E32="Lapangan",Tarif_JKK_Lapangan,Tarif_JKK_Kantor)+Tarif_JKM+Tarif_JHT+Tarif_THR)+MIN((($C32*(1+0.1))*(1+Tunjangan_Pct)),Plafon_JP)*Tarif_JP+MIN(MAX((($C32*(1+0.1))*(1+Tunjangan_Pct)),IF($D32="Padang",UMP_Padang,UMK_Pekanbaru)),Plafon_JKN)*Tarif_JKN</f>
        <v>6275144.7</v>
      </c>
      <c r="N32" s="46" t="n">
        <f aca="false">(($C32*(1+0.2))*(1+Tunjangan_Pct))*(1+IF($E32="Lapangan",Tarif_JKK_Lapangan,Tarif_JKK_Kantor)+Tarif_JKM+Tarif_JHT+Tarif_THR)+MIN((($C32*(1+0.2))*(1+Tunjangan_Pct)),Plafon_JP)*Tarif_JP+MIN(MAX((($C32*(1+0.2))*(1+Tunjangan_Pct)),IF($D32="Padang",UMP_Padang,UMK_Pekanbaru)),Plafon_JKN)*Tarif_JKN</f>
        <v>6845612.4</v>
      </c>
      <c r="O32" s="47" t="n">
        <f aca="false">$F32*MAX(0,MIN(3,4-MAX(1,$I32+-3)))+$G32*MAX(0,MIN(9,13-MAX(MAX(1,$I32+-3),4)))</f>
        <v>0</v>
      </c>
      <c r="P32" s="47" t="n">
        <f aca="false">$F32*MAX(0,MIN(3,4-MAX(1,$I32+-2)))+$G32*MAX(0,MIN(9,13-MAX(MAX(1,$I32+-2),4)))</f>
        <v>0</v>
      </c>
      <c r="Q32" s="47" t="n">
        <f aca="false">$F32*MAX(0,MIN(3,4-MAX(1,$I32+-1)))+$G32*MAX(0,MIN(9,13-MAX(MAX(1,$I32+-1),4)))</f>
        <v>0</v>
      </c>
      <c r="R32" s="47" t="n">
        <f aca="false">$F32*MAX(0,MIN(3,4-MAX(1,$I32+0)))+$G32*MAX(0,MIN(9,13-MAX(MAX(1,$I32+0),4)))</f>
        <v>0</v>
      </c>
      <c r="S32" s="47" t="n">
        <f aca="false">$F32*MAX(0,MIN(3,4-MAX(1,$I32+1)))+$G32*MAX(0,MIN(9,13-MAX(MAX(1,$I32+1),4)))</f>
        <v>0</v>
      </c>
      <c r="T32" s="47" t="n">
        <f aca="false">$F32*MAX(0,MIN(3,4-MAX(1,$I32+2)))+$G32*MAX(0,MIN(9,13-MAX(MAX(1,$I32+2),4)))</f>
        <v>0</v>
      </c>
      <c r="U32" s="47" t="n">
        <f aca="false">$F32*MAX(0,MIN(3,4-MAX(1,$I32+3)))+$G32*MAX(0,MIN(9,13-MAX(MAX(1,$I32+3),4)))</f>
        <v>0</v>
      </c>
      <c r="V32" s="47" t="n">
        <f aca="false">O32+$H32*MAX(0,MIN(12,25-MAX(MAX(1,$I32+-3),13)))</f>
        <v>12</v>
      </c>
      <c r="W32" s="47" t="n">
        <f aca="false">P32+$H32*MAX(0,MIN(12,25-MAX(MAX(1,$I32+-2),13)))</f>
        <v>12</v>
      </c>
      <c r="X32" s="47" t="n">
        <f aca="false">Q32+$H32*MAX(0,MIN(12,25-MAX(MAX(1,$I32+-1),13)))</f>
        <v>12</v>
      </c>
      <c r="Y32" s="47" t="n">
        <f aca="false">R32+$H32*MAX(0,MIN(12,25-MAX(MAX(1,$I32+0),13)))</f>
        <v>12</v>
      </c>
      <c r="Z32" s="47" t="n">
        <f aca="false">S32+$H32*MAX(0,MIN(12,25-MAX(MAX(1,$I32+1),13)))</f>
        <v>11</v>
      </c>
      <c r="AA32" s="47" t="n">
        <f aca="false">T32+$H32*MAX(0,MIN(12,25-MAX(MAX(1,$I32+2),13)))</f>
        <v>10</v>
      </c>
      <c r="AB32" s="47" t="n">
        <f aca="false">U32+$H32*MAX(0,MIN(12,25-MAX(MAX(1,$I32+3),13)))</f>
        <v>9</v>
      </c>
    </row>
    <row r="33" customFormat="false" ht="15" hidden="false" customHeight="false" outlineLevel="0" collapsed="false">
      <c r="A33" s="18" t="n">
        <v>28</v>
      </c>
      <c r="B33" s="43" t="str">
        <f aca="false">'Biaya Bulanan'!$C$53</f>
        <v>Ops Supervisor Padang</v>
      </c>
      <c r="C33" s="54" t="n">
        <f aca="false">'Biaya Bulanan'!$K$53</f>
        <v>6500000</v>
      </c>
      <c r="D33" s="23" t="str">
        <f aca="false">'Biaya Bulanan'!$E$53</f>
        <v>Padang</v>
      </c>
      <c r="E33" s="23" t="str">
        <f aca="false">'Biaya Bulanan'!$H$53</f>
        <v>Lapangan</v>
      </c>
      <c r="F33" s="23" t="n">
        <f aca="false">'Biaya Bulanan'!$V$53</f>
        <v>0</v>
      </c>
      <c r="G33" s="23" t="n">
        <f aca="false">'Biaya Bulanan'!$W$53</f>
        <v>0</v>
      </c>
      <c r="H33" s="23" t="n">
        <f aca="false">'Biaya Bulanan'!$X$53</f>
        <v>1</v>
      </c>
      <c r="I33" s="23" t="n">
        <f aca="false">'Biaya Bulanan'!$I$53</f>
        <v>14</v>
      </c>
      <c r="J33" s="46" t="n">
        <f aca="false">(($C33*(1+-0.2))*(1+Tunjangan_Pct))*(1+IF($E33="Lapangan",Tarif_JKK_Lapangan,Tarif_JKK_Kantor)+Tarif_JKM+Tarif_JHT+Tarif_THR)+MIN((($C33*(1+-0.2))*(1+Tunjangan_Pct)),Plafon_JP)*Tarif_JP+MIN(MAX((($C33*(1+-0.2))*(1+Tunjangan_Pct)),IF($D33="Padang",UMP_Padang,UMK_Pekanbaru)),Plafon_JKN)*Tarif_JKN</f>
        <v>6819384</v>
      </c>
      <c r="K33" s="46" t="n">
        <f aca="false">(($C33*(1+-0.1))*(1+Tunjangan_Pct))*(1+IF($E33="Lapangan",Tarif_JKK_Lapangan,Tarif_JKK_Kantor)+Tarif_JKM+Tarif_JHT+Tarif_THR)+MIN((($C33*(1+-0.1))*(1+Tunjangan_Pct)),Plafon_JP)*Tarif_JP+MIN(MAX((($C33*(1+-0.1))*(1+Tunjangan_Pct)),IF($D33="Padang",UMP_Padang,UMK_Pekanbaru)),Plafon_JKN)*Tarif_JKN</f>
        <v>7671807</v>
      </c>
      <c r="L33" s="46" t="n">
        <f aca="false">(($C33*(1+0))*(1+Tunjangan_Pct))*(1+IF($E33="Lapangan",Tarif_JKK_Lapangan,Tarif_JKK_Kantor)+Tarif_JKM+Tarif_JHT+Tarif_THR)+MIN((($C33*(1+0))*(1+Tunjangan_Pct)),Plafon_JP)*Tarif_JP+MIN(MAX((($C33*(1+0))*(1+Tunjangan_Pct)),IF($D33="Padang",UMP_Padang,UMK_Pekanbaru)),Plafon_JKN)*Tarif_JKN</f>
        <v>8524230</v>
      </c>
      <c r="M33" s="46" t="n">
        <f aca="false">(($C33*(1+0.1))*(1+Tunjangan_Pct))*(1+IF($E33="Lapangan",Tarif_JKK_Lapangan,Tarif_JKK_Kantor)+Tarif_JKM+Tarif_JHT+Tarif_THR)+MIN((($C33*(1+0.1))*(1+Tunjangan_Pct)),Plafon_JP)*Tarif_JP+MIN(MAX((($C33*(1+0.1))*(1+Tunjangan_Pct)),IF($D33="Padang",UMP_Padang,UMK_Pekanbaru)),Plafon_JKN)*Tarif_JKN</f>
        <v>9376653</v>
      </c>
      <c r="N33" s="46" t="n">
        <f aca="false">(($C33*(1+0.2))*(1+Tunjangan_Pct))*(1+IF($E33="Lapangan",Tarif_JKK_Lapangan,Tarif_JKK_Kantor)+Tarif_JKM+Tarif_JHT+Tarif_THR)+MIN((($C33*(1+0.2))*(1+Tunjangan_Pct)),Plafon_JP)*Tarif_JP+MIN(MAX((($C33*(1+0.2))*(1+Tunjangan_Pct)),IF($D33="Padang",UMP_Padang,UMK_Pekanbaru)),Plafon_JKN)*Tarif_JKN</f>
        <v>10229076</v>
      </c>
      <c r="O33" s="47" t="n">
        <f aca="false">$F33*MAX(0,MIN(3,4-MAX(1,$I33+-3)))+$G33*MAX(0,MIN(9,13-MAX(MAX(1,$I33+-3),4)))</f>
        <v>0</v>
      </c>
      <c r="P33" s="47" t="n">
        <f aca="false">$F33*MAX(0,MIN(3,4-MAX(1,$I33+-2)))+$G33*MAX(0,MIN(9,13-MAX(MAX(1,$I33+-2),4)))</f>
        <v>0</v>
      </c>
      <c r="Q33" s="47" t="n">
        <f aca="false">$F33*MAX(0,MIN(3,4-MAX(1,$I33+-1)))+$G33*MAX(0,MIN(9,13-MAX(MAX(1,$I33+-1),4)))</f>
        <v>0</v>
      </c>
      <c r="R33" s="47" t="n">
        <f aca="false">$F33*MAX(0,MIN(3,4-MAX(1,$I33+0)))+$G33*MAX(0,MIN(9,13-MAX(MAX(1,$I33+0),4)))</f>
        <v>0</v>
      </c>
      <c r="S33" s="47" t="n">
        <f aca="false">$F33*MAX(0,MIN(3,4-MAX(1,$I33+1)))+$G33*MAX(0,MIN(9,13-MAX(MAX(1,$I33+1),4)))</f>
        <v>0</v>
      </c>
      <c r="T33" s="47" t="n">
        <f aca="false">$F33*MAX(0,MIN(3,4-MAX(1,$I33+2)))+$G33*MAX(0,MIN(9,13-MAX(MAX(1,$I33+2),4)))</f>
        <v>0</v>
      </c>
      <c r="U33" s="47" t="n">
        <f aca="false">$F33*MAX(0,MIN(3,4-MAX(1,$I33+3)))+$G33*MAX(0,MIN(9,13-MAX(MAX(1,$I33+3),4)))</f>
        <v>0</v>
      </c>
      <c r="V33" s="47" t="n">
        <f aca="false">O33+$H33*MAX(0,MIN(12,25-MAX(MAX(1,$I33+-3),13)))</f>
        <v>12</v>
      </c>
      <c r="W33" s="47" t="n">
        <f aca="false">P33+$H33*MAX(0,MIN(12,25-MAX(MAX(1,$I33+-2),13)))</f>
        <v>12</v>
      </c>
      <c r="X33" s="47" t="n">
        <f aca="false">Q33+$H33*MAX(0,MIN(12,25-MAX(MAX(1,$I33+-1),13)))</f>
        <v>12</v>
      </c>
      <c r="Y33" s="47" t="n">
        <f aca="false">R33+$H33*MAX(0,MIN(12,25-MAX(MAX(1,$I33+0),13)))</f>
        <v>11</v>
      </c>
      <c r="Z33" s="47" t="n">
        <f aca="false">S33+$H33*MAX(0,MIN(12,25-MAX(MAX(1,$I33+1),13)))</f>
        <v>10</v>
      </c>
      <c r="AA33" s="47" t="n">
        <f aca="false">T33+$H33*MAX(0,MIN(12,25-MAX(MAX(1,$I33+2),13)))</f>
        <v>9</v>
      </c>
      <c r="AB33" s="47" t="n">
        <f aca="false">U33+$H33*MAX(0,MIN(12,25-MAX(MAX(1,$I33+3),13)))</f>
        <v>8</v>
      </c>
    </row>
    <row r="34" customFormat="false" ht="15" hidden="false" customHeight="false" outlineLevel="0" collapsed="false">
      <c r="A34" s="18" t="n">
        <v>29</v>
      </c>
      <c r="B34" s="43" t="str">
        <f aca="false">'Biaya Bulanan'!$C$54</f>
        <v>CS Agent Padang (shift)</v>
      </c>
      <c r="C34" s="54" t="n">
        <f aca="false">'Biaya Bulanan'!$K$54</f>
        <v>3850000</v>
      </c>
      <c r="D34" s="23" t="str">
        <f aca="false">'Biaya Bulanan'!$E$54</f>
        <v>Padang</v>
      </c>
      <c r="E34" s="23" t="str">
        <f aca="false">'Biaya Bulanan'!$H$54</f>
        <v>Kantor</v>
      </c>
      <c r="F34" s="23" t="n">
        <f aca="false">'Biaya Bulanan'!$V$54</f>
        <v>0</v>
      </c>
      <c r="G34" s="23" t="n">
        <f aca="false">'Biaya Bulanan'!$W$54</f>
        <v>0</v>
      </c>
      <c r="H34" s="23" t="n">
        <f aca="false">'Biaya Bulanan'!$X$54</f>
        <v>2</v>
      </c>
      <c r="I34" s="23" t="n">
        <f aca="false">'Biaya Bulanan'!$I$54</f>
        <v>14</v>
      </c>
      <c r="J34" s="46" t="n">
        <f aca="false">(($C34*(1+-0.2))*(1+Tunjangan_Pct))*(1+IF($E34="Lapangan",Tarif_JKK_Lapangan,Tarif_JKK_Kantor)+Tarif_JKM+Tarif_JHT+Tarif_THR)+MIN((($C34*(1+-0.2))*(1+Tunjangan_Pct)),Plafon_JP)*Tarif_JP+MIN(MAX((($C34*(1+-0.2))*(1+Tunjangan_Pct)),IF($D34="Padang",UMP_Padang,UMK_Pekanbaru)),Plafon_JKN)*Tarif_JKN</f>
        <v>4027315.6</v>
      </c>
      <c r="K34" s="46" t="n">
        <f aca="false">(($C34*(1+-0.1))*(1+Tunjangan_Pct))*(1+IF($E34="Lapangan",Tarif_JKK_Lapangan,Tarif_JKK_Kantor)+Tarif_JKM+Tarif_JHT+Tarif_THR)+MIN((($C34*(1+-0.1))*(1+Tunjangan_Pct)),Plafon_JP)*Tarif_JP+MIN(MAX((($C34*(1+-0.1))*(1+Tunjangan_Pct)),IF($D34="Padang",UMP_Padang,UMK_Pekanbaru)),Plafon_JKN)*Tarif_JKN</f>
        <v>4530730.05</v>
      </c>
      <c r="L34" s="46" t="n">
        <f aca="false">(($C34*(1+0))*(1+Tunjangan_Pct))*(1+IF($E34="Lapangan",Tarif_JKK_Lapangan,Tarif_JKK_Kantor)+Tarif_JKM+Tarif_JHT+Tarif_THR)+MIN((($C34*(1+0))*(1+Tunjangan_Pct)),Plafon_JP)*Tarif_JP+MIN(MAX((($C34*(1+0))*(1+Tunjangan_Pct)),IF($D34="Padang",UMP_Padang,UMK_Pekanbaru)),Plafon_JKN)*Tarif_JKN</f>
        <v>5034144.5</v>
      </c>
      <c r="M34" s="46" t="n">
        <f aca="false">(($C34*(1+0.1))*(1+Tunjangan_Pct))*(1+IF($E34="Lapangan",Tarif_JKK_Lapangan,Tarif_JKK_Kantor)+Tarif_JKM+Tarif_JHT+Tarif_THR)+MIN((($C34*(1+0.1))*(1+Tunjangan_Pct)),Plafon_JP)*Tarif_JP+MIN(MAX((($C34*(1+0.1))*(1+Tunjangan_Pct)),IF($D34="Padang",UMP_Padang,UMK_Pekanbaru)),Plafon_JKN)*Tarif_JKN</f>
        <v>5537558.95</v>
      </c>
      <c r="N34" s="46" t="n">
        <f aca="false">(($C34*(1+0.2))*(1+Tunjangan_Pct))*(1+IF($E34="Lapangan",Tarif_JKK_Lapangan,Tarif_JKK_Kantor)+Tarif_JKM+Tarif_JHT+Tarif_THR)+MIN((($C34*(1+0.2))*(1+Tunjangan_Pct)),Plafon_JP)*Tarif_JP+MIN(MAX((($C34*(1+0.2))*(1+Tunjangan_Pct)),IF($D34="Padang",UMP_Padang,UMK_Pekanbaru)),Plafon_JKN)*Tarif_JKN</f>
        <v>6040973.4</v>
      </c>
      <c r="O34" s="47" t="n">
        <f aca="false">$F34*MAX(0,MIN(3,4-MAX(1,$I34+-3)))+$G34*MAX(0,MIN(9,13-MAX(MAX(1,$I34+-3),4)))</f>
        <v>0</v>
      </c>
      <c r="P34" s="47" t="n">
        <f aca="false">$F34*MAX(0,MIN(3,4-MAX(1,$I34+-2)))+$G34*MAX(0,MIN(9,13-MAX(MAX(1,$I34+-2),4)))</f>
        <v>0</v>
      </c>
      <c r="Q34" s="47" t="n">
        <f aca="false">$F34*MAX(0,MIN(3,4-MAX(1,$I34+-1)))+$G34*MAX(0,MIN(9,13-MAX(MAX(1,$I34+-1),4)))</f>
        <v>0</v>
      </c>
      <c r="R34" s="47" t="n">
        <f aca="false">$F34*MAX(0,MIN(3,4-MAX(1,$I34+0)))+$G34*MAX(0,MIN(9,13-MAX(MAX(1,$I34+0),4)))</f>
        <v>0</v>
      </c>
      <c r="S34" s="47" t="n">
        <f aca="false">$F34*MAX(0,MIN(3,4-MAX(1,$I34+1)))+$G34*MAX(0,MIN(9,13-MAX(MAX(1,$I34+1),4)))</f>
        <v>0</v>
      </c>
      <c r="T34" s="47" t="n">
        <f aca="false">$F34*MAX(0,MIN(3,4-MAX(1,$I34+2)))+$G34*MAX(0,MIN(9,13-MAX(MAX(1,$I34+2),4)))</f>
        <v>0</v>
      </c>
      <c r="U34" s="47" t="n">
        <f aca="false">$F34*MAX(0,MIN(3,4-MAX(1,$I34+3)))+$G34*MAX(0,MIN(9,13-MAX(MAX(1,$I34+3),4)))</f>
        <v>0</v>
      </c>
      <c r="V34" s="47" t="n">
        <f aca="false">O34+$H34*MAX(0,MIN(12,25-MAX(MAX(1,$I34+-3),13)))</f>
        <v>24</v>
      </c>
      <c r="W34" s="47" t="n">
        <f aca="false">P34+$H34*MAX(0,MIN(12,25-MAX(MAX(1,$I34+-2),13)))</f>
        <v>24</v>
      </c>
      <c r="X34" s="47" t="n">
        <f aca="false">Q34+$H34*MAX(0,MIN(12,25-MAX(MAX(1,$I34+-1),13)))</f>
        <v>24</v>
      </c>
      <c r="Y34" s="47" t="n">
        <f aca="false">R34+$H34*MAX(0,MIN(12,25-MAX(MAX(1,$I34+0),13)))</f>
        <v>22</v>
      </c>
      <c r="Z34" s="47" t="n">
        <f aca="false">S34+$H34*MAX(0,MIN(12,25-MAX(MAX(1,$I34+1),13)))</f>
        <v>20</v>
      </c>
      <c r="AA34" s="47" t="n">
        <f aca="false">T34+$H34*MAX(0,MIN(12,25-MAX(MAX(1,$I34+2),13)))</f>
        <v>18</v>
      </c>
      <c r="AB34" s="47" t="n">
        <f aca="false">U34+$H34*MAX(0,MIN(12,25-MAX(MAX(1,$I34+3),13)))</f>
        <v>16</v>
      </c>
    </row>
    <row r="35" customFormat="false" ht="15" hidden="false" customHeight="false" outlineLevel="0" collapsed="false">
      <c r="A35" s="18" t="n">
        <v>30</v>
      </c>
      <c r="B35" s="43" t="str">
        <f aca="false">'Biaya Bulanan'!$C$55</f>
        <v>Partner Acquisition Padang - gelombang 2</v>
      </c>
      <c r="C35" s="54" t="n">
        <f aca="false">'Biaya Bulanan'!$K$55</f>
        <v>4350000</v>
      </c>
      <c r="D35" s="23" t="str">
        <f aca="false">'Biaya Bulanan'!$E$55</f>
        <v>Padang</v>
      </c>
      <c r="E35" s="23" t="str">
        <f aca="false">'Biaya Bulanan'!$H$55</f>
        <v>Lapangan</v>
      </c>
      <c r="F35" s="23" t="n">
        <f aca="false">'Biaya Bulanan'!$V$55</f>
        <v>0</v>
      </c>
      <c r="G35" s="23" t="n">
        <f aca="false">'Biaya Bulanan'!$W$55</f>
        <v>0</v>
      </c>
      <c r="H35" s="23" t="n">
        <f aca="false">'Biaya Bulanan'!$X$55</f>
        <v>1</v>
      </c>
      <c r="I35" s="23" t="n">
        <f aca="false">'Biaya Bulanan'!$I$55</f>
        <v>15</v>
      </c>
      <c r="J35" s="46" t="n">
        <f aca="false">(($C35*(1+-0.2))*(1+Tunjangan_Pct))*(1+IF($E35="Lapangan",Tarif_JKK_Lapangan,Tarif_JKK_Kantor)+Tarif_JKM+Tarif_JHT+Tarif_THR)+MIN((($C35*(1+-0.2))*(1+Tunjangan_Pct)),Plafon_JP)*Tarif_JP+MIN(MAX((($C35*(1+-0.2))*(1+Tunjangan_Pct)),IF($D35="Padang",UMP_Padang,UMK_Pekanbaru)),Plafon_JKN)*Tarif_JKN</f>
        <v>4563741.6</v>
      </c>
      <c r="K35" s="46" t="n">
        <f aca="false">(($C35*(1+-0.1))*(1+Tunjangan_Pct))*(1+IF($E35="Lapangan",Tarif_JKK_Lapangan,Tarif_JKK_Kantor)+Tarif_JKM+Tarif_JHT+Tarif_THR)+MIN((($C35*(1+-0.1))*(1+Tunjangan_Pct)),Plafon_JP)*Tarif_JP+MIN(MAX((($C35*(1+-0.1))*(1+Tunjangan_Pct)),IF($D35="Padang",UMP_Padang,UMK_Pekanbaru)),Plafon_JKN)*Tarif_JKN</f>
        <v>5134209.3</v>
      </c>
      <c r="L35" s="46" t="n">
        <f aca="false">(($C35*(1+0))*(1+Tunjangan_Pct))*(1+IF($E35="Lapangan",Tarif_JKK_Lapangan,Tarif_JKK_Kantor)+Tarif_JKM+Tarif_JHT+Tarif_THR)+MIN((($C35*(1+0))*(1+Tunjangan_Pct)),Plafon_JP)*Tarif_JP+MIN(MAX((($C35*(1+0))*(1+Tunjangan_Pct)),IF($D35="Padang",UMP_Padang,UMK_Pekanbaru)),Plafon_JKN)*Tarif_JKN</f>
        <v>5704677</v>
      </c>
      <c r="M35" s="46" t="n">
        <f aca="false">(($C35*(1+0.1))*(1+Tunjangan_Pct))*(1+IF($E35="Lapangan",Tarif_JKK_Lapangan,Tarif_JKK_Kantor)+Tarif_JKM+Tarif_JHT+Tarif_THR)+MIN((($C35*(1+0.1))*(1+Tunjangan_Pct)),Plafon_JP)*Tarif_JP+MIN(MAX((($C35*(1+0.1))*(1+Tunjangan_Pct)),IF($D35="Padang",UMP_Padang,UMK_Pekanbaru)),Plafon_JKN)*Tarif_JKN</f>
        <v>6275144.7</v>
      </c>
      <c r="N35" s="46" t="n">
        <f aca="false">(($C35*(1+0.2))*(1+Tunjangan_Pct))*(1+IF($E35="Lapangan",Tarif_JKK_Lapangan,Tarif_JKK_Kantor)+Tarif_JKM+Tarif_JHT+Tarif_THR)+MIN((($C35*(1+0.2))*(1+Tunjangan_Pct)),Plafon_JP)*Tarif_JP+MIN(MAX((($C35*(1+0.2))*(1+Tunjangan_Pct)),IF($D35="Padang",UMP_Padang,UMK_Pekanbaru)),Plafon_JKN)*Tarif_JKN</f>
        <v>6845612.4</v>
      </c>
      <c r="O35" s="47" t="n">
        <f aca="false">$F35*MAX(0,MIN(3,4-MAX(1,$I35+-3)))+$G35*MAX(0,MIN(9,13-MAX(MAX(1,$I35+-3),4)))</f>
        <v>0</v>
      </c>
      <c r="P35" s="47" t="n">
        <f aca="false">$F35*MAX(0,MIN(3,4-MAX(1,$I35+-2)))+$G35*MAX(0,MIN(9,13-MAX(MAX(1,$I35+-2),4)))</f>
        <v>0</v>
      </c>
      <c r="Q35" s="47" t="n">
        <f aca="false">$F35*MAX(0,MIN(3,4-MAX(1,$I35+-1)))+$G35*MAX(0,MIN(9,13-MAX(MAX(1,$I35+-1),4)))</f>
        <v>0</v>
      </c>
      <c r="R35" s="47" t="n">
        <f aca="false">$F35*MAX(0,MIN(3,4-MAX(1,$I35+0)))+$G35*MAX(0,MIN(9,13-MAX(MAX(1,$I35+0),4)))</f>
        <v>0</v>
      </c>
      <c r="S35" s="47" t="n">
        <f aca="false">$F35*MAX(0,MIN(3,4-MAX(1,$I35+1)))+$G35*MAX(0,MIN(9,13-MAX(MAX(1,$I35+1),4)))</f>
        <v>0</v>
      </c>
      <c r="T35" s="47" t="n">
        <f aca="false">$F35*MAX(0,MIN(3,4-MAX(1,$I35+2)))+$G35*MAX(0,MIN(9,13-MAX(MAX(1,$I35+2),4)))</f>
        <v>0</v>
      </c>
      <c r="U35" s="47" t="n">
        <f aca="false">$F35*MAX(0,MIN(3,4-MAX(1,$I35+3)))+$G35*MAX(0,MIN(9,13-MAX(MAX(1,$I35+3),4)))</f>
        <v>0</v>
      </c>
      <c r="V35" s="47" t="n">
        <f aca="false">O35+$H35*MAX(0,MIN(12,25-MAX(MAX(1,$I35+-3),13)))</f>
        <v>12</v>
      </c>
      <c r="W35" s="47" t="n">
        <f aca="false">P35+$H35*MAX(0,MIN(12,25-MAX(MAX(1,$I35+-2),13)))</f>
        <v>12</v>
      </c>
      <c r="X35" s="47" t="n">
        <f aca="false">Q35+$H35*MAX(0,MIN(12,25-MAX(MAX(1,$I35+-1),13)))</f>
        <v>11</v>
      </c>
      <c r="Y35" s="47" t="n">
        <f aca="false">R35+$H35*MAX(0,MIN(12,25-MAX(MAX(1,$I35+0),13)))</f>
        <v>10</v>
      </c>
      <c r="Z35" s="47" t="n">
        <f aca="false">S35+$H35*MAX(0,MIN(12,25-MAX(MAX(1,$I35+1),13)))</f>
        <v>9</v>
      </c>
      <c r="AA35" s="47" t="n">
        <f aca="false">T35+$H35*MAX(0,MIN(12,25-MAX(MAX(1,$I35+2),13)))</f>
        <v>8</v>
      </c>
      <c r="AB35" s="47" t="n">
        <f aca="false">U35+$H35*MAX(0,MIN(12,25-MAX(MAX(1,$I35+3),13)))</f>
        <v>7</v>
      </c>
    </row>
    <row r="36" customFormat="false" ht="15" hidden="false" customHeight="false" outlineLevel="0" collapsed="false">
      <c r="A36" s="18" t="n">
        <v>31</v>
      </c>
      <c r="B36" s="43" t="str">
        <f aca="false">'Biaya Bulanan'!$C$56</f>
        <v>Head of Growth &amp; Partnership</v>
      </c>
      <c r="C36" s="54" t="n">
        <f aca="false">'Biaya Bulanan'!$K$56</f>
        <v>21500000</v>
      </c>
      <c r="D36" s="23" t="str">
        <f aca="false">'Biaya Bulanan'!$E$56</f>
        <v>Pekanbaru</v>
      </c>
      <c r="E36" s="23" t="str">
        <f aca="false">'Biaya Bulanan'!$H$56</f>
        <v>Kantor</v>
      </c>
      <c r="F36" s="23" t="n">
        <f aca="false">'Biaya Bulanan'!$V$56</f>
        <v>0</v>
      </c>
      <c r="G36" s="23" t="n">
        <f aca="false">'Biaya Bulanan'!$W$56</f>
        <v>1</v>
      </c>
      <c r="H36" s="23" t="n">
        <f aca="false">'Biaya Bulanan'!$X$56</f>
        <v>1</v>
      </c>
      <c r="I36" s="23" t="n">
        <f aca="false">'Biaya Bulanan'!$I$56</f>
        <v>4</v>
      </c>
      <c r="J36" s="46" t="n">
        <f aca="false">(($C36*(1+-0.2))*(1+Tunjangan_Pct))*(1+IF($E36="Lapangan",Tarif_JKK_Lapangan,Tarif_JKK_Kantor)+Tarif_JKM+Tarif_JHT+Tarif_THR)+MIN((($C36*(1+-0.2))*(1+Tunjangan_Pct)),Plafon_JP)*Tarif_JP+MIN(MAX((($C36*(1+-0.2))*(1+Tunjangan_Pct)),IF($D36="Padang",UMP_Padang,UMK_Pekanbaru)),Plafon_JKN)*Tarif_JKN</f>
        <v>22056730</v>
      </c>
      <c r="K36" s="46" t="n">
        <f aca="false">(($C36*(1+-0.1))*(1+Tunjangan_Pct))*(1+IF($E36="Lapangan",Tarif_JKK_Lapangan,Tarif_JKK_Kantor)+Tarif_JKM+Tarif_JHT+Tarif_THR)+MIN((($C36*(1+-0.1))*(1+Tunjangan_Pct)),Plafon_JP)*Tarif_JP+MIN(MAX((($C36*(1+-0.1))*(1+Tunjangan_Pct)),IF($D36="Padang",UMP_Padang,UMK_Pekanbaru)),Plafon_JKN)*Tarif_JKN</f>
        <v>24726105.5</v>
      </c>
      <c r="L36" s="46" t="n">
        <f aca="false">(($C36*(1+0))*(1+Tunjangan_Pct))*(1+IF($E36="Lapangan",Tarif_JKK_Lapangan,Tarif_JKK_Kantor)+Tarif_JKM+Tarif_JHT+Tarif_THR)+MIN((($C36*(1+0))*(1+Tunjangan_Pct)),Plafon_JP)*Tarif_JP+MIN(MAX((($C36*(1+0))*(1+Tunjangan_Pct)),IF($D36="Padang",UMP_Padang,UMK_Pekanbaru)),Plafon_JKN)*Tarif_JKN</f>
        <v>27395481</v>
      </c>
      <c r="M36" s="46" t="n">
        <f aca="false">(($C36*(1+0.1))*(1+Tunjangan_Pct))*(1+IF($E36="Lapangan",Tarif_JKK_Lapangan,Tarif_JKK_Kantor)+Tarif_JKM+Tarif_JHT+Tarif_THR)+MIN((($C36*(1+0.1))*(1+Tunjangan_Pct)),Plafon_JP)*Tarif_JP+MIN(MAX((($C36*(1+0.1))*(1+Tunjangan_Pct)),IF($D36="Padang",UMP_Padang,UMK_Pekanbaru)),Plafon_JKN)*Tarif_JKN</f>
        <v>30064856.5</v>
      </c>
      <c r="N36" s="46" t="n">
        <f aca="false">(($C36*(1+0.2))*(1+Tunjangan_Pct))*(1+IF($E36="Lapangan",Tarif_JKK_Lapangan,Tarif_JKK_Kantor)+Tarif_JKM+Tarif_JHT+Tarif_THR)+MIN((($C36*(1+0.2))*(1+Tunjangan_Pct)),Plafon_JP)*Tarif_JP+MIN(MAX((($C36*(1+0.2))*(1+Tunjangan_Pct)),IF($D36="Padang",UMP_Padang,UMK_Pekanbaru)),Plafon_JKN)*Tarif_JKN</f>
        <v>32734232</v>
      </c>
      <c r="O36" s="47" t="n">
        <f aca="false">$F36*MAX(0,MIN(3,4-MAX(1,$I36+-3)))+$G36*MAX(0,MIN(9,13-MAX(MAX(1,$I36+-3),4)))</f>
        <v>9</v>
      </c>
      <c r="P36" s="47" t="n">
        <f aca="false">$F36*MAX(0,MIN(3,4-MAX(1,$I36+-2)))+$G36*MAX(0,MIN(9,13-MAX(MAX(1,$I36+-2),4)))</f>
        <v>9</v>
      </c>
      <c r="Q36" s="47" t="n">
        <f aca="false">$F36*MAX(0,MIN(3,4-MAX(1,$I36+-1)))+$G36*MAX(0,MIN(9,13-MAX(MAX(1,$I36+-1),4)))</f>
        <v>9</v>
      </c>
      <c r="R36" s="47" t="n">
        <f aca="false">$F36*MAX(0,MIN(3,4-MAX(1,$I36+0)))+$G36*MAX(0,MIN(9,13-MAX(MAX(1,$I36+0),4)))</f>
        <v>9</v>
      </c>
      <c r="S36" s="47" t="n">
        <f aca="false">$F36*MAX(0,MIN(3,4-MAX(1,$I36+1)))+$G36*MAX(0,MIN(9,13-MAX(MAX(1,$I36+1),4)))</f>
        <v>8</v>
      </c>
      <c r="T36" s="47" t="n">
        <f aca="false">$F36*MAX(0,MIN(3,4-MAX(1,$I36+2)))+$G36*MAX(0,MIN(9,13-MAX(MAX(1,$I36+2),4)))</f>
        <v>7</v>
      </c>
      <c r="U36" s="47" t="n">
        <f aca="false">$F36*MAX(0,MIN(3,4-MAX(1,$I36+3)))+$G36*MAX(0,MIN(9,13-MAX(MAX(1,$I36+3),4)))</f>
        <v>6</v>
      </c>
      <c r="V36" s="47" t="n">
        <f aca="false">O36+$H36*MAX(0,MIN(12,25-MAX(MAX(1,$I36+-3),13)))</f>
        <v>21</v>
      </c>
      <c r="W36" s="47" t="n">
        <f aca="false">P36+$H36*MAX(0,MIN(12,25-MAX(MAX(1,$I36+-2),13)))</f>
        <v>21</v>
      </c>
      <c r="X36" s="47" t="n">
        <f aca="false">Q36+$H36*MAX(0,MIN(12,25-MAX(MAX(1,$I36+-1),13)))</f>
        <v>21</v>
      </c>
      <c r="Y36" s="47" t="n">
        <f aca="false">R36+$H36*MAX(0,MIN(12,25-MAX(MAX(1,$I36+0),13)))</f>
        <v>21</v>
      </c>
      <c r="Z36" s="47" t="n">
        <f aca="false">S36+$H36*MAX(0,MIN(12,25-MAX(MAX(1,$I36+1),13)))</f>
        <v>20</v>
      </c>
      <c r="AA36" s="47" t="n">
        <f aca="false">T36+$H36*MAX(0,MIN(12,25-MAX(MAX(1,$I36+2),13)))</f>
        <v>19</v>
      </c>
      <c r="AB36" s="47" t="n">
        <f aca="false">U36+$H36*MAX(0,MIN(12,25-MAX(MAX(1,$I36+3),13)))</f>
        <v>18</v>
      </c>
    </row>
    <row r="37" customFormat="false" ht="15" hidden="false" customHeight="false" outlineLevel="0" collapsed="false">
      <c r="A37" s="18" t="n">
        <v>32</v>
      </c>
      <c r="B37" s="43" t="str">
        <f aca="false">'Biaya Bulanan'!$C$57</f>
        <v>Digital Marketing Staff</v>
      </c>
      <c r="C37" s="54" t="n">
        <f aca="false">'Biaya Bulanan'!$K$57</f>
        <v>7000000</v>
      </c>
      <c r="D37" s="23" t="str">
        <f aca="false">'Biaya Bulanan'!$E$57</f>
        <v>Pekanbaru</v>
      </c>
      <c r="E37" s="23" t="str">
        <f aca="false">'Biaya Bulanan'!$H$57</f>
        <v>Kantor</v>
      </c>
      <c r="F37" s="23" t="n">
        <f aca="false">'Biaya Bulanan'!$V$57</f>
        <v>0</v>
      </c>
      <c r="G37" s="23" t="n">
        <f aca="false">'Biaya Bulanan'!$W$57</f>
        <v>0</v>
      </c>
      <c r="H37" s="23" t="n">
        <f aca="false">'Biaya Bulanan'!$X$57</f>
        <v>1</v>
      </c>
      <c r="I37" s="23" t="n">
        <f aca="false">'Biaya Bulanan'!$I$57</f>
        <v>13</v>
      </c>
      <c r="J37" s="46" t="n">
        <f aca="false">(($C37*(1+-0.2))*(1+Tunjangan_Pct))*(1+IF($E37="Lapangan",Tarif_JKK_Lapangan,Tarif_JKK_Kantor)+Tarif_JKM+Tarif_JHT+Tarif_THR)+MIN((($C37*(1+-0.2))*(1+Tunjangan_Pct)),Plafon_JP)*Tarif_JP+MIN(MAX((($C37*(1+-0.2))*(1+Tunjangan_Pct)),IF($D37="Padang",UMP_Padang,UMK_Pekanbaru)),Plafon_JKN)*Tarif_JKN</f>
        <v>7322392</v>
      </c>
      <c r="K37" s="46" t="n">
        <f aca="false">(($C37*(1+-0.1))*(1+Tunjangan_Pct))*(1+IF($E37="Lapangan",Tarif_JKK_Lapangan,Tarif_JKK_Kantor)+Tarif_JKM+Tarif_JHT+Tarif_THR)+MIN((($C37*(1+-0.1))*(1+Tunjangan_Pct)),Plafon_JP)*Tarif_JP+MIN(MAX((($C37*(1+-0.1))*(1+Tunjangan_Pct)),IF($D37="Padang",UMP_Padang,UMK_Pekanbaru)),Plafon_JKN)*Tarif_JKN</f>
        <v>8237691</v>
      </c>
      <c r="L37" s="46" t="n">
        <f aca="false">(($C37*(1+0))*(1+Tunjangan_Pct))*(1+IF($E37="Lapangan",Tarif_JKK_Lapangan,Tarif_JKK_Kantor)+Tarif_JKM+Tarif_JHT+Tarif_THR)+MIN((($C37*(1+0))*(1+Tunjangan_Pct)),Plafon_JP)*Tarif_JP+MIN(MAX((($C37*(1+0))*(1+Tunjangan_Pct)),IF($D37="Padang",UMP_Padang,UMK_Pekanbaru)),Plafon_JKN)*Tarif_JKN</f>
        <v>9152990</v>
      </c>
      <c r="M37" s="46" t="n">
        <f aca="false">(($C37*(1+0.1))*(1+Tunjangan_Pct))*(1+IF($E37="Lapangan",Tarif_JKK_Lapangan,Tarif_JKK_Kantor)+Tarif_JKM+Tarif_JHT+Tarif_THR)+MIN((($C37*(1+0.1))*(1+Tunjangan_Pct)),Plafon_JP)*Tarif_JP+MIN(MAX((($C37*(1+0.1))*(1+Tunjangan_Pct)),IF($D37="Padang",UMP_Padang,UMK_Pekanbaru)),Plafon_JKN)*Tarif_JKN</f>
        <v>10068289</v>
      </c>
      <c r="N37" s="46" t="n">
        <f aca="false">(($C37*(1+0.2))*(1+Tunjangan_Pct))*(1+IF($E37="Lapangan",Tarif_JKK_Lapangan,Tarif_JKK_Kantor)+Tarif_JKM+Tarif_JHT+Tarif_THR)+MIN((($C37*(1+0.2))*(1+Tunjangan_Pct)),Plafon_JP)*Tarif_JP+MIN(MAX((($C37*(1+0.2))*(1+Tunjangan_Pct)),IF($D37="Padang",UMP_Padang,UMK_Pekanbaru)),Plafon_JKN)*Tarif_JKN</f>
        <v>10983588</v>
      </c>
      <c r="O37" s="47" t="n">
        <f aca="false">$F37*MAX(0,MIN(3,4-MAX(1,$I37+-3)))+$G37*MAX(0,MIN(9,13-MAX(MAX(1,$I37+-3),4)))</f>
        <v>0</v>
      </c>
      <c r="P37" s="47" t="n">
        <f aca="false">$F37*MAX(0,MIN(3,4-MAX(1,$I37+-2)))+$G37*MAX(0,MIN(9,13-MAX(MAX(1,$I37+-2),4)))</f>
        <v>0</v>
      </c>
      <c r="Q37" s="47" t="n">
        <f aca="false">$F37*MAX(0,MIN(3,4-MAX(1,$I37+-1)))+$G37*MAX(0,MIN(9,13-MAX(MAX(1,$I37+-1),4)))</f>
        <v>0</v>
      </c>
      <c r="R37" s="47" t="n">
        <f aca="false">$F37*MAX(0,MIN(3,4-MAX(1,$I37+0)))+$G37*MAX(0,MIN(9,13-MAX(MAX(1,$I37+0),4)))</f>
        <v>0</v>
      </c>
      <c r="S37" s="47" t="n">
        <f aca="false">$F37*MAX(0,MIN(3,4-MAX(1,$I37+1)))+$G37*MAX(0,MIN(9,13-MAX(MAX(1,$I37+1),4)))</f>
        <v>0</v>
      </c>
      <c r="T37" s="47" t="n">
        <f aca="false">$F37*MAX(0,MIN(3,4-MAX(1,$I37+2)))+$G37*MAX(0,MIN(9,13-MAX(MAX(1,$I37+2),4)))</f>
        <v>0</v>
      </c>
      <c r="U37" s="47" t="n">
        <f aca="false">$F37*MAX(0,MIN(3,4-MAX(1,$I37+3)))+$G37*MAX(0,MIN(9,13-MAX(MAX(1,$I37+3),4)))</f>
        <v>0</v>
      </c>
      <c r="V37" s="47" t="n">
        <f aca="false">O37+$H37*MAX(0,MIN(12,25-MAX(MAX(1,$I37+-3),13)))</f>
        <v>12</v>
      </c>
      <c r="W37" s="47" t="n">
        <f aca="false">P37+$H37*MAX(0,MIN(12,25-MAX(MAX(1,$I37+-2),13)))</f>
        <v>12</v>
      </c>
      <c r="X37" s="47" t="n">
        <f aca="false">Q37+$H37*MAX(0,MIN(12,25-MAX(MAX(1,$I37+-1),13)))</f>
        <v>12</v>
      </c>
      <c r="Y37" s="47" t="n">
        <f aca="false">R37+$H37*MAX(0,MIN(12,25-MAX(MAX(1,$I37+0),13)))</f>
        <v>12</v>
      </c>
      <c r="Z37" s="47" t="n">
        <f aca="false">S37+$H37*MAX(0,MIN(12,25-MAX(MAX(1,$I37+1),13)))</f>
        <v>11</v>
      </c>
      <c r="AA37" s="47" t="n">
        <f aca="false">T37+$H37*MAX(0,MIN(12,25-MAX(MAX(1,$I37+2),13)))</f>
        <v>10</v>
      </c>
      <c r="AB37" s="47" t="n">
        <f aca="false">U37+$H37*MAX(0,MIN(12,25-MAX(MAX(1,$I37+3),13)))</f>
        <v>9</v>
      </c>
    </row>
    <row r="38" customFormat="false" ht="15" hidden="false" customHeight="false" outlineLevel="0" collapsed="false">
      <c r="A38" s="18" t="n">
        <v>33</v>
      </c>
      <c r="B38" s="43" t="str">
        <f aca="false">'Biaya Bulanan'!$C$58</f>
        <v>Merchant Acquisition Officer</v>
      </c>
      <c r="C38" s="54" t="n">
        <f aca="false">'Biaya Bulanan'!$K$58</f>
        <v>5250000</v>
      </c>
      <c r="D38" s="23" t="str">
        <f aca="false">'Biaya Bulanan'!$E$58</f>
        <v>Pekanbaru</v>
      </c>
      <c r="E38" s="23" t="str">
        <f aca="false">'Biaya Bulanan'!$H$58</f>
        <v>Lapangan</v>
      </c>
      <c r="F38" s="23" t="n">
        <f aca="false">'Biaya Bulanan'!$V$58</f>
        <v>0</v>
      </c>
      <c r="G38" s="23" t="n">
        <f aca="false">'Biaya Bulanan'!$W$58</f>
        <v>0</v>
      </c>
      <c r="H38" s="23" t="n">
        <f aca="false">'Biaya Bulanan'!$X$58</f>
        <v>1</v>
      </c>
      <c r="I38" s="23" t="n">
        <f aca="false">'Biaya Bulanan'!$I$58</f>
        <v>13</v>
      </c>
      <c r="J38" s="46" t="n">
        <f aca="false">(($C38*(1+-0.2))*(1+Tunjangan_Pct))*(1+IF($E38="Lapangan",Tarif_JKK_Lapangan,Tarif_JKK_Kantor)+Tarif_JKM+Tarif_JHT+Tarif_THR)+MIN((($C38*(1+-0.2))*(1+Tunjangan_Pct)),Plafon_JP)*Tarif_JP+MIN(MAX((($C38*(1+-0.2))*(1+Tunjangan_Pct)),IF($D38="Padang",UMP_Padang,UMK_Pekanbaru)),Plafon_JKN)*Tarif_JKN</f>
        <v>5507964</v>
      </c>
      <c r="K38" s="46" t="n">
        <f aca="false">(($C38*(1+-0.1))*(1+Tunjangan_Pct))*(1+IF($E38="Lapangan",Tarif_JKK_Lapangan,Tarif_JKK_Kantor)+Tarif_JKM+Tarif_JHT+Tarif_THR)+MIN((($C38*(1+-0.1))*(1+Tunjangan_Pct)),Plafon_JP)*Tarif_JP+MIN(MAX((($C38*(1+-0.1))*(1+Tunjangan_Pct)),IF($D38="Padang",UMP_Padang,UMK_Pekanbaru)),Plafon_JKN)*Tarif_JKN</f>
        <v>6196459.5</v>
      </c>
      <c r="L38" s="46" t="n">
        <f aca="false">(($C38*(1+0))*(1+Tunjangan_Pct))*(1+IF($E38="Lapangan",Tarif_JKK_Lapangan,Tarif_JKK_Kantor)+Tarif_JKM+Tarif_JHT+Tarif_THR)+MIN((($C38*(1+0))*(1+Tunjangan_Pct)),Plafon_JP)*Tarif_JP+MIN(MAX((($C38*(1+0))*(1+Tunjangan_Pct)),IF($D38="Padang",UMP_Padang,UMK_Pekanbaru)),Plafon_JKN)*Tarif_JKN</f>
        <v>6884955</v>
      </c>
      <c r="M38" s="46" t="n">
        <f aca="false">(($C38*(1+0.1))*(1+Tunjangan_Pct))*(1+IF($E38="Lapangan",Tarif_JKK_Lapangan,Tarif_JKK_Kantor)+Tarif_JKM+Tarif_JHT+Tarif_THR)+MIN((($C38*(1+0.1))*(1+Tunjangan_Pct)),Plafon_JP)*Tarif_JP+MIN(MAX((($C38*(1+0.1))*(1+Tunjangan_Pct)),IF($D38="Padang",UMP_Padang,UMK_Pekanbaru)),Plafon_JKN)*Tarif_JKN</f>
        <v>7573450.5</v>
      </c>
      <c r="N38" s="46" t="n">
        <f aca="false">(($C38*(1+0.2))*(1+Tunjangan_Pct))*(1+IF($E38="Lapangan",Tarif_JKK_Lapangan,Tarif_JKK_Kantor)+Tarif_JKM+Tarif_JHT+Tarif_THR)+MIN((($C38*(1+0.2))*(1+Tunjangan_Pct)),Plafon_JP)*Tarif_JP+MIN(MAX((($C38*(1+0.2))*(1+Tunjangan_Pct)),IF($D38="Padang",UMP_Padang,UMK_Pekanbaru)),Plafon_JKN)*Tarif_JKN</f>
        <v>8261946</v>
      </c>
      <c r="O38" s="47" t="n">
        <f aca="false">$F38*MAX(0,MIN(3,4-MAX(1,$I38+-3)))+$G38*MAX(0,MIN(9,13-MAX(MAX(1,$I38+-3),4)))</f>
        <v>0</v>
      </c>
      <c r="P38" s="47" t="n">
        <f aca="false">$F38*MAX(0,MIN(3,4-MAX(1,$I38+-2)))+$G38*MAX(0,MIN(9,13-MAX(MAX(1,$I38+-2),4)))</f>
        <v>0</v>
      </c>
      <c r="Q38" s="47" t="n">
        <f aca="false">$F38*MAX(0,MIN(3,4-MAX(1,$I38+-1)))+$G38*MAX(0,MIN(9,13-MAX(MAX(1,$I38+-1),4)))</f>
        <v>0</v>
      </c>
      <c r="R38" s="47" t="n">
        <f aca="false">$F38*MAX(0,MIN(3,4-MAX(1,$I38+0)))+$G38*MAX(0,MIN(9,13-MAX(MAX(1,$I38+0),4)))</f>
        <v>0</v>
      </c>
      <c r="S38" s="47" t="n">
        <f aca="false">$F38*MAX(0,MIN(3,4-MAX(1,$I38+1)))+$G38*MAX(0,MIN(9,13-MAX(MAX(1,$I38+1),4)))</f>
        <v>0</v>
      </c>
      <c r="T38" s="47" t="n">
        <f aca="false">$F38*MAX(0,MIN(3,4-MAX(1,$I38+2)))+$G38*MAX(0,MIN(9,13-MAX(MAX(1,$I38+2),4)))</f>
        <v>0</v>
      </c>
      <c r="U38" s="47" t="n">
        <f aca="false">$F38*MAX(0,MIN(3,4-MAX(1,$I38+3)))+$G38*MAX(0,MIN(9,13-MAX(MAX(1,$I38+3),4)))</f>
        <v>0</v>
      </c>
      <c r="V38" s="47" t="n">
        <f aca="false">O38+$H38*MAX(0,MIN(12,25-MAX(MAX(1,$I38+-3),13)))</f>
        <v>12</v>
      </c>
      <c r="W38" s="47" t="n">
        <f aca="false">P38+$H38*MAX(0,MIN(12,25-MAX(MAX(1,$I38+-2),13)))</f>
        <v>12</v>
      </c>
      <c r="X38" s="47" t="n">
        <f aca="false">Q38+$H38*MAX(0,MIN(12,25-MAX(MAX(1,$I38+-1),13)))</f>
        <v>12</v>
      </c>
      <c r="Y38" s="47" t="n">
        <f aca="false">R38+$H38*MAX(0,MIN(12,25-MAX(MAX(1,$I38+0),13)))</f>
        <v>12</v>
      </c>
      <c r="Z38" s="47" t="n">
        <f aca="false">S38+$H38*MAX(0,MIN(12,25-MAX(MAX(1,$I38+1),13)))</f>
        <v>11</v>
      </c>
      <c r="AA38" s="47" t="n">
        <f aca="false">T38+$H38*MAX(0,MIN(12,25-MAX(MAX(1,$I38+2),13)))</f>
        <v>10</v>
      </c>
      <c r="AB38" s="47" t="n">
        <f aca="false">U38+$H38*MAX(0,MIN(12,25-MAX(MAX(1,$I38+3),13)))</f>
        <v>9</v>
      </c>
    </row>
    <row r="39" customFormat="false" ht="15" hidden="false" customHeight="false" outlineLevel="0" collapsed="false">
      <c r="A39" s="18" t="n">
        <v>34</v>
      </c>
      <c r="B39" s="43" t="str">
        <f aca="false">'Biaya Bulanan'!$C$59</f>
        <v>Head of Finance</v>
      </c>
      <c r="C39" s="54" t="n">
        <f aca="false">'Biaya Bulanan'!$K$59</f>
        <v>20000000</v>
      </c>
      <c r="D39" s="23" t="str">
        <f aca="false">'Biaya Bulanan'!$E$59</f>
        <v>Pekanbaru</v>
      </c>
      <c r="E39" s="23" t="str">
        <f aca="false">'Biaya Bulanan'!$H$59</f>
        <v>Kantor</v>
      </c>
      <c r="F39" s="23" t="n">
        <f aca="false">'Biaya Bulanan'!$V$59</f>
        <v>1</v>
      </c>
      <c r="G39" s="23" t="n">
        <f aca="false">'Biaya Bulanan'!$W$59</f>
        <v>1</v>
      </c>
      <c r="H39" s="23" t="n">
        <f aca="false">'Biaya Bulanan'!$X$59</f>
        <v>1</v>
      </c>
      <c r="I39" s="23" t="n">
        <f aca="false">'Biaya Bulanan'!$I$59</f>
        <v>2</v>
      </c>
      <c r="J39" s="46" t="n">
        <f aca="false">(($C39*(1+-0.2))*(1+Tunjangan_Pct))*(1+IF($E39="Lapangan",Tarif_JKK_Lapangan,Tarif_JKK_Kantor)+Tarif_JKM+Tarif_JHT+Tarif_THR)+MIN((($C39*(1+-0.2))*(1+Tunjangan_Pct)),Plafon_JP)*Tarif_JP+MIN(MAX((($C39*(1+-0.2))*(1+Tunjangan_Pct)),IF($D39="Padang",UMP_Padang,UMK_Pekanbaru)),Plafon_JKN)*Tarif_JKN</f>
        <v>20566846</v>
      </c>
      <c r="K39" s="46" t="n">
        <f aca="false">(($C39*(1+-0.1))*(1+Tunjangan_Pct))*(1+IF($E39="Lapangan",Tarif_JKK_Lapangan,Tarif_JKK_Kantor)+Tarif_JKM+Tarif_JHT+Tarif_THR)+MIN((($C39*(1+-0.1))*(1+Tunjangan_Pct)),Plafon_JP)*Tarif_JP+MIN(MAX((($C39*(1+-0.1))*(1+Tunjangan_Pct)),IF($D39="Padang",UMP_Padang,UMK_Pekanbaru)),Plafon_JKN)*Tarif_JKN</f>
        <v>23049986</v>
      </c>
      <c r="L39" s="46" t="n">
        <f aca="false">(($C39*(1+0))*(1+Tunjangan_Pct))*(1+IF($E39="Lapangan",Tarif_JKK_Lapangan,Tarif_JKK_Kantor)+Tarif_JKM+Tarif_JHT+Tarif_THR)+MIN((($C39*(1+0))*(1+Tunjangan_Pct)),Plafon_JP)*Tarif_JP+MIN(MAX((($C39*(1+0))*(1+Tunjangan_Pct)),IF($D39="Padang",UMP_Padang,UMK_Pekanbaru)),Plafon_JKN)*Tarif_JKN</f>
        <v>25533126</v>
      </c>
      <c r="M39" s="46" t="n">
        <f aca="false">(($C39*(1+0.1))*(1+Tunjangan_Pct))*(1+IF($E39="Lapangan",Tarif_JKK_Lapangan,Tarif_JKK_Kantor)+Tarif_JKM+Tarif_JHT+Tarif_THR)+MIN((($C39*(1+0.1))*(1+Tunjangan_Pct)),Plafon_JP)*Tarif_JP+MIN(MAX((($C39*(1+0.1))*(1+Tunjangan_Pct)),IF($D39="Padang",UMP_Padang,UMK_Pekanbaru)),Plafon_JKN)*Tarif_JKN</f>
        <v>28016266</v>
      </c>
      <c r="N39" s="46" t="n">
        <f aca="false">(($C39*(1+0.2))*(1+Tunjangan_Pct))*(1+IF($E39="Lapangan",Tarif_JKK_Lapangan,Tarif_JKK_Kantor)+Tarif_JKM+Tarif_JHT+Tarif_THR)+MIN((($C39*(1+0.2))*(1+Tunjangan_Pct)),Plafon_JP)*Tarif_JP+MIN(MAX((($C39*(1+0.2))*(1+Tunjangan_Pct)),IF($D39="Padang",UMP_Padang,UMK_Pekanbaru)),Plafon_JKN)*Tarif_JKN</f>
        <v>30499406</v>
      </c>
      <c r="O39" s="47" t="n">
        <f aca="false">$F39*MAX(0,MIN(3,4-MAX(1,$I39+-3)))+$G39*MAX(0,MIN(9,13-MAX(MAX(1,$I39+-3),4)))</f>
        <v>12</v>
      </c>
      <c r="P39" s="47" t="n">
        <f aca="false">$F39*MAX(0,MIN(3,4-MAX(1,$I39+-2)))+$G39*MAX(0,MIN(9,13-MAX(MAX(1,$I39+-2),4)))</f>
        <v>12</v>
      </c>
      <c r="Q39" s="47" t="n">
        <f aca="false">$F39*MAX(0,MIN(3,4-MAX(1,$I39+-1)))+$G39*MAX(0,MIN(9,13-MAX(MAX(1,$I39+-1),4)))</f>
        <v>12</v>
      </c>
      <c r="R39" s="47" t="n">
        <f aca="false">$F39*MAX(0,MIN(3,4-MAX(1,$I39+0)))+$G39*MAX(0,MIN(9,13-MAX(MAX(1,$I39+0),4)))</f>
        <v>11</v>
      </c>
      <c r="S39" s="47" t="n">
        <f aca="false">$F39*MAX(0,MIN(3,4-MAX(1,$I39+1)))+$G39*MAX(0,MIN(9,13-MAX(MAX(1,$I39+1),4)))</f>
        <v>10</v>
      </c>
      <c r="T39" s="47" t="n">
        <f aca="false">$F39*MAX(0,MIN(3,4-MAX(1,$I39+2)))+$G39*MAX(0,MIN(9,13-MAX(MAX(1,$I39+2),4)))</f>
        <v>9</v>
      </c>
      <c r="U39" s="47" t="n">
        <f aca="false">$F39*MAX(0,MIN(3,4-MAX(1,$I39+3)))+$G39*MAX(0,MIN(9,13-MAX(MAX(1,$I39+3),4)))</f>
        <v>8</v>
      </c>
      <c r="V39" s="47" t="n">
        <f aca="false">O39+$H39*MAX(0,MIN(12,25-MAX(MAX(1,$I39+-3),13)))</f>
        <v>24</v>
      </c>
      <c r="W39" s="47" t="n">
        <f aca="false">P39+$H39*MAX(0,MIN(12,25-MAX(MAX(1,$I39+-2),13)))</f>
        <v>24</v>
      </c>
      <c r="X39" s="47" t="n">
        <f aca="false">Q39+$H39*MAX(0,MIN(12,25-MAX(MAX(1,$I39+-1),13)))</f>
        <v>24</v>
      </c>
      <c r="Y39" s="47" t="n">
        <f aca="false">R39+$H39*MAX(0,MIN(12,25-MAX(MAX(1,$I39+0),13)))</f>
        <v>23</v>
      </c>
      <c r="Z39" s="47" t="n">
        <f aca="false">S39+$H39*MAX(0,MIN(12,25-MAX(MAX(1,$I39+1),13)))</f>
        <v>22</v>
      </c>
      <c r="AA39" s="47" t="n">
        <f aca="false">T39+$H39*MAX(0,MIN(12,25-MAX(MAX(1,$I39+2),13)))</f>
        <v>21</v>
      </c>
      <c r="AB39" s="47" t="n">
        <f aca="false">U39+$H39*MAX(0,MIN(12,25-MAX(MAX(1,$I39+3),13)))</f>
        <v>20</v>
      </c>
    </row>
    <row r="40" customFormat="false" ht="15" hidden="false" customHeight="false" outlineLevel="0" collapsed="false">
      <c r="A40" s="18" t="n">
        <v>35</v>
      </c>
      <c r="B40" s="43" t="str">
        <f aca="false">'Biaya Bulanan'!$C$60</f>
        <v>Finance &amp; Accounting Staff</v>
      </c>
      <c r="C40" s="54" t="n">
        <f aca="false">'Biaya Bulanan'!$K$60</f>
        <v>6500000</v>
      </c>
      <c r="D40" s="23" t="str">
        <f aca="false">'Biaya Bulanan'!$E$60</f>
        <v>Pekanbaru</v>
      </c>
      <c r="E40" s="23" t="str">
        <f aca="false">'Biaya Bulanan'!$H$60</f>
        <v>Kantor</v>
      </c>
      <c r="F40" s="23" t="n">
        <f aca="false">'Biaya Bulanan'!$V$60</f>
        <v>0</v>
      </c>
      <c r="G40" s="23" t="n">
        <f aca="false">'Biaya Bulanan'!$W$60</f>
        <v>1</v>
      </c>
      <c r="H40" s="23" t="n">
        <f aca="false">'Biaya Bulanan'!$X$60</f>
        <v>1</v>
      </c>
      <c r="I40" s="23" t="n">
        <f aca="false">'Biaya Bulanan'!$I$60</f>
        <v>4</v>
      </c>
      <c r="J40" s="46" t="n">
        <f aca="false">(($C40*(1+-0.2))*(1+Tunjangan_Pct))*(1+IF($E40="Lapangan",Tarif_JKK_Lapangan,Tarif_JKK_Kantor)+Tarif_JKM+Tarif_JHT+Tarif_THR)+MIN((($C40*(1+-0.2))*(1+Tunjangan_Pct)),Plafon_JP)*Tarif_JP+MIN(MAX((($C40*(1+-0.2))*(1+Tunjangan_Pct)),IF($D40="Padang",UMP_Padang,UMK_Pekanbaru)),Plafon_JKN)*Tarif_JKN</f>
        <v>6799364</v>
      </c>
      <c r="K40" s="46" t="n">
        <f aca="false">(($C40*(1+-0.1))*(1+Tunjangan_Pct))*(1+IF($E40="Lapangan",Tarif_JKK_Lapangan,Tarif_JKK_Kantor)+Tarif_JKM+Tarif_JHT+Tarif_THR)+MIN((($C40*(1+-0.1))*(1+Tunjangan_Pct)),Plafon_JP)*Tarif_JP+MIN(MAX((($C40*(1+-0.1))*(1+Tunjangan_Pct)),IF($D40="Padang",UMP_Padang,UMK_Pekanbaru)),Plafon_JKN)*Tarif_JKN</f>
        <v>7649284.5</v>
      </c>
      <c r="L40" s="46" t="n">
        <f aca="false">(($C40*(1+0))*(1+Tunjangan_Pct))*(1+IF($E40="Lapangan",Tarif_JKK_Lapangan,Tarif_JKK_Kantor)+Tarif_JKM+Tarif_JHT+Tarif_THR)+MIN((($C40*(1+0))*(1+Tunjangan_Pct)),Plafon_JP)*Tarif_JP+MIN(MAX((($C40*(1+0))*(1+Tunjangan_Pct)),IF($D40="Padang",UMP_Padang,UMK_Pekanbaru)),Plafon_JKN)*Tarif_JKN</f>
        <v>8499205</v>
      </c>
      <c r="M40" s="46" t="n">
        <f aca="false">(($C40*(1+0.1))*(1+Tunjangan_Pct))*(1+IF($E40="Lapangan",Tarif_JKK_Lapangan,Tarif_JKK_Kantor)+Tarif_JKM+Tarif_JHT+Tarif_THR)+MIN((($C40*(1+0.1))*(1+Tunjangan_Pct)),Plafon_JP)*Tarif_JP+MIN(MAX((($C40*(1+0.1))*(1+Tunjangan_Pct)),IF($D40="Padang",UMP_Padang,UMK_Pekanbaru)),Plafon_JKN)*Tarif_JKN</f>
        <v>9349125.5</v>
      </c>
      <c r="N40" s="46" t="n">
        <f aca="false">(($C40*(1+0.2))*(1+Tunjangan_Pct))*(1+IF($E40="Lapangan",Tarif_JKK_Lapangan,Tarif_JKK_Kantor)+Tarif_JKM+Tarif_JHT+Tarif_THR)+MIN((($C40*(1+0.2))*(1+Tunjangan_Pct)),Plafon_JP)*Tarif_JP+MIN(MAX((($C40*(1+0.2))*(1+Tunjangan_Pct)),IF($D40="Padang",UMP_Padang,UMK_Pekanbaru)),Plafon_JKN)*Tarif_JKN</f>
        <v>10199046</v>
      </c>
      <c r="O40" s="47" t="n">
        <f aca="false">$F40*MAX(0,MIN(3,4-MAX(1,$I40+-3)))+$G40*MAX(0,MIN(9,13-MAX(MAX(1,$I40+-3),4)))</f>
        <v>9</v>
      </c>
      <c r="P40" s="47" t="n">
        <f aca="false">$F40*MAX(0,MIN(3,4-MAX(1,$I40+-2)))+$G40*MAX(0,MIN(9,13-MAX(MAX(1,$I40+-2),4)))</f>
        <v>9</v>
      </c>
      <c r="Q40" s="47" t="n">
        <f aca="false">$F40*MAX(0,MIN(3,4-MAX(1,$I40+-1)))+$G40*MAX(0,MIN(9,13-MAX(MAX(1,$I40+-1),4)))</f>
        <v>9</v>
      </c>
      <c r="R40" s="47" t="n">
        <f aca="false">$F40*MAX(0,MIN(3,4-MAX(1,$I40+0)))+$G40*MAX(0,MIN(9,13-MAX(MAX(1,$I40+0),4)))</f>
        <v>9</v>
      </c>
      <c r="S40" s="47" t="n">
        <f aca="false">$F40*MAX(0,MIN(3,4-MAX(1,$I40+1)))+$G40*MAX(0,MIN(9,13-MAX(MAX(1,$I40+1),4)))</f>
        <v>8</v>
      </c>
      <c r="T40" s="47" t="n">
        <f aca="false">$F40*MAX(0,MIN(3,4-MAX(1,$I40+2)))+$G40*MAX(0,MIN(9,13-MAX(MAX(1,$I40+2),4)))</f>
        <v>7</v>
      </c>
      <c r="U40" s="47" t="n">
        <f aca="false">$F40*MAX(0,MIN(3,4-MAX(1,$I40+3)))+$G40*MAX(0,MIN(9,13-MAX(MAX(1,$I40+3),4)))</f>
        <v>6</v>
      </c>
      <c r="V40" s="47" t="n">
        <f aca="false">O40+$H40*MAX(0,MIN(12,25-MAX(MAX(1,$I40+-3),13)))</f>
        <v>21</v>
      </c>
      <c r="W40" s="47" t="n">
        <f aca="false">P40+$H40*MAX(0,MIN(12,25-MAX(MAX(1,$I40+-2),13)))</f>
        <v>21</v>
      </c>
      <c r="X40" s="47" t="n">
        <f aca="false">Q40+$H40*MAX(0,MIN(12,25-MAX(MAX(1,$I40+-1),13)))</f>
        <v>21</v>
      </c>
      <c r="Y40" s="47" t="n">
        <f aca="false">R40+$H40*MAX(0,MIN(12,25-MAX(MAX(1,$I40+0),13)))</f>
        <v>21</v>
      </c>
      <c r="Z40" s="47" t="n">
        <f aca="false">S40+$H40*MAX(0,MIN(12,25-MAX(MAX(1,$I40+1),13)))</f>
        <v>20</v>
      </c>
      <c r="AA40" s="47" t="n">
        <f aca="false">T40+$H40*MAX(0,MIN(12,25-MAX(MAX(1,$I40+2),13)))</f>
        <v>19</v>
      </c>
      <c r="AB40" s="47" t="n">
        <f aca="false">U40+$H40*MAX(0,MIN(12,25-MAX(MAX(1,$I40+3),13)))</f>
        <v>18</v>
      </c>
    </row>
    <row r="41" customFormat="false" ht="15" hidden="false" customHeight="false" outlineLevel="0" collapsed="false">
      <c r="A41" s="18" t="n">
        <v>36</v>
      </c>
      <c r="B41" s="43" t="str">
        <f aca="false">'Biaya Bulanan'!$C$61</f>
        <v>Treasury/Settlement Officer</v>
      </c>
      <c r="C41" s="54" t="n">
        <f aca="false">'Biaya Bulanan'!$K$61</f>
        <v>8125000</v>
      </c>
      <c r="D41" s="23" t="str">
        <f aca="false">'Biaya Bulanan'!$E$61</f>
        <v>Pekanbaru</v>
      </c>
      <c r="E41" s="23" t="str">
        <f aca="false">'Biaya Bulanan'!$H$61</f>
        <v>Kantor</v>
      </c>
      <c r="F41" s="23" t="n">
        <f aca="false">'Biaya Bulanan'!$V$61</f>
        <v>0</v>
      </c>
      <c r="G41" s="23" t="n">
        <f aca="false">'Biaya Bulanan'!$W$61</f>
        <v>0</v>
      </c>
      <c r="H41" s="23" t="n">
        <f aca="false">'Biaya Bulanan'!$X$61</f>
        <v>1</v>
      </c>
      <c r="I41" s="23" t="n">
        <f aca="false">'Biaya Bulanan'!$I$61</f>
        <v>13</v>
      </c>
      <c r="J41" s="46" t="n">
        <f aca="false">(($C41*(1+-0.2))*(1+Tunjangan_Pct))*(1+IF($E41="Lapangan",Tarif_JKK_Lapangan,Tarif_JKK_Kantor)+Tarif_JKM+Tarif_JHT+Tarif_THR)+MIN((($C41*(1+-0.2))*(1+Tunjangan_Pct)),Plafon_JP)*Tarif_JP+MIN(MAX((($C41*(1+-0.2))*(1+Tunjangan_Pct)),IF($D41="Padang",UMP_Padang,UMK_Pekanbaru)),Plafon_JKN)*Tarif_JKN</f>
        <v>8499205</v>
      </c>
      <c r="K41" s="46" t="n">
        <f aca="false">(($C41*(1+-0.1))*(1+Tunjangan_Pct))*(1+IF($E41="Lapangan",Tarif_JKK_Lapangan,Tarif_JKK_Kantor)+Tarif_JKM+Tarif_JHT+Tarif_THR)+MIN((($C41*(1+-0.1))*(1+Tunjangan_Pct)),Plafon_JP)*Tarif_JP+MIN(MAX((($C41*(1+-0.1))*(1+Tunjangan_Pct)),IF($D41="Padang",UMP_Padang,UMK_Pekanbaru)),Plafon_JKN)*Tarif_JKN</f>
        <v>9561605.625</v>
      </c>
      <c r="L41" s="46" t="n">
        <f aca="false">(($C41*(1+0))*(1+Tunjangan_Pct))*(1+IF($E41="Lapangan",Tarif_JKK_Lapangan,Tarif_JKK_Kantor)+Tarif_JKM+Tarif_JHT+Tarif_THR)+MIN((($C41*(1+0))*(1+Tunjangan_Pct)),Plafon_JP)*Tarif_JP+MIN(MAX((($C41*(1+0))*(1+Tunjangan_Pct)),IF($D41="Padang",UMP_Padang,UMK_Pekanbaru)),Plafon_JKN)*Tarif_JKN</f>
        <v>10624006.25</v>
      </c>
      <c r="M41" s="46" t="n">
        <f aca="false">(($C41*(1+0.1))*(1+Tunjangan_Pct))*(1+IF($E41="Lapangan",Tarif_JKK_Lapangan,Tarif_JKK_Kantor)+Tarif_JKM+Tarif_JHT+Tarif_THR)+MIN((($C41*(1+0.1))*(1+Tunjangan_Pct)),Plafon_JP)*Tarif_JP+MIN(MAX((($C41*(1+0.1))*(1+Tunjangan_Pct)),IF($D41="Padang",UMP_Padang,UMK_Pekanbaru)),Plafon_JKN)*Tarif_JKN</f>
        <v>11686406.875</v>
      </c>
      <c r="N41" s="46" t="n">
        <f aca="false">(($C41*(1+0.2))*(1+Tunjangan_Pct))*(1+IF($E41="Lapangan",Tarif_JKK_Lapangan,Tarif_JKK_Kantor)+Tarif_JKM+Tarif_JHT+Tarif_THR)+MIN((($C41*(1+0.2))*(1+Tunjangan_Pct)),Plafon_JP)*Tarif_JP+MIN(MAX((($C41*(1+0.2))*(1+Tunjangan_Pct)),IF($D41="Padang",UMP_Padang,UMK_Pekanbaru)),Plafon_JKN)*Tarif_JKN</f>
        <v>12748807.5</v>
      </c>
      <c r="O41" s="47" t="n">
        <f aca="false">$F41*MAX(0,MIN(3,4-MAX(1,$I41+-3)))+$G41*MAX(0,MIN(9,13-MAX(MAX(1,$I41+-3),4)))</f>
        <v>0</v>
      </c>
      <c r="P41" s="47" t="n">
        <f aca="false">$F41*MAX(0,MIN(3,4-MAX(1,$I41+-2)))+$G41*MAX(0,MIN(9,13-MAX(MAX(1,$I41+-2),4)))</f>
        <v>0</v>
      </c>
      <c r="Q41" s="47" t="n">
        <f aca="false">$F41*MAX(0,MIN(3,4-MAX(1,$I41+-1)))+$G41*MAX(0,MIN(9,13-MAX(MAX(1,$I41+-1),4)))</f>
        <v>0</v>
      </c>
      <c r="R41" s="47" t="n">
        <f aca="false">$F41*MAX(0,MIN(3,4-MAX(1,$I41+0)))+$G41*MAX(0,MIN(9,13-MAX(MAX(1,$I41+0),4)))</f>
        <v>0</v>
      </c>
      <c r="S41" s="47" t="n">
        <f aca="false">$F41*MAX(0,MIN(3,4-MAX(1,$I41+1)))+$G41*MAX(0,MIN(9,13-MAX(MAX(1,$I41+1),4)))</f>
        <v>0</v>
      </c>
      <c r="T41" s="47" t="n">
        <f aca="false">$F41*MAX(0,MIN(3,4-MAX(1,$I41+2)))+$G41*MAX(0,MIN(9,13-MAX(MAX(1,$I41+2),4)))</f>
        <v>0</v>
      </c>
      <c r="U41" s="47" t="n">
        <f aca="false">$F41*MAX(0,MIN(3,4-MAX(1,$I41+3)))+$G41*MAX(0,MIN(9,13-MAX(MAX(1,$I41+3),4)))</f>
        <v>0</v>
      </c>
      <c r="V41" s="47" t="n">
        <f aca="false">O41+$H41*MAX(0,MIN(12,25-MAX(MAX(1,$I41+-3),13)))</f>
        <v>12</v>
      </c>
      <c r="W41" s="47" t="n">
        <f aca="false">P41+$H41*MAX(0,MIN(12,25-MAX(MAX(1,$I41+-2),13)))</f>
        <v>12</v>
      </c>
      <c r="X41" s="47" t="n">
        <f aca="false">Q41+$H41*MAX(0,MIN(12,25-MAX(MAX(1,$I41+-1),13)))</f>
        <v>12</v>
      </c>
      <c r="Y41" s="47" t="n">
        <f aca="false">R41+$H41*MAX(0,MIN(12,25-MAX(MAX(1,$I41+0),13)))</f>
        <v>12</v>
      </c>
      <c r="Z41" s="47" t="n">
        <f aca="false">S41+$H41*MAX(0,MIN(12,25-MAX(MAX(1,$I41+1),13)))</f>
        <v>11</v>
      </c>
      <c r="AA41" s="47" t="n">
        <f aca="false">T41+$H41*MAX(0,MIN(12,25-MAX(MAX(1,$I41+2),13)))</f>
        <v>10</v>
      </c>
      <c r="AB41" s="47" t="n">
        <f aca="false">U41+$H41*MAX(0,MIN(12,25-MAX(MAX(1,$I41+3),13)))</f>
        <v>9</v>
      </c>
    </row>
    <row r="42" customFormat="false" ht="15" hidden="false" customHeight="false" outlineLevel="0" collapsed="false">
      <c r="A42" s="18" t="n">
        <v>37</v>
      </c>
      <c r="B42" s="43" t="str">
        <f aca="false">'Biaya Bulanan'!$C$62</f>
        <v>Finance &amp; Accounting Staff - Padang</v>
      </c>
      <c r="C42" s="54" t="n">
        <f aca="false">'Biaya Bulanan'!$K$62</f>
        <v>5500000</v>
      </c>
      <c r="D42" s="23" t="str">
        <f aca="false">'Biaya Bulanan'!$E$62</f>
        <v>Padang</v>
      </c>
      <c r="E42" s="23" t="str">
        <f aca="false">'Biaya Bulanan'!$H$62</f>
        <v>Kantor</v>
      </c>
      <c r="F42" s="23" t="n">
        <f aca="false">'Biaya Bulanan'!$V$62</f>
        <v>0</v>
      </c>
      <c r="G42" s="23" t="n">
        <f aca="false">'Biaya Bulanan'!$W$62</f>
        <v>0</v>
      </c>
      <c r="H42" s="23" t="n">
        <f aca="false">'Biaya Bulanan'!$X$62</f>
        <v>1</v>
      </c>
      <c r="I42" s="23" t="n">
        <f aca="false">'Biaya Bulanan'!$I$62</f>
        <v>16</v>
      </c>
      <c r="J42" s="46" t="n">
        <f aca="false">(($C42*(1+-0.2))*(1+Tunjangan_Pct))*(1+IF($E42="Lapangan",Tarif_JKK_Lapangan,Tarif_JKK_Kantor)+Tarif_JKM+Tarif_JHT+Tarif_THR)+MIN((($C42*(1+-0.2))*(1+Tunjangan_Pct)),Plafon_JP)*Tarif_JP+MIN(MAX((($C42*(1+-0.2))*(1+Tunjangan_Pct)),IF($D42="Padang",UMP_Padang,UMK_Pekanbaru)),Plafon_JKN)*Tarif_JKN</f>
        <v>5753308</v>
      </c>
      <c r="K42" s="46" t="n">
        <f aca="false">(($C42*(1+-0.1))*(1+Tunjangan_Pct))*(1+IF($E42="Lapangan",Tarif_JKK_Lapangan,Tarif_JKK_Kantor)+Tarif_JKM+Tarif_JHT+Tarif_THR)+MIN((($C42*(1+-0.1))*(1+Tunjangan_Pct)),Plafon_JP)*Tarif_JP+MIN(MAX((($C42*(1+-0.1))*(1+Tunjangan_Pct)),IF($D42="Padang",UMP_Padang,UMK_Pekanbaru)),Plafon_JKN)*Tarif_JKN</f>
        <v>6472471.5</v>
      </c>
      <c r="L42" s="46" t="n">
        <f aca="false">(($C42*(1+0))*(1+Tunjangan_Pct))*(1+IF($E42="Lapangan",Tarif_JKK_Lapangan,Tarif_JKK_Kantor)+Tarif_JKM+Tarif_JHT+Tarif_THR)+MIN((($C42*(1+0))*(1+Tunjangan_Pct)),Plafon_JP)*Tarif_JP+MIN(MAX((($C42*(1+0))*(1+Tunjangan_Pct)),IF($D42="Padang",UMP_Padang,UMK_Pekanbaru)),Plafon_JKN)*Tarif_JKN</f>
        <v>7191635</v>
      </c>
      <c r="M42" s="46" t="n">
        <f aca="false">(($C42*(1+0.1))*(1+Tunjangan_Pct))*(1+IF($E42="Lapangan",Tarif_JKK_Lapangan,Tarif_JKK_Kantor)+Tarif_JKM+Tarif_JHT+Tarif_THR)+MIN((($C42*(1+0.1))*(1+Tunjangan_Pct)),Plafon_JP)*Tarif_JP+MIN(MAX((($C42*(1+0.1))*(1+Tunjangan_Pct)),IF($D42="Padang",UMP_Padang,UMK_Pekanbaru)),Plafon_JKN)*Tarif_JKN</f>
        <v>7910798.5</v>
      </c>
      <c r="N42" s="46" t="n">
        <f aca="false">(($C42*(1+0.2))*(1+Tunjangan_Pct))*(1+IF($E42="Lapangan",Tarif_JKK_Lapangan,Tarif_JKK_Kantor)+Tarif_JKM+Tarif_JHT+Tarif_THR)+MIN((($C42*(1+0.2))*(1+Tunjangan_Pct)),Plafon_JP)*Tarif_JP+MIN(MAX((($C42*(1+0.2))*(1+Tunjangan_Pct)),IF($D42="Padang",UMP_Padang,UMK_Pekanbaru)),Plafon_JKN)*Tarif_JKN</f>
        <v>8629962</v>
      </c>
      <c r="O42" s="47" t="n">
        <f aca="false">$F42*MAX(0,MIN(3,4-MAX(1,$I42+-3)))+$G42*MAX(0,MIN(9,13-MAX(MAX(1,$I42+-3),4)))</f>
        <v>0</v>
      </c>
      <c r="P42" s="47" t="n">
        <f aca="false">$F42*MAX(0,MIN(3,4-MAX(1,$I42+-2)))+$G42*MAX(0,MIN(9,13-MAX(MAX(1,$I42+-2),4)))</f>
        <v>0</v>
      </c>
      <c r="Q42" s="47" t="n">
        <f aca="false">$F42*MAX(0,MIN(3,4-MAX(1,$I42+-1)))+$G42*MAX(0,MIN(9,13-MAX(MAX(1,$I42+-1),4)))</f>
        <v>0</v>
      </c>
      <c r="R42" s="47" t="n">
        <f aca="false">$F42*MAX(0,MIN(3,4-MAX(1,$I42+0)))+$G42*MAX(0,MIN(9,13-MAX(MAX(1,$I42+0),4)))</f>
        <v>0</v>
      </c>
      <c r="S42" s="47" t="n">
        <f aca="false">$F42*MAX(0,MIN(3,4-MAX(1,$I42+1)))+$G42*MAX(0,MIN(9,13-MAX(MAX(1,$I42+1),4)))</f>
        <v>0</v>
      </c>
      <c r="T42" s="47" t="n">
        <f aca="false">$F42*MAX(0,MIN(3,4-MAX(1,$I42+2)))+$G42*MAX(0,MIN(9,13-MAX(MAX(1,$I42+2),4)))</f>
        <v>0</v>
      </c>
      <c r="U42" s="47" t="n">
        <f aca="false">$F42*MAX(0,MIN(3,4-MAX(1,$I42+3)))+$G42*MAX(0,MIN(9,13-MAX(MAX(1,$I42+3),4)))</f>
        <v>0</v>
      </c>
      <c r="V42" s="47" t="n">
        <f aca="false">O42+$H42*MAX(0,MIN(12,25-MAX(MAX(1,$I42+-3),13)))</f>
        <v>12</v>
      </c>
      <c r="W42" s="47" t="n">
        <f aca="false">P42+$H42*MAX(0,MIN(12,25-MAX(MAX(1,$I42+-2),13)))</f>
        <v>11</v>
      </c>
      <c r="X42" s="47" t="n">
        <f aca="false">Q42+$H42*MAX(0,MIN(12,25-MAX(MAX(1,$I42+-1),13)))</f>
        <v>10</v>
      </c>
      <c r="Y42" s="47" t="n">
        <f aca="false">R42+$H42*MAX(0,MIN(12,25-MAX(MAX(1,$I42+0),13)))</f>
        <v>9</v>
      </c>
      <c r="Z42" s="47" t="n">
        <f aca="false">S42+$H42*MAX(0,MIN(12,25-MAX(MAX(1,$I42+1),13)))</f>
        <v>8</v>
      </c>
      <c r="AA42" s="47" t="n">
        <f aca="false">T42+$H42*MAX(0,MIN(12,25-MAX(MAX(1,$I42+2),13)))</f>
        <v>7</v>
      </c>
      <c r="AB42" s="47" t="n">
        <f aca="false">U42+$H42*MAX(0,MIN(12,25-MAX(MAX(1,$I42+3),13)))</f>
        <v>6</v>
      </c>
    </row>
    <row r="43" customFormat="false" ht="15" hidden="false" customHeight="false" outlineLevel="0" collapsed="false">
      <c r="A43" s="18" t="n">
        <v>38</v>
      </c>
      <c r="B43" s="43" t="str">
        <f aca="false">'Biaya Bulanan'!$C$63</f>
        <v>Head of Legal &amp; Compliance (merangkap DPO)</v>
      </c>
      <c r="C43" s="54" t="n">
        <f aca="false">'Biaya Bulanan'!$K$63</f>
        <v>13500000</v>
      </c>
      <c r="D43" s="23" t="str">
        <f aca="false">'Biaya Bulanan'!$E$63</f>
        <v>Pekanbaru</v>
      </c>
      <c r="E43" s="23" t="str">
        <f aca="false">'Biaya Bulanan'!$H$63</f>
        <v>Kantor</v>
      </c>
      <c r="F43" s="23" t="n">
        <f aca="false">'Biaya Bulanan'!$V$63</f>
        <v>0</v>
      </c>
      <c r="G43" s="23" t="n">
        <f aca="false">'Biaya Bulanan'!$W$63</f>
        <v>1</v>
      </c>
      <c r="H43" s="23" t="n">
        <f aca="false">'Biaya Bulanan'!$X$63</f>
        <v>1</v>
      </c>
      <c r="I43" s="23" t="n">
        <f aca="false">'Biaya Bulanan'!$I$63</f>
        <v>4</v>
      </c>
      <c r="J43" s="46" t="n">
        <f aca="false">(($C43*(1+-0.2))*(1+Tunjangan_Pct))*(1+IF($E43="Lapangan",Tarif_JKK_Lapangan,Tarif_JKK_Kantor)+Tarif_JKM+Tarif_JHT+Tarif_THR)+MIN((($C43*(1+-0.2))*(1+Tunjangan_Pct)),Plafon_JP)*Tarif_JP+MIN(MAX((($C43*(1+-0.2))*(1+Tunjangan_Pct)),IF($D43="Padang",UMP_Padang,UMK_Pekanbaru)),Plafon_JKN)*Tarif_JKN</f>
        <v>14105882</v>
      </c>
      <c r="K43" s="46" t="n">
        <f aca="false">(($C43*(1+-0.1))*(1+Tunjangan_Pct))*(1+IF($E43="Lapangan",Tarif_JKK_Lapangan,Tarif_JKK_Kantor)+Tarif_JKM+Tarif_JHT+Tarif_THR)+MIN((($C43*(1+-0.1))*(1+Tunjangan_Pct)),Plafon_JP)*Tarif_JP+MIN(MAX((($C43*(1+-0.1))*(1+Tunjangan_Pct)),IF($D43="Padang",UMP_Padang,UMK_Pekanbaru)),Plafon_JKN)*Tarif_JKN</f>
        <v>15786801.5</v>
      </c>
      <c r="L43" s="46" t="n">
        <f aca="false">(($C43*(1+0))*(1+Tunjangan_Pct))*(1+IF($E43="Lapangan",Tarif_JKK_Lapangan,Tarif_JKK_Kantor)+Tarif_JKM+Tarif_JHT+Tarif_THR)+MIN((($C43*(1+0))*(1+Tunjangan_Pct)),Plafon_JP)*Tarif_JP+MIN(MAX((($C43*(1+0))*(1+Tunjangan_Pct)),IF($D43="Padang",UMP_Padang,UMK_Pekanbaru)),Plafon_JKN)*Tarif_JKN</f>
        <v>17462921</v>
      </c>
      <c r="M43" s="46" t="n">
        <f aca="false">(($C43*(1+0.1))*(1+Tunjangan_Pct))*(1+IF($E43="Lapangan",Tarif_JKK_Lapangan,Tarif_JKK_Kantor)+Tarif_JKM+Tarif_JHT+Tarif_THR)+MIN((($C43*(1+0.1))*(1+Tunjangan_Pct)),Plafon_JP)*Tarif_JP+MIN(MAX((($C43*(1+0.1))*(1+Tunjangan_Pct)),IF($D43="Padang",UMP_Padang,UMK_Pekanbaru)),Plafon_JKN)*Tarif_JKN</f>
        <v>19139040.5</v>
      </c>
      <c r="N43" s="46" t="n">
        <f aca="false">(($C43*(1+0.2))*(1+Tunjangan_Pct))*(1+IF($E43="Lapangan",Tarif_JKK_Lapangan,Tarif_JKK_Kantor)+Tarif_JKM+Tarif_JHT+Tarif_THR)+MIN((($C43*(1+0.2))*(1+Tunjangan_Pct)),Plafon_JP)*Tarif_JP+MIN(MAX((($C43*(1+0.2))*(1+Tunjangan_Pct)),IF($D43="Padang",UMP_Padang,UMK_Pekanbaru)),Plafon_JKN)*Tarif_JKN</f>
        <v>20815160</v>
      </c>
      <c r="O43" s="47" t="n">
        <f aca="false">$F43*MAX(0,MIN(3,4-MAX(1,$I43+-3)))+$G43*MAX(0,MIN(9,13-MAX(MAX(1,$I43+-3),4)))</f>
        <v>9</v>
      </c>
      <c r="P43" s="47" t="n">
        <f aca="false">$F43*MAX(0,MIN(3,4-MAX(1,$I43+-2)))+$G43*MAX(0,MIN(9,13-MAX(MAX(1,$I43+-2),4)))</f>
        <v>9</v>
      </c>
      <c r="Q43" s="47" t="n">
        <f aca="false">$F43*MAX(0,MIN(3,4-MAX(1,$I43+-1)))+$G43*MAX(0,MIN(9,13-MAX(MAX(1,$I43+-1),4)))</f>
        <v>9</v>
      </c>
      <c r="R43" s="47" t="n">
        <f aca="false">$F43*MAX(0,MIN(3,4-MAX(1,$I43+0)))+$G43*MAX(0,MIN(9,13-MAX(MAX(1,$I43+0),4)))</f>
        <v>9</v>
      </c>
      <c r="S43" s="47" t="n">
        <f aca="false">$F43*MAX(0,MIN(3,4-MAX(1,$I43+1)))+$G43*MAX(0,MIN(9,13-MAX(MAX(1,$I43+1),4)))</f>
        <v>8</v>
      </c>
      <c r="T43" s="47" t="n">
        <f aca="false">$F43*MAX(0,MIN(3,4-MAX(1,$I43+2)))+$G43*MAX(0,MIN(9,13-MAX(MAX(1,$I43+2),4)))</f>
        <v>7</v>
      </c>
      <c r="U43" s="47" t="n">
        <f aca="false">$F43*MAX(0,MIN(3,4-MAX(1,$I43+3)))+$G43*MAX(0,MIN(9,13-MAX(MAX(1,$I43+3),4)))</f>
        <v>6</v>
      </c>
      <c r="V43" s="47" t="n">
        <f aca="false">O43+$H43*MAX(0,MIN(12,25-MAX(MAX(1,$I43+-3),13)))</f>
        <v>21</v>
      </c>
      <c r="W43" s="47" t="n">
        <f aca="false">P43+$H43*MAX(0,MIN(12,25-MAX(MAX(1,$I43+-2),13)))</f>
        <v>21</v>
      </c>
      <c r="X43" s="47" t="n">
        <f aca="false">Q43+$H43*MAX(0,MIN(12,25-MAX(MAX(1,$I43+-1),13)))</f>
        <v>21</v>
      </c>
      <c r="Y43" s="47" t="n">
        <f aca="false">R43+$H43*MAX(0,MIN(12,25-MAX(MAX(1,$I43+0),13)))</f>
        <v>21</v>
      </c>
      <c r="Z43" s="47" t="n">
        <f aca="false">S43+$H43*MAX(0,MIN(12,25-MAX(MAX(1,$I43+1),13)))</f>
        <v>20</v>
      </c>
      <c r="AA43" s="47" t="n">
        <f aca="false">T43+$H43*MAX(0,MIN(12,25-MAX(MAX(1,$I43+2),13)))</f>
        <v>19</v>
      </c>
      <c r="AB43" s="47" t="n">
        <f aca="false">U43+$H43*MAX(0,MIN(12,25-MAX(MAX(1,$I43+3),13)))</f>
        <v>18</v>
      </c>
    </row>
    <row r="46" customFormat="false" ht="15" hidden="false" customHeight="false" outlineLevel="0" collapsed="false">
      <c r="A46" s="4" t="s">
        <v>402</v>
      </c>
      <c r="B46" s="4"/>
      <c r="C46" s="4"/>
      <c r="D46" s="4"/>
      <c r="E46" s="4"/>
      <c r="F46" s="4"/>
      <c r="G46" s="4"/>
      <c r="H46" s="4"/>
      <c r="I46" s="4"/>
    </row>
    <row r="47" customFormat="false" ht="31.5" hidden="false" customHeight="true" outlineLevel="0" collapsed="false">
      <c r="A47" s="5" t="s">
        <v>403</v>
      </c>
      <c r="B47" s="5" t="s">
        <v>404</v>
      </c>
      <c r="C47" s="5" t="s">
        <v>405</v>
      </c>
      <c r="D47" s="5" t="s">
        <v>406</v>
      </c>
      <c r="E47" s="5" t="s">
        <v>407</v>
      </c>
      <c r="F47" s="5" t="s">
        <v>408</v>
      </c>
      <c r="G47" s="5" t="s">
        <v>409</v>
      </c>
      <c r="H47" s="5" t="s">
        <v>410</v>
      </c>
    </row>
    <row r="48" customFormat="false" ht="15" hidden="false" customHeight="false" outlineLevel="0" collapsed="false">
      <c r="A48" s="6" t="s">
        <v>411</v>
      </c>
      <c r="B48" s="19" t="n">
        <f aca="false">SUMPRODUCT($J$6:$J$43,$O$6:$O$43)</f>
        <v>3708310038</v>
      </c>
      <c r="C48" s="19" t="n">
        <f aca="false">SUMPRODUCT($J$6:$J$43,$P$6:$P$43)</f>
        <v>3708310038</v>
      </c>
      <c r="D48" s="19" t="n">
        <f aca="false">SUMPRODUCT($J$6:$J$43,$Q$6:$Q$43)</f>
        <v>3679020470</v>
      </c>
      <c r="E48" s="19" t="n">
        <f aca="false">SUMPRODUCT($J$6:$J$43,$R$6:$R$43)</f>
        <v>3573463002</v>
      </c>
      <c r="F48" s="19" t="n">
        <f aca="false">SUMPRODUCT($J$6:$J$43,$S$6:$S$43)</f>
        <v>3223217232</v>
      </c>
      <c r="G48" s="19" t="n">
        <f aca="false">SUMPRODUCT($J$6:$J$43,$T$6:$T$43)</f>
        <v>2872971462</v>
      </c>
      <c r="H48" s="19" t="n">
        <f aca="false">SUMPRODUCT($J$6:$J$43,$U$6:$U$43)</f>
        <v>2522725692</v>
      </c>
    </row>
    <row r="49" customFormat="false" ht="15" hidden="false" customHeight="false" outlineLevel="0" collapsed="false">
      <c r="A49" s="6" t="s">
        <v>412</v>
      </c>
      <c r="B49" s="19" t="n">
        <f aca="false">SUMPRODUCT($K$6:$K$43,$O$6:$O$43)</f>
        <v>4160335581.75</v>
      </c>
      <c r="C49" s="19" t="n">
        <f aca="false">SUMPRODUCT($K$6:$K$43,$P$6:$P$43)</f>
        <v>4160335581.75</v>
      </c>
      <c r="D49" s="19" t="n">
        <f aca="false">SUMPRODUCT($K$6:$K$43,$Q$6:$Q$43)</f>
        <v>4127384817.75</v>
      </c>
      <c r="E49" s="19" t="n">
        <f aca="false">SUMPRODUCT($K$6:$K$43,$R$6:$R$43)</f>
        <v>4008886487.5</v>
      </c>
      <c r="F49" s="19" t="n">
        <f aca="false">SUMPRODUCT($K$6:$K$43,$S$6:$S$43)</f>
        <v>3615913733.25</v>
      </c>
      <c r="G49" s="19" t="n">
        <f aca="false">SUMPRODUCT($K$6:$K$43,$T$6:$T$43)</f>
        <v>3222940979</v>
      </c>
      <c r="H49" s="19" t="n">
        <f aca="false">SUMPRODUCT($K$6:$K$43,$U$6:$U$43)</f>
        <v>2829968224.75</v>
      </c>
    </row>
    <row r="50" customFormat="false" ht="15" hidden="false" customHeight="false" outlineLevel="0" collapsed="false">
      <c r="A50" s="6" t="s">
        <v>413</v>
      </c>
      <c r="B50" s="19" t="n">
        <f aca="false">SUMPRODUCT($L$6:$L$43,$O$6:$O$43)</f>
        <v>4610995657.5</v>
      </c>
      <c r="C50" s="19" t="n">
        <f aca="false">SUMPRODUCT($L$6:$L$43,$P$6:$P$43)</f>
        <v>4610995657.5</v>
      </c>
      <c r="D50" s="19" t="n">
        <f aca="false">SUMPRODUCT($L$6:$L$43,$Q$6:$Q$43)</f>
        <v>4574383697.5</v>
      </c>
      <c r="E50" s="55" t="n">
        <f aca="false">SUMPRODUCT($L$6:$L$43,$R$6:$R$43)</f>
        <v>4443025431</v>
      </c>
      <c r="F50" s="19" t="n">
        <f aca="false">SUMPRODUCT($L$6:$L$43,$S$6:$S$43)</f>
        <v>4007469944.5</v>
      </c>
      <c r="G50" s="19" t="n">
        <f aca="false">SUMPRODUCT($L$6:$L$43,$T$6:$T$43)</f>
        <v>3571914458</v>
      </c>
      <c r="H50" s="19" t="n">
        <f aca="false">SUMPRODUCT($L$6:$L$43,$U$6:$U$43)</f>
        <v>3136358971.5</v>
      </c>
    </row>
    <row r="51" customFormat="false" ht="15" hidden="false" customHeight="false" outlineLevel="0" collapsed="false">
      <c r="A51" s="6" t="s">
        <v>414</v>
      </c>
      <c r="B51" s="19" t="n">
        <f aca="false">SUMPRODUCT($M$6:$M$43,$O$6:$O$43)</f>
        <v>5061277301.25</v>
      </c>
      <c r="C51" s="19" t="n">
        <f aca="false">SUMPRODUCT($M$6:$M$43,$P$6:$P$43)</f>
        <v>5061277301.25</v>
      </c>
      <c r="D51" s="19" t="n">
        <f aca="false">SUMPRODUCT($M$6:$M$43,$Q$6:$Q$43)</f>
        <v>5021036593.25</v>
      </c>
      <c r="E51" s="19" t="n">
        <f aca="false">SUMPRODUCT($M$6:$M$43,$R$6:$R$43)</f>
        <v>4876855638.5</v>
      </c>
      <c r="F51" s="19" t="n">
        <f aca="false">SUMPRODUCT($M$6:$M$43,$S$6:$S$43)</f>
        <v>4398759467.75</v>
      </c>
      <c r="G51" s="19" t="n">
        <f aca="false">SUMPRODUCT($M$6:$M$43,$T$6:$T$43)</f>
        <v>3920663297</v>
      </c>
      <c r="H51" s="19" t="n">
        <f aca="false">SUMPRODUCT($M$6:$M$43,$U$6:$U$43)</f>
        <v>3442567126.25</v>
      </c>
    </row>
    <row r="52" customFormat="false" ht="15" hidden="false" customHeight="false" outlineLevel="0" collapsed="false">
      <c r="A52" s="6" t="s">
        <v>415</v>
      </c>
      <c r="B52" s="19" t="n">
        <f aca="false">SUMPRODUCT($N$6:$N$43,$O$6:$O$43)</f>
        <v>5510842389</v>
      </c>
      <c r="C52" s="19" t="n">
        <f aca="false">SUMPRODUCT($N$6:$N$43,$P$6:$P$43)</f>
        <v>5510842389</v>
      </c>
      <c r="D52" s="19" t="n">
        <f aca="false">SUMPRODUCT($N$6:$N$43,$Q$6:$Q$43)</f>
        <v>5467051659</v>
      </c>
      <c r="E52" s="19" t="n">
        <f aca="false">SUMPRODUCT($N$6:$N$43,$R$6:$R$43)</f>
        <v>5310126742</v>
      </c>
      <c r="F52" s="19" t="n">
        <f aca="false">SUMPRODUCT($N$6:$N$43,$S$6:$S$43)</f>
        <v>4789568613</v>
      </c>
      <c r="G52" s="19" t="n">
        <f aca="false">SUMPRODUCT($N$6:$N$43,$T$6:$T$43)</f>
        <v>4269010484</v>
      </c>
      <c r="H52" s="19" t="n">
        <f aca="false">SUMPRODUCT($N$6:$N$43,$U$6:$U$43)</f>
        <v>3748452355</v>
      </c>
    </row>
    <row r="53" customFormat="false" ht="15" hidden="false" customHeight="false" outlineLevel="0" collapsed="false">
      <c r="A53" s="22" t="s">
        <v>416</v>
      </c>
    </row>
    <row r="55" customFormat="false" ht="15" hidden="false" customHeight="false" outlineLevel="0" collapsed="false">
      <c r="A55" s="4" t="s">
        <v>417</v>
      </c>
      <c r="B55" s="4"/>
      <c r="C55" s="4"/>
      <c r="D55" s="4"/>
      <c r="E55" s="4"/>
      <c r="F55" s="4"/>
      <c r="G55" s="4"/>
      <c r="H55" s="4"/>
      <c r="I55" s="4"/>
    </row>
    <row r="56" customFormat="false" ht="31.5" hidden="false" customHeight="true" outlineLevel="0" collapsed="false">
      <c r="A56" s="5" t="s">
        <v>403</v>
      </c>
      <c r="B56" s="5" t="s">
        <v>404</v>
      </c>
      <c r="C56" s="5" t="s">
        <v>405</v>
      </c>
      <c r="D56" s="5" t="s">
        <v>406</v>
      </c>
      <c r="E56" s="5" t="s">
        <v>407</v>
      </c>
      <c r="F56" s="5" t="s">
        <v>408</v>
      </c>
      <c r="G56" s="5" t="s">
        <v>409</v>
      </c>
      <c r="H56" s="5" t="s">
        <v>410</v>
      </c>
    </row>
    <row r="57" customFormat="false" ht="15" hidden="false" customHeight="false" outlineLevel="0" collapsed="false">
      <c r="A57" s="6" t="s">
        <v>411</v>
      </c>
      <c r="B57" s="19" t="n">
        <f aca="false">SUMPRODUCT($J$6:$J$43,$V$6:$V$43)</f>
        <v>9754767430.8</v>
      </c>
      <c r="C57" s="19" t="n">
        <f aca="false">SUMPRODUCT($J$6:$J$43,$W$6:$W$43)</f>
        <v>9699687810.8</v>
      </c>
      <c r="D57" s="19" t="n">
        <f aca="false">SUMPRODUCT($J$6:$J$43,$X$6:$X$43)</f>
        <v>9600294321.2</v>
      </c>
      <c r="E57" s="19" t="n">
        <f aca="false">SUMPRODUCT($J$6:$J$43,$Y$6:$Y$43)</f>
        <v>9397206244.4</v>
      </c>
      <c r="F57" s="19" t="n">
        <f aca="false">SUMPRODUCT($J$6:$J$43,$Z$6:$Z$43)</f>
        <v>8885840047</v>
      </c>
      <c r="G57" s="19" t="n">
        <f aca="false">SUMPRODUCT($J$6:$J$43,$AA$6:$AA$43)</f>
        <v>8374473849.6</v>
      </c>
      <c r="H57" s="19" t="n">
        <f aca="false">SUMPRODUCT($J$6:$J$43,$AB$6:$AB$43)</f>
        <v>7863107652.2</v>
      </c>
    </row>
    <row r="58" customFormat="false" ht="15" hidden="false" customHeight="false" outlineLevel="0" collapsed="false">
      <c r="A58" s="6" t="s">
        <v>412</v>
      </c>
      <c r="B58" s="19" t="n">
        <f aca="false">SUMPRODUCT($K$6:$K$43,$V$6:$V$43)</f>
        <v>10947536237.65</v>
      </c>
      <c r="C58" s="19" t="n">
        <f aca="false">SUMPRODUCT($K$6:$K$43,$W$6:$W$43)</f>
        <v>10885721896.65</v>
      </c>
      <c r="D58" s="19" t="n">
        <f aca="false">SUMPRODUCT($K$6:$K$43,$X$6:$X$43)</f>
        <v>10774054452.35</v>
      </c>
      <c r="E58" s="19" t="n">
        <f aca="false">SUMPRODUCT($K$6:$K$43,$Y$6:$Y$43)</f>
        <v>10546000292.7</v>
      </c>
      <c r="F58" s="19" t="n">
        <f aca="false">SUMPRODUCT($K$6:$K$43,$Z$6:$Z$43)</f>
        <v>9971995785.125</v>
      </c>
      <c r="G58" s="19" t="n">
        <f aca="false">SUMPRODUCT($K$6:$K$43,$AA$6:$AA$43)</f>
        <v>9397991277.55</v>
      </c>
      <c r="H58" s="19" t="n">
        <f aca="false">SUMPRODUCT($K$6:$K$43,$AB$6:$AB$43)</f>
        <v>8823986769.975</v>
      </c>
    </row>
    <row r="59" customFormat="false" ht="15" hidden="false" customHeight="false" outlineLevel="0" collapsed="false">
      <c r="A59" s="6" t="s">
        <v>413</v>
      </c>
      <c r="B59" s="19" t="n">
        <f aca="false">SUMPRODUCT($L$6:$L$43,$V$6:$V$43)</f>
        <v>12134512904.5</v>
      </c>
      <c r="C59" s="19" t="n">
        <f aca="false">SUMPRODUCT($L$6:$L$43,$W$6:$W$43)</f>
        <v>12065986242.5</v>
      </c>
      <c r="D59" s="19" t="n">
        <f aca="false">SUMPRODUCT($L$6:$L$43,$X$6:$X$43)</f>
        <v>11942067243.5</v>
      </c>
      <c r="E59" s="55" t="n">
        <f aca="false">SUMPRODUCT($L$6:$L$43,$Y$6:$Y$43)</f>
        <v>11689208853</v>
      </c>
      <c r="F59" s="19" t="n">
        <f aca="false">SUMPRODUCT($L$6:$L$43,$Z$6:$Z$43)</f>
        <v>11052936791.25</v>
      </c>
      <c r="G59" s="19" t="n">
        <f aca="false">SUMPRODUCT($L$6:$L$43,$AA$6:$AA$43)</f>
        <v>10416664729.5</v>
      </c>
      <c r="H59" s="19" t="n">
        <f aca="false">SUMPRODUCT($L$6:$L$43,$AB$6:$AB$43)</f>
        <v>9780392667.75</v>
      </c>
    </row>
    <row r="60" customFormat="false" ht="15" hidden="false" customHeight="false" outlineLevel="0" collapsed="false">
      <c r="A60" s="6" t="s">
        <v>414</v>
      </c>
      <c r="B60" s="19" t="n">
        <f aca="false">SUMPRODUCT($M$6:$M$43,$V$6:$V$43)</f>
        <v>13319904875.35</v>
      </c>
      <c r="C60" s="19" t="n">
        <f aca="false">SUMPRODUCT($M$6:$M$43,$W$6:$W$43)</f>
        <v>13244665892.35</v>
      </c>
      <c r="D60" s="19" t="n">
        <f aca="false">SUMPRODUCT($M$6:$M$43,$X$6:$X$43)</f>
        <v>13108552060.65</v>
      </c>
      <c r="E60" s="19" t="n">
        <f aca="false">SUMPRODUCT($M$6:$M$43,$Y$6:$Y$43)</f>
        <v>12830955761.3</v>
      </c>
      <c r="F60" s="19" t="n">
        <f aca="false">SUMPRODUCT($M$6:$M$43,$Z$6:$Z$43)</f>
        <v>12132516667.375</v>
      </c>
      <c r="G60" s="19" t="n">
        <f aca="false">SUMPRODUCT($M$6:$M$43,$AA$6:$AA$43)</f>
        <v>11434077573.45</v>
      </c>
      <c r="H60" s="19" t="n">
        <f aca="false">SUMPRODUCT($M$6:$M$43,$AB$6:$AB$43)</f>
        <v>10735638479.525</v>
      </c>
    </row>
    <row r="61" customFormat="false" ht="15" hidden="false" customHeight="false" outlineLevel="0" collapsed="false">
      <c r="A61" s="6" t="s">
        <v>415</v>
      </c>
      <c r="B61" s="19" t="n">
        <f aca="false">SUMPRODUCT($N$6:$N$43,$V$6:$V$43)</f>
        <v>14503134866.2</v>
      </c>
      <c r="C61" s="19" t="n">
        <f aca="false">SUMPRODUCT($N$6:$N$43,$W$6:$W$43)</f>
        <v>14421183562.2</v>
      </c>
      <c r="D61" s="19" t="n">
        <f aca="false">SUMPRODUCT($N$6:$N$43,$X$6:$X$43)</f>
        <v>14272995349.8</v>
      </c>
      <c r="E61" s="19" t="n">
        <f aca="false">SUMPRODUCT($N$6:$N$43,$Y$6:$Y$43)</f>
        <v>13970781593.6</v>
      </c>
      <c r="F61" s="19" t="n">
        <f aca="false">SUMPRODUCT($N$6:$N$43,$Z$6:$Z$43)</f>
        <v>13210295919.5</v>
      </c>
      <c r="G61" s="19" t="n">
        <f aca="false">SUMPRODUCT($N$6:$N$43,$AA$6:$AA$43)</f>
        <v>12449810245.4</v>
      </c>
      <c r="H61" s="19" t="n">
        <f aca="false">SUMPRODUCT($N$6:$N$43,$AB$6:$AB$43)</f>
        <v>11689324571.3</v>
      </c>
    </row>
    <row r="62" customFormat="false" ht="15" hidden="false" customHeight="false" outlineLevel="0" collapsed="false">
      <c r="A62" s="22" t="s">
        <v>418</v>
      </c>
    </row>
    <row r="64" customFormat="false" ht="15" hidden="false" customHeight="false" outlineLevel="0" collapsed="false">
      <c r="A64" s="4" t="s">
        <v>419</v>
      </c>
      <c r="B64" s="4"/>
      <c r="C64" s="4"/>
      <c r="D64" s="4"/>
      <c r="E64" s="4"/>
      <c r="F64" s="4"/>
      <c r="G64" s="4"/>
      <c r="H64" s="4"/>
      <c r="I64" s="4"/>
    </row>
    <row r="65" customFormat="false" ht="31.5" hidden="false" customHeight="true" outlineLevel="0" collapsed="false">
      <c r="A65" s="5" t="s">
        <v>403</v>
      </c>
      <c r="B65" s="5" t="s">
        <v>404</v>
      </c>
      <c r="C65" s="5" t="s">
        <v>405</v>
      </c>
      <c r="D65" s="5" t="s">
        <v>406</v>
      </c>
      <c r="E65" s="5" t="s">
        <v>407</v>
      </c>
      <c r="F65" s="5" t="s">
        <v>408</v>
      </c>
      <c r="G65" s="5" t="s">
        <v>409</v>
      </c>
      <c r="H65" s="5" t="s">
        <v>410</v>
      </c>
    </row>
    <row r="66" customFormat="false" ht="15" hidden="false" customHeight="false" outlineLevel="0" collapsed="false">
      <c r="A66" s="6" t="s">
        <v>411</v>
      </c>
      <c r="B66" s="56" t="n">
        <f aca="false">B57/$E$59-1</f>
        <v>-0.165489508017776</v>
      </c>
      <c r="C66" s="56" t="n">
        <f aca="false">C57/$E$59-1</f>
        <v>-0.17020151382524</v>
      </c>
      <c r="D66" s="56" t="n">
        <f aca="false">D57/$E$59-1</f>
        <v>-0.178704526377239</v>
      </c>
      <c r="E66" s="56" t="n">
        <f aca="false">E57/$E$59-1</f>
        <v>-0.196078506032661</v>
      </c>
      <c r="F66" s="56" t="n">
        <f aca="false">F57/$E$59-1</f>
        <v>-0.239825367247205</v>
      </c>
      <c r="G66" s="56" t="n">
        <f aca="false">G57/$E$59-1</f>
        <v>-0.283572228461748</v>
      </c>
      <c r="H66" s="56" t="n">
        <f aca="false">H57/$E$59-1</f>
        <v>-0.327319089676291</v>
      </c>
    </row>
    <row r="67" customFormat="false" ht="15" hidden="false" customHeight="false" outlineLevel="0" collapsed="false">
      <c r="A67" s="6" t="s">
        <v>412</v>
      </c>
      <c r="B67" s="56" t="n">
        <f aca="false">B58/$E$59-1</f>
        <v>-0.0634493424385734</v>
      </c>
      <c r="C67" s="56" t="n">
        <f aca="false">C58/$E$59-1</f>
        <v>-0.0687374968190245</v>
      </c>
      <c r="D67" s="56" t="n">
        <f aca="false">D58/$E$59-1</f>
        <v>-0.0782905337870773</v>
      </c>
      <c r="E67" s="56" t="n">
        <f aca="false">E58/$E$59-1</f>
        <v>-0.0978003365904955</v>
      </c>
      <c r="F67" s="56" t="n">
        <f aca="false">F58/$E$59-1</f>
        <v>-0.146905841915407</v>
      </c>
      <c r="G67" s="56" t="n">
        <f aca="false">G58/$E$59-1</f>
        <v>-0.196011347240319</v>
      </c>
      <c r="H67" s="56" t="n">
        <f aca="false">H58/$E$59-1</f>
        <v>-0.245116852565232</v>
      </c>
    </row>
    <row r="68" customFormat="false" ht="15" hidden="false" customHeight="false" outlineLevel="0" collapsed="false">
      <c r="A68" s="6" t="s">
        <v>413</v>
      </c>
      <c r="B68" s="56" t="n">
        <f aca="false">B59/$E$59-1</f>
        <v>0.0380953114192766</v>
      </c>
      <c r="C68" s="56" t="n">
        <f aca="false">C59/$E$59-1</f>
        <v>0.0322329247631932</v>
      </c>
      <c r="D68" s="56" t="n">
        <f aca="false">D59/$E$59-1</f>
        <v>0.0216317796764411</v>
      </c>
      <c r="E68" s="56" t="n">
        <f aca="false">E59/$E$59-1</f>
        <v>0</v>
      </c>
      <c r="F68" s="56" t="n">
        <f aca="false">F59/$E$59-1</f>
        <v>-0.054432431634302</v>
      </c>
      <c r="G68" s="56" t="n">
        <f aca="false">G59/$E$59-1</f>
        <v>-0.108864863268604</v>
      </c>
      <c r="H68" s="56" t="n">
        <f aca="false">H59/$E$59-1</f>
        <v>-0.163297294902906</v>
      </c>
    </row>
    <row r="69" customFormat="false" ht="15" hidden="false" customHeight="false" outlineLevel="0" collapsed="false">
      <c r="A69" s="6" t="s">
        <v>414</v>
      </c>
      <c r="B69" s="56" t="n">
        <f aca="false">B60/$E$59-1</f>
        <v>0.139504396136398</v>
      </c>
      <c r="C69" s="56" t="n">
        <f aca="false">C60/$E$59-1</f>
        <v>0.133067777204682</v>
      </c>
      <c r="D69" s="56" t="n">
        <f aca="false">D60/$E$59-1</f>
        <v>0.121423376508987</v>
      </c>
      <c r="E69" s="56" t="n">
        <f aca="false">E60/$E$59-1</f>
        <v>0.0976752937395737</v>
      </c>
      <c r="F69" s="56" t="n">
        <f aca="false">F60/$E$59-1</f>
        <v>0.0379245353513578</v>
      </c>
      <c r="G69" s="56" t="n">
        <f aca="false">G60/$E$59-1</f>
        <v>-0.0218262230368583</v>
      </c>
      <c r="H69" s="56" t="n">
        <f aca="false">H60/$E$59-1</f>
        <v>-0.0815769814250746</v>
      </c>
    </row>
    <row r="70" customFormat="false" ht="15" hidden="false" customHeight="false" outlineLevel="0" collapsed="false">
      <c r="A70" s="6" t="s">
        <v>415</v>
      </c>
      <c r="B70" s="56" t="n">
        <f aca="false">B61/$E$59-1</f>
        <v>0.240728525650204</v>
      </c>
      <c r="C70" s="56" t="n">
        <f aca="false">C61/$E$59-1</f>
        <v>0.233717674442856</v>
      </c>
      <c r="D70" s="56" t="n">
        <f aca="false">D61/$E$59-1</f>
        <v>0.221040322685045</v>
      </c>
      <c r="E70" s="56" t="n">
        <f aca="false">E61/$E$59-1</f>
        <v>0.195186241369487</v>
      </c>
      <c r="F70" s="56" t="n">
        <f aca="false">F61/$E$59-1</f>
        <v>0.130127460774184</v>
      </c>
      <c r="G70" s="56" t="n">
        <f aca="false">G61/$E$59-1</f>
        <v>0.0650686801788811</v>
      </c>
      <c r="H70" s="56" t="n">
        <f aca="false">H61/$E$59-1</f>
        <v>9.89958357799914E-006</v>
      </c>
    </row>
    <row r="72" customFormat="false" ht="15" hidden="false" customHeight="false" outlineLevel="0" collapsed="false">
      <c r="A72" s="22" t="s">
        <v>420</v>
      </c>
    </row>
    <row r="73" customFormat="false" ht="15" hidden="false" customHeight="false" outlineLevel="0" collapsed="false">
      <c r="A73" s="22" t="s">
        <v>421</v>
      </c>
    </row>
  </sheetData>
  <mergeCells count="6">
    <mergeCell ref="A1:L1"/>
    <mergeCell ref="A2:L2"/>
    <mergeCell ref="A4:H4"/>
    <mergeCell ref="A46:I46"/>
    <mergeCell ref="A55:I55"/>
    <mergeCell ref="A64:I6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3" min="3" style="0" width="26"/>
    <col collapsed="false" customWidth="true" hidden="false" outlineLevel="0" max="4" min="4" style="0" width="14"/>
    <col collapsed="false" customWidth="true" hidden="false" outlineLevel="0" max="5" min="5" style="0" width="56"/>
    <col collapsed="false" customWidth="true" hidden="false" outlineLevel="0" max="6" min="6" style="0" width="40"/>
  </cols>
  <sheetData>
    <row r="1" customFormat="false" ht="25.5" hidden="false" customHeight="true" outlineLevel="0" collapsed="false">
      <c r="A1" s="1" t="s">
        <v>422</v>
      </c>
      <c r="B1" s="1"/>
      <c r="C1" s="1"/>
      <c r="D1" s="1"/>
      <c r="E1" s="1"/>
      <c r="F1" s="1"/>
    </row>
    <row r="2" customFormat="false" ht="15" hidden="false" customHeight="false" outlineLevel="0" collapsed="false">
      <c r="A2" s="2" t="s">
        <v>423</v>
      </c>
      <c r="B2" s="2"/>
      <c r="C2" s="2"/>
      <c r="D2" s="2"/>
      <c r="E2" s="2"/>
      <c r="F2" s="2"/>
    </row>
    <row r="4" customFormat="false" ht="15" hidden="false" customHeight="false" outlineLevel="0" collapsed="false">
      <c r="A4" s="4" t="s">
        <v>424</v>
      </c>
      <c r="B4" s="4"/>
      <c r="C4" s="4"/>
      <c r="D4" s="4"/>
      <c r="E4" s="4"/>
      <c r="F4" s="4"/>
    </row>
    <row r="5" customFormat="false" ht="31.5" hidden="false" customHeight="true" outlineLevel="0" collapsed="false">
      <c r="A5" s="5" t="s">
        <v>425</v>
      </c>
      <c r="B5" s="5" t="s">
        <v>426</v>
      </c>
      <c r="C5" s="5" t="s">
        <v>427</v>
      </c>
      <c r="D5" s="5" t="s">
        <v>428</v>
      </c>
      <c r="E5" s="5" t="s">
        <v>429</v>
      </c>
      <c r="F5" s="5" t="s">
        <v>430</v>
      </c>
    </row>
    <row r="6" customFormat="false" ht="25.5" hidden="false" customHeight="true" outlineLevel="0" collapsed="false">
      <c r="A6" s="29" t="s">
        <v>431</v>
      </c>
      <c r="B6" s="24" t="s">
        <v>432</v>
      </c>
      <c r="C6" s="11" t="s">
        <v>433</v>
      </c>
      <c r="D6" s="18" t="s">
        <v>434</v>
      </c>
      <c r="E6" s="57" t="s">
        <v>435</v>
      </c>
      <c r="F6" s="24" t="s">
        <v>436</v>
      </c>
    </row>
    <row r="7" customFormat="false" ht="25.5" hidden="false" customHeight="true" outlineLevel="0" collapsed="false">
      <c r="A7" s="29" t="s">
        <v>437</v>
      </c>
      <c r="B7" s="24" t="s">
        <v>438</v>
      </c>
      <c r="C7" s="11" t="s">
        <v>439</v>
      </c>
      <c r="D7" s="18" t="s">
        <v>440</v>
      </c>
      <c r="E7" s="57" t="s">
        <v>441</v>
      </c>
      <c r="F7" s="24" t="s">
        <v>442</v>
      </c>
    </row>
    <row r="8" customFormat="false" ht="25.5" hidden="false" customHeight="true" outlineLevel="0" collapsed="false">
      <c r="A8" s="29" t="s">
        <v>443</v>
      </c>
      <c r="B8" s="24" t="s">
        <v>444</v>
      </c>
      <c r="C8" s="11" t="s">
        <v>445</v>
      </c>
      <c r="D8" s="18" t="s">
        <v>446</v>
      </c>
      <c r="E8" s="57" t="s">
        <v>447</v>
      </c>
      <c r="F8" s="24" t="s">
        <v>448</v>
      </c>
    </row>
    <row r="9" customFormat="false" ht="25.5" hidden="false" customHeight="true" outlineLevel="0" collapsed="false">
      <c r="A9" s="29" t="s">
        <v>449</v>
      </c>
      <c r="B9" s="24" t="s">
        <v>450</v>
      </c>
      <c r="C9" s="11" t="s">
        <v>451</v>
      </c>
      <c r="D9" s="18" t="s">
        <v>452</v>
      </c>
      <c r="E9" s="57" t="s">
        <v>453</v>
      </c>
      <c r="F9" s="24" t="s">
        <v>436</v>
      </c>
    </row>
    <row r="10" customFormat="false" ht="25.5" hidden="false" customHeight="true" outlineLevel="0" collapsed="false">
      <c r="A10" s="29" t="s">
        <v>454</v>
      </c>
      <c r="B10" s="24" t="s">
        <v>455</v>
      </c>
      <c r="C10" s="11" t="s">
        <v>456</v>
      </c>
      <c r="D10" s="18" t="s">
        <v>457</v>
      </c>
      <c r="E10" s="57" t="s">
        <v>458</v>
      </c>
      <c r="F10" s="24" t="s">
        <v>459</v>
      </c>
    </row>
    <row r="11" customFormat="false" ht="25.5" hidden="false" customHeight="true" outlineLevel="0" collapsed="false">
      <c r="A11" s="29" t="s">
        <v>460</v>
      </c>
      <c r="B11" s="24" t="s">
        <v>461</v>
      </c>
      <c r="C11" s="11" t="s">
        <v>462</v>
      </c>
      <c r="D11" s="18" t="s">
        <v>440</v>
      </c>
      <c r="E11" s="57" t="s">
        <v>463</v>
      </c>
      <c r="F11" s="24" t="s">
        <v>464</v>
      </c>
    </row>
    <row r="12" customFormat="false" ht="25.5" hidden="false" customHeight="true" outlineLevel="0" collapsed="false">
      <c r="A12" s="29" t="s">
        <v>465</v>
      </c>
      <c r="B12" s="24" t="s">
        <v>466</v>
      </c>
      <c r="C12" s="11" t="s">
        <v>462</v>
      </c>
      <c r="D12" s="18" t="s">
        <v>440</v>
      </c>
      <c r="E12" s="57" t="s">
        <v>467</v>
      </c>
      <c r="F12" s="24" t="s">
        <v>468</v>
      </c>
    </row>
    <row r="13" customFormat="false" ht="25.5" hidden="false" customHeight="true" outlineLevel="0" collapsed="false">
      <c r="A13" s="29" t="s">
        <v>469</v>
      </c>
      <c r="B13" s="24" t="s">
        <v>470</v>
      </c>
      <c r="C13" s="11" t="s">
        <v>471</v>
      </c>
      <c r="D13" s="18" t="s">
        <v>472</v>
      </c>
      <c r="E13" s="57" t="s">
        <v>473</v>
      </c>
      <c r="F13" s="24" t="s">
        <v>474</v>
      </c>
    </row>
    <row r="14" customFormat="false" ht="25.5" hidden="false" customHeight="true" outlineLevel="0" collapsed="false">
      <c r="A14" s="29" t="s">
        <v>475</v>
      </c>
      <c r="B14" s="24" t="s">
        <v>476</v>
      </c>
      <c r="C14" s="11" t="s">
        <v>462</v>
      </c>
      <c r="D14" s="18" t="s">
        <v>440</v>
      </c>
      <c r="E14" s="57" t="s">
        <v>477</v>
      </c>
      <c r="F14" s="24" t="s">
        <v>478</v>
      </c>
    </row>
    <row r="15" customFormat="false" ht="25.5" hidden="false" customHeight="true" outlineLevel="0" collapsed="false">
      <c r="A15" s="29" t="s">
        <v>479</v>
      </c>
      <c r="B15" s="24" t="s">
        <v>480</v>
      </c>
      <c r="C15" s="11" t="s">
        <v>481</v>
      </c>
      <c r="D15" s="18" t="s">
        <v>440</v>
      </c>
      <c r="E15" s="57" t="s">
        <v>482</v>
      </c>
      <c r="F15" s="24" t="s">
        <v>483</v>
      </c>
    </row>
    <row r="16" customFormat="false" ht="25.5" hidden="false" customHeight="true" outlineLevel="0" collapsed="false">
      <c r="A16" s="29" t="s">
        <v>484</v>
      </c>
      <c r="B16" s="24" t="s">
        <v>485</v>
      </c>
      <c r="C16" s="11" t="s">
        <v>481</v>
      </c>
      <c r="D16" s="18" t="s">
        <v>440</v>
      </c>
      <c r="E16" s="57" t="s">
        <v>486</v>
      </c>
      <c r="F16" s="24" t="s">
        <v>487</v>
      </c>
    </row>
    <row r="17" customFormat="false" ht="25.5" hidden="false" customHeight="true" outlineLevel="0" collapsed="false">
      <c r="A17" s="29" t="s">
        <v>488</v>
      </c>
      <c r="B17" s="24" t="s">
        <v>489</v>
      </c>
      <c r="C17" s="11" t="s">
        <v>490</v>
      </c>
      <c r="D17" s="18" t="s">
        <v>491</v>
      </c>
      <c r="E17" s="57" t="s">
        <v>492</v>
      </c>
      <c r="F17" s="24" t="s">
        <v>493</v>
      </c>
    </row>
    <row r="18" customFormat="false" ht="25.5" hidden="false" customHeight="true" outlineLevel="0" collapsed="false">
      <c r="A18" s="29" t="s">
        <v>494</v>
      </c>
      <c r="B18" s="24" t="s">
        <v>495</v>
      </c>
      <c r="C18" s="11" t="s">
        <v>481</v>
      </c>
      <c r="D18" s="18" t="s">
        <v>440</v>
      </c>
      <c r="E18" s="57" t="s">
        <v>496</v>
      </c>
      <c r="F18" s="24" t="s">
        <v>497</v>
      </c>
    </row>
    <row r="19" customFormat="false" ht="25.5" hidden="false" customHeight="true" outlineLevel="0" collapsed="false">
      <c r="A19" s="29" t="s">
        <v>498</v>
      </c>
      <c r="B19" s="24" t="s">
        <v>499</v>
      </c>
      <c r="C19" s="11" t="s">
        <v>500</v>
      </c>
      <c r="D19" s="18" t="s">
        <v>440</v>
      </c>
      <c r="E19" s="57" t="s">
        <v>501</v>
      </c>
      <c r="F19" s="24" t="s">
        <v>502</v>
      </c>
    </row>
    <row r="20" customFormat="false" ht="25.5" hidden="false" customHeight="true" outlineLevel="0" collapsed="false">
      <c r="A20" s="29" t="s">
        <v>503</v>
      </c>
      <c r="B20" s="24" t="s">
        <v>504</v>
      </c>
      <c r="C20" s="11" t="s">
        <v>505</v>
      </c>
      <c r="D20" s="18" t="s">
        <v>506</v>
      </c>
      <c r="E20" s="57" t="s">
        <v>507</v>
      </c>
      <c r="F20" s="24" t="s">
        <v>508</v>
      </c>
    </row>
    <row r="21" customFormat="false" ht="25.5" hidden="false" customHeight="true" outlineLevel="0" collapsed="false">
      <c r="A21" s="29" t="s">
        <v>509</v>
      </c>
      <c r="B21" s="24" t="s">
        <v>510</v>
      </c>
      <c r="C21" s="11" t="s">
        <v>511</v>
      </c>
      <c r="D21" s="18" t="s">
        <v>440</v>
      </c>
      <c r="E21" s="57" t="s">
        <v>512</v>
      </c>
      <c r="F21" s="24" t="s">
        <v>513</v>
      </c>
    </row>
    <row r="22" customFormat="false" ht="25.5" hidden="false" customHeight="true" outlineLevel="0" collapsed="false">
      <c r="A22" s="29" t="s">
        <v>514</v>
      </c>
      <c r="B22" s="24" t="s">
        <v>515</v>
      </c>
      <c r="C22" s="11" t="s">
        <v>516</v>
      </c>
      <c r="D22" s="18" t="s">
        <v>517</v>
      </c>
      <c r="E22" s="57" t="s">
        <v>518</v>
      </c>
      <c r="F22" s="24" t="s">
        <v>519</v>
      </c>
    </row>
    <row r="23" customFormat="false" ht="25.5" hidden="false" customHeight="true" outlineLevel="0" collapsed="false">
      <c r="A23" s="29" t="s">
        <v>520</v>
      </c>
      <c r="B23" s="24" t="s">
        <v>521</v>
      </c>
      <c r="C23" s="11" t="s">
        <v>522</v>
      </c>
      <c r="D23" s="18" t="s">
        <v>440</v>
      </c>
      <c r="E23" s="57" t="s">
        <v>523</v>
      </c>
      <c r="F23" s="24" t="s">
        <v>524</v>
      </c>
    </row>
    <row r="24" customFormat="false" ht="25.5" hidden="false" customHeight="true" outlineLevel="0" collapsed="false">
      <c r="A24" s="29" t="s">
        <v>525</v>
      </c>
      <c r="B24" s="24" t="s">
        <v>526</v>
      </c>
      <c r="C24" s="11" t="s">
        <v>527</v>
      </c>
      <c r="D24" s="18" t="s">
        <v>440</v>
      </c>
      <c r="E24" s="57" t="s">
        <v>528</v>
      </c>
      <c r="F24" s="24" t="s">
        <v>529</v>
      </c>
    </row>
    <row r="25" customFormat="false" ht="25.5" hidden="false" customHeight="true" outlineLevel="0" collapsed="false">
      <c r="A25" s="29" t="s">
        <v>530</v>
      </c>
      <c r="B25" s="24" t="s">
        <v>531</v>
      </c>
      <c r="C25" s="11" t="s">
        <v>532</v>
      </c>
      <c r="D25" s="18" t="s">
        <v>440</v>
      </c>
      <c r="E25" s="57" t="s">
        <v>533</v>
      </c>
      <c r="F25" s="24" t="s">
        <v>534</v>
      </c>
    </row>
    <row r="26" customFormat="false" ht="25.5" hidden="false" customHeight="true" outlineLevel="0" collapsed="false">
      <c r="A26" s="29" t="s">
        <v>535</v>
      </c>
      <c r="B26" s="24" t="s">
        <v>536</v>
      </c>
      <c r="C26" s="11" t="s">
        <v>537</v>
      </c>
      <c r="D26" s="18" t="s">
        <v>440</v>
      </c>
      <c r="E26" s="57" t="s">
        <v>538</v>
      </c>
      <c r="F26" s="24" t="s">
        <v>539</v>
      </c>
    </row>
    <row r="27" customFormat="false" ht="25.5" hidden="false" customHeight="true" outlineLevel="0" collapsed="false">
      <c r="A27" s="29" t="s">
        <v>540</v>
      </c>
      <c r="B27" s="24" t="s">
        <v>541</v>
      </c>
      <c r="C27" s="11" t="s">
        <v>542</v>
      </c>
      <c r="D27" s="18" t="s">
        <v>440</v>
      </c>
      <c r="E27" s="57" t="s">
        <v>543</v>
      </c>
      <c r="F27" s="24" t="s">
        <v>544</v>
      </c>
    </row>
    <row r="28" customFormat="false" ht="25.5" hidden="false" customHeight="true" outlineLevel="0" collapsed="false">
      <c r="A28" s="29" t="s">
        <v>545</v>
      </c>
      <c r="B28" s="24" t="s">
        <v>546</v>
      </c>
      <c r="C28" s="11" t="s">
        <v>547</v>
      </c>
      <c r="D28" s="18" t="s">
        <v>548</v>
      </c>
      <c r="E28" s="57" t="s">
        <v>549</v>
      </c>
      <c r="F28" s="24" t="s">
        <v>550</v>
      </c>
    </row>
    <row r="29" customFormat="false" ht="25.5" hidden="false" customHeight="true" outlineLevel="0" collapsed="false">
      <c r="A29" s="29" t="s">
        <v>551</v>
      </c>
      <c r="B29" s="24" t="s">
        <v>552</v>
      </c>
      <c r="C29" s="11" t="s">
        <v>553</v>
      </c>
      <c r="D29" s="18" t="s">
        <v>554</v>
      </c>
      <c r="E29" s="57" t="s">
        <v>555</v>
      </c>
      <c r="F29" s="24" t="s">
        <v>556</v>
      </c>
    </row>
    <row r="30" customFormat="false" ht="25.5" hidden="false" customHeight="true" outlineLevel="0" collapsed="false">
      <c r="A30" s="29" t="s">
        <v>557</v>
      </c>
      <c r="B30" s="24" t="s">
        <v>558</v>
      </c>
      <c r="C30" s="11" t="s">
        <v>445</v>
      </c>
      <c r="D30" s="18" t="s">
        <v>559</v>
      </c>
      <c r="E30" s="57" t="s">
        <v>560</v>
      </c>
      <c r="F30" s="24" t="s">
        <v>561</v>
      </c>
    </row>
    <row r="31" customFormat="false" ht="25.5" hidden="false" customHeight="true" outlineLevel="0" collapsed="false">
      <c r="A31" s="29" t="s">
        <v>562</v>
      </c>
      <c r="B31" s="24" t="s">
        <v>563</v>
      </c>
      <c r="C31" s="11" t="s">
        <v>564</v>
      </c>
      <c r="D31" s="18" t="s">
        <v>565</v>
      </c>
      <c r="E31" s="57" t="s">
        <v>566</v>
      </c>
      <c r="F31" s="24" t="s">
        <v>567</v>
      </c>
    </row>
    <row r="33" customFormat="false" ht="15" hidden="false" customHeight="false" outlineLevel="0" collapsed="false">
      <c r="A33" s="22" t="s">
        <v>568</v>
      </c>
    </row>
    <row r="35" customFormat="false" ht="15" hidden="false" customHeight="false" outlineLevel="0" collapsed="false">
      <c r="A35" s="4" t="s">
        <v>569</v>
      </c>
      <c r="B35" s="4"/>
      <c r="C35" s="4"/>
      <c r="D35" s="4"/>
      <c r="E35" s="4"/>
      <c r="F35" s="4"/>
    </row>
    <row r="36" customFormat="false" ht="15" hidden="false" customHeight="false" outlineLevel="0" collapsed="false">
      <c r="A36" s="58" t="s">
        <v>570</v>
      </c>
      <c r="B36" s="58"/>
      <c r="C36" s="58"/>
      <c r="D36" s="58"/>
      <c r="E36" s="58"/>
      <c r="F36" s="58"/>
    </row>
    <row r="37" customFormat="false" ht="75.75" hidden="false" customHeight="true" outlineLevel="0" collapsed="false">
      <c r="A37" s="21" t="s">
        <v>571</v>
      </c>
      <c r="B37" s="21"/>
      <c r="C37" s="21"/>
      <c r="D37" s="21"/>
      <c r="E37" s="21"/>
      <c r="F37" s="21"/>
    </row>
    <row r="38" customFormat="false" ht="15" hidden="false" customHeight="false" outlineLevel="0" collapsed="false">
      <c r="A38" s="58" t="s">
        <v>572</v>
      </c>
      <c r="B38" s="58"/>
      <c r="C38" s="58"/>
      <c r="D38" s="58"/>
      <c r="E38" s="58"/>
      <c r="F38" s="58"/>
    </row>
    <row r="39" customFormat="false" ht="75.75" hidden="false" customHeight="true" outlineLevel="0" collapsed="false">
      <c r="A39" s="21" t="s">
        <v>573</v>
      </c>
      <c r="B39" s="21"/>
      <c r="C39" s="21"/>
      <c r="D39" s="21"/>
      <c r="E39" s="21"/>
      <c r="F39" s="21"/>
    </row>
    <row r="40" customFormat="false" ht="15" hidden="false" customHeight="false" outlineLevel="0" collapsed="false">
      <c r="A40" s="58" t="s">
        <v>574</v>
      </c>
      <c r="B40" s="58"/>
      <c r="C40" s="58"/>
      <c r="D40" s="58"/>
      <c r="E40" s="58"/>
      <c r="F40" s="58"/>
    </row>
    <row r="41" customFormat="false" ht="75.75" hidden="false" customHeight="true" outlineLevel="0" collapsed="false">
      <c r="A41" s="21" t="s">
        <v>575</v>
      </c>
      <c r="B41" s="21"/>
      <c r="C41" s="21"/>
      <c r="D41" s="21"/>
      <c r="E41" s="21"/>
      <c r="F41" s="21"/>
    </row>
    <row r="42" customFormat="false" ht="15" hidden="false" customHeight="false" outlineLevel="0" collapsed="false">
      <c r="A42" s="58" t="s">
        <v>576</v>
      </c>
      <c r="B42" s="58"/>
      <c r="C42" s="58"/>
      <c r="D42" s="58"/>
      <c r="E42" s="58"/>
      <c r="F42" s="58"/>
    </row>
    <row r="43" customFormat="false" ht="75.75" hidden="false" customHeight="true" outlineLevel="0" collapsed="false">
      <c r="A43" s="21" t="s">
        <v>577</v>
      </c>
      <c r="B43" s="21"/>
      <c r="C43" s="21"/>
      <c r="D43" s="21"/>
      <c r="E43" s="21"/>
      <c r="F43" s="21"/>
    </row>
    <row r="44" customFormat="false" ht="15" hidden="false" customHeight="false" outlineLevel="0" collapsed="false">
      <c r="A44" s="58" t="s">
        <v>578</v>
      </c>
      <c r="B44" s="58"/>
      <c r="C44" s="58"/>
      <c r="D44" s="58"/>
      <c r="E44" s="58"/>
      <c r="F44" s="58"/>
    </row>
    <row r="45" customFormat="false" ht="75.75" hidden="false" customHeight="true" outlineLevel="0" collapsed="false">
      <c r="A45" s="21" t="s">
        <v>579</v>
      </c>
      <c r="B45" s="21"/>
      <c r="C45" s="21"/>
      <c r="D45" s="21"/>
      <c r="E45" s="21"/>
      <c r="F45" s="21"/>
    </row>
    <row r="46" customFormat="false" ht="15" hidden="false" customHeight="false" outlineLevel="0" collapsed="false">
      <c r="A46" s="58" t="s">
        <v>580</v>
      </c>
      <c r="B46" s="58"/>
      <c r="C46" s="58"/>
      <c r="D46" s="58"/>
      <c r="E46" s="58"/>
      <c r="F46" s="58"/>
    </row>
    <row r="47" customFormat="false" ht="75.75" hidden="false" customHeight="true" outlineLevel="0" collapsed="false">
      <c r="A47" s="21" t="s">
        <v>581</v>
      </c>
      <c r="B47" s="21"/>
      <c r="C47" s="21"/>
      <c r="D47" s="21"/>
      <c r="E47" s="21"/>
      <c r="F47" s="21"/>
    </row>
    <row r="48" customFormat="false" ht="15" hidden="false" customHeight="false" outlineLevel="0" collapsed="false">
      <c r="A48" s="58" t="s">
        <v>582</v>
      </c>
      <c r="B48" s="58"/>
      <c r="C48" s="58"/>
      <c r="D48" s="58"/>
      <c r="E48" s="58"/>
      <c r="F48" s="58"/>
    </row>
    <row r="49" customFormat="false" ht="75.75" hidden="false" customHeight="true" outlineLevel="0" collapsed="false">
      <c r="A49" s="21" t="s">
        <v>583</v>
      </c>
      <c r="B49" s="21"/>
      <c r="C49" s="21"/>
      <c r="D49" s="21"/>
      <c r="E49" s="21"/>
      <c r="F49" s="21"/>
    </row>
    <row r="51" customFormat="false" ht="15" hidden="false" customHeight="false" outlineLevel="0" collapsed="false">
      <c r="A51" s="4" t="s">
        <v>584</v>
      </c>
      <c r="B51" s="4"/>
      <c r="C51" s="4"/>
      <c r="D51" s="4"/>
      <c r="E51" s="4"/>
      <c r="F51" s="4"/>
    </row>
    <row r="52" customFormat="false" ht="15" hidden="false" customHeight="false" outlineLevel="0" collapsed="false">
      <c r="A52" s="58" t="s">
        <v>585</v>
      </c>
      <c r="B52" s="58"/>
      <c r="C52" s="58"/>
      <c r="D52" s="58"/>
      <c r="E52" s="58"/>
      <c r="F52" s="58"/>
    </row>
    <row r="53" customFormat="false" ht="67.5" hidden="false" customHeight="true" outlineLevel="0" collapsed="false">
      <c r="A53" s="21" t="s">
        <v>586</v>
      </c>
      <c r="B53" s="21"/>
      <c r="C53" s="21"/>
      <c r="D53" s="21"/>
      <c r="E53" s="21"/>
      <c r="F53" s="21"/>
    </row>
    <row r="54" customFormat="false" ht="15" hidden="false" customHeight="false" outlineLevel="0" collapsed="false">
      <c r="A54" s="58" t="s">
        <v>587</v>
      </c>
      <c r="B54" s="58"/>
      <c r="C54" s="58"/>
      <c r="D54" s="58"/>
      <c r="E54" s="58"/>
      <c r="F54" s="58"/>
    </row>
    <row r="55" customFormat="false" ht="67.5" hidden="false" customHeight="true" outlineLevel="0" collapsed="false">
      <c r="A55" s="21" t="s">
        <v>588</v>
      </c>
      <c r="B55" s="21"/>
      <c r="C55" s="21"/>
      <c r="D55" s="21"/>
      <c r="E55" s="21"/>
      <c r="F55" s="21"/>
    </row>
    <row r="56" customFormat="false" ht="15" hidden="false" customHeight="false" outlineLevel="0" collapsed="false">
      <c r="A56" s="58" t="s">
        <v>589</v>
      </c>
      <c r="B56" s="58"/>
      <c r="C56" s="58"/>
      <c r="D56" s="58"/>
      <c r="E56" s="58"/>
      <c r="F56" s="58"/>
    </row>
    <row r="57" customFormat="false" ht="67.5" hidden="false" customHeight="true" outlineLevel="0" collapsed="false">
      <c r="A57" s="21" t="s">
        <v>590</v>
      </c>
      <c r="B57" s="21"/>
      <c r="C57" s="21"/>
      <c r="D57" s="21"/>
      <c r="E57" s="21"/>
      <c r="F57" s="21"/>
    </row>
    <row r="58" customFormat="false" ht="15" hidden="false" customHeight="false" outlineLevel="0" collapsed="false">
      <c r="A58" s="58" t="s">
        <v>591</v>
      </c>
      <c r="B58" s="58"/>
      <c r="C58" s="58"/>
      <c r="D58" s="58"/>
      <c r="E58" s="58"/>
      <c r="F58" s="58"/>
    </row>
    <row r="59" customFormat="false" ht="67.5" hidden="false" customHeight="true" outlineLevel="0" collapsed="false">
      <c r="A59" s="21" t="s">
        <v>592</v>
      </c>
      <c r="B59" s="21"/>
      <c r="C59" s="21"/>
      <c r="D59" s="21"/>
      <c r="E59" s="21"/>
      <c r="F59" s="21"/>
    </row>
    <row r="60" customFormat="false" ht="15" hidden="false" customHeight="false" outlineLevel="0" collapsed="false">
      <c r="A60" s="58" t="s">
        <v>593</v>
      </c>
      <c r="B60" s="58"/>
      <c r="C60" s="58"/>
      <c r="D60" s="58"/>
      <c r="E60" s="58"/>
      <c r="F60" s="58"/>
    </row>
    <row r="61" customFormat="false" ht="67.5" hidden="false" customHeight="true" outlineLevel="0" collapsed="false">
      <c r="A61" s="21" t="s">
        <v>594</v>
      </c>
      <c r="B61" s="21"/>
      <c r="C61" s="21"/>
      <c r="D61" s="21"/>
      <c r="E61" s="21"/>
      <c r="F61" s="21"/>
    </row>
    <row r="64" customFormat="false" ht="15" hidden="false" customHeight="false" outlineLevel="0" collapsed="false">
      <c r="A64" s="22" t="s">
        <v>595</v>
      </c>
    </row>
  </sheetData>
  <mergeCells count="29">
    <mergeCell ref="A1:F1"/>
    <mergeCell ref="A2:F2"/>
    <mergeCell ref="A4:F4"/>
    <mergeCell ref="A35:F35"/>
    <mergeCell ref="A36:F36"/>
    <mergeCell ref="A37:F37"/>
    <mergeCell ref="A38:F38"/>
    <mergeCell ref="A39:F39"/>
    <mergeCell ref="A40:F40"/>
    <mergeCell ref="A41:F41"/>
    <mergeCell ref="A42:F42"/>
    <mergeCell ref="A43:F43"/>
    <mergeCell ref="A44:F44"/>
    <mergeCell ref="A45:F45"/>
    <mergeCell ref="A46:F46"/>
    <mergeCell ref="A47:F47"/>
    <mergeCell ref="A48:F48"/>
    <mergeCell ref="A49:F49"/>
    <mergeCell ref="A51:F51"/>
    <mergeCell ref="A52:F52"/>
    <mergeCell ref="A53:F53"/>
    <mergeCell ref="A54:F54"/>
    <mergeCell ref="A55:F55"/>
    <mergeCell ref="A56:F56"/>
    <mergeCell ref="A57:F57"/>
    <mergeCell ref="A58:F58"/>
    <mergeCell ref="A59:F59"/>
    <mergeCell ref="A60:F60"/>
    <mergeCell ref="A61:F6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2026-09-07T10:56:45Z</dcterms:created>
  <dc:creator>openpyxl</dc:creator>
  <dc:description/>
  <dc:language>en-US</dc:language>
  <cp:lastModifiedBy/>
  <dcterms:modified xsi:type="dcterms:W3CDTF">2026-09-07T10:56:49Z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