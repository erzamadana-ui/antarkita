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Eksekutif" sheetId="1" state="visible" r:id="rId1"/>
    <sheet xmlns:r="http://schemas.openxmlformats.org/officeDocument/2006/relationships" name="Tumpukan Tool AI" sheetId="2" state="visible" r:id="rId2"/>
    <sheet xmlns:r="http://schemas.openxmlformats.org/officeDocument/2006/relationships" name="Penilaian Peran" sheetId="3" state="visible" r:id="rId3"/>
    <sheet xmlns:r="http://schemas.openxmlformats.org/officeDocument/2006/relationships" name="Skenario A B C" sheetId="4" state="visible" r:id="rId4"/>
    <sheet xmlns:r="http://schemas.openxmlformats.org/officeDocument/2006/relationships" name="Perbandingan 24 Bulan" sheetId="5" state="visible" r:id="rId5"/>
    <sheet xmlns:r="http://schemas.openxmlformats.org/officeDocument/2006/relationships" name="Sensitivitas" sheetId="6" state="visible" r:id="rId6"/>
    <sheet xmlns:r="http://schemas.openxmlformats.org/officeDocument/2006/relationships" name="Sumber &amp; Catatan" sheetId="7" state="visible" r:id="rId7"/>
  </sheets>
  <definedNames>
    <definedName name="Kurs">'Tumpukan Tool AI'!$D$7</definedName>
    <definedName name="PPN_PMSE">'Tumpukan Tool AI'!$D$8</definedName>
    <definedName name="Buffer_Kurs">'Tumpukan Tool AI'!$D$9</definedName>
    <definedName name="GrossUp_PPh26">'Tumpukan Tool AI'!$D$10</definedName>
    <definedName name="Hari_Bulan">'Tumpukan Tool AI'!$D$11</definedName>
    <definedName name="Order_Hari_F0">'Tumpukan Tool AI'!$D$12</definedName>
    <definedName name="Order_Hari_F1">'Tumpukan Tool AI'!$D$13</definedName>
    <definedName name="Order_Hari_F2">'Tumpukan Tool AI'!$D$14</definedName>
    <definedName name="Tiket_Per1000_Th1">'Tumpukan Tool AI'!$D$15</definedName>
    <definedName name="Tiket_Per1000_Th2">'Tumpukan Tool AI'!$D$16</definedName>
    <definedName name="Deflection_CS">'Tumpukan Tool AI'!$D$17</definedName>
    <definedName name="Verif_F0">'Tumpukan Tool AI'!$D$18</definedName>
    <definedName name="Verif_F1">'Tumpukan Tool AI'!$D$19</definedName>
    <definedName name="Verif_F2">'Tumpukan Tool AI'!$D$20</definedName>
    <definedName name="Merchant_F0">'Tumpukan Tool AI'!$D$21</definedName>
    <definedName name="Merchant_F1">'Tumpukan Tool AI'!$D$22</definedName>
    <definedName name="Merchant_F2">'Tumpukan Tool AI'!$D$23</definedName>
    <definedName name="Harga_LLM_In">'Tumpukan Tool AI'!$D$24</definedName>
    <definedName name="Harga_LLM_Out">'Tumpukan Tool AI'!$D$25</definedName>
    <definedName name="Faktor_Token">'Tumpukan Tool AI'!$D$26</definedName>
    <definedName name="Tarif_KYC">'Tumpukan Tool AI'!$D$27</definedName>
    <definedName name="Tarif_WA_Utility">'Tumpukan Tool AI'!$D$28</definedName>
    <definedName name="Porsi_WA">'Tumpukan Tool AI'!$D$29</definedName>
    <definedName name="Faktor_Tool_C">'Tumpukan Tool AI'!$D$30</definedName>
    <definedName name="Faktor_Sembunyi_C">'Tumpukan Tool AI'!$D$31</definedName>
    <definedName name="AI_Satu_Kali">'Tumpukan Tool AI'!$H$90</definedName>
    <definedName name="AI_Var_F0">'Tumpukan Tool AI'!$H$94</definedName>
    <definedName name="AI_Var_F1">'Tumpukan Tool AI'!$I$94</definedName>
    <definedName name="AI_Var_F2">'Tumpukan Tool AI'!$J$94</definedName>
    <definedName name="AI_Tetap_F0">'Tumpukan Tool AI'!$H$95</definedName>
    <definedName name="AI_Tetap_F1">'Tumpukan Tool AI'!$I$95</definedName>
    <definedName name="AI_Tetap_F2">'Tumpukan Tool AI'!$J$95</definedName>
    <definedName name="AI_Sembunyi_F0">'Tumpukan Tool AI'!$H$96</definedName>
    <definedName name="AI_Sembunyi_F1">'Tumpukan Tool AI'!$I$96</definedName>
    <definedName name="AI_Sembunyi_F2">'Tumpukan Tool AI'!$J$96</definedName>
    <definedName name="AI_B_F0">'Tumpukan Tool AI'!$H$97</definedName>
    <definedName name="AI_B_F1">'Tumpukan Tool AI'!$I$97</definedName>
    <definedName name="AI_B_F2">'Tumpukan Tool AI'!$J$97</definedName>
    <definedName name="AI_C_F0">'Tumpukan Tool AI'!$H$98</definedName>
    <definedName name="AI_C_F1">'Tumpukan Tool AI'!$I$98</definedName>
    <definedName name="AI_C_F2">'Tumpukan Tool AI'!$J$98</definedName>
    <definedName name="HC_A_F2">'Skenario A B C'!$J$44</definedName>
    <definedName name="T24_A">'Perbandingan 24 Bulan'!$D$167</definedName>
    <definedName name="T24_B">'Perbandingan 24 Bulan'!$D$168</definedName>
    <definedName name="T24_C">'Perbandingan 24 Bulan'!$D$169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&quot;x&quot;"/>
    <numFmt numFmtId="167" formatCode="#,##0.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sz val="11"/>
    </font>
    <font>
      <b val="1"/>
    </font>
    <font>
      <b val="1"/>
      <color rgb="001F4E79"/>
    </font>
    <font/>
    <font>
      <i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3" fontId="5" fillId="3" borderId="0" pivotButton="0" quotePrefix="0" xfId="0"/>
    <xf numFmtId="164" fontId="5" fillId="3" borderId="0" pivotButton="0" quotePrefix="0" xfId="0"/>
    <xf numFmtId="4" fontId="5" fillId="3" borderId="0" pivotButton="0" quotePrefix="0" xfId="0"/>
    <xf numFmtId="0" fontId="4" fillId="0" borderId="0" pivotButton="0" quotePrefix="0" xfId="0"/>
    <xf numFmtId="3" fontId="4" fillId="3" borderId="0" pivotButton="0" quotePrefix="0" xfId="0"/>
    <xf numFmtId="0" fontId="4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7" fillId="0" borderId="0" pivotButton="0" quotePrefix="0" xfId="0"/>
    <xf numFmtId="0" fontId="5" fillId="3" borderId="0" pivotButton="0" quotePrefix="0" xfId="0"/>
    <xf numFmtId="4" fontId="0" fillId="0" borderId="0" pivotButton="0" quotePrefix="0" xfId="0"/>
    <xf numFmtId="3" fontId="4" fillId="0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30" customWidth="1" min="3" max="3"/>
    <col width="26" customWidth="1" min="4" max="4"/>
    <col width="34" customWidth="1" min="5" max="5"/>
    <col width="38" customWidth="1" min="6" max="6"/>
    <col width="20" customWidth="1" min="7" max="7"/>
    <col width="20" customWidth="1" min="8" max="8"/>
  </cols>
  <sheetData>
    <row r="1">
      <c r="A1" s="1" t="inlineStr">
        <is>
          <t>AntarKita - Analisis AI vs SDM: Ringkasan Eksekutif</t>
        </is>
      </c>
    </row>
    <row r="2">
      <c r="A2" t="inlineStr">
        <is>
          <t>Disusun 7 September 2026. Turunan dari AntarKita-Model-Biaya-SDM.xlsx v1.0, AntarKita-Manual-Organisasi-dan-SOP.docx, dan DESAIN-ORGANISASI.md.</t>
        </is>
      </c>
    </row>
    <row r="3">
      <c r="A3" s="2" t="inlineStr">
        <is>
          <t>STATUS: USULAN ANALIS. Tidak satu pun pemangkasan posisi atau pembelian tool pada berkas ini telah diputuskan. Kewenangan ada pada Dewan Komisaris (DESAIN-ORGANISASI 6).</t>
        </is>
      </c>
    </row>
    <row r="5">
      <c r="A5" s="3" t="inlineStr">
        <is>
          <t>A. REKOMENDASI</t>
        </is>
      </c>
    </row>
    <row r="6" ht="32" customHeight="1">
      <c r="A6" s="4" t="inlineStr">
        <is>
          <t>1. Ambil Skenario B (Hibrida): headcount Fase 2 turun dari 42 menjadi 30 orang, dengan tumpukan AI yang dibangun sendiri di atas API LLM, bukan dibeli per-resolusi.</t>
        </is>
      </c>
    </row>
    <row r="7" ht="32" customHeight="1">
      <c r="A7" s="4" t="inlineStr">
        <is>
          <t>2. JANGAN mengotomasi pada Fase 0 dan Fase 1. Pada dua fase itu otomasi LEBIH MAHAL daripada manusia karena biaya implementasi terjadi lebih dulu daripada penghematannya. Mulai bangun pada kuartal 2, panen pada kuartal 5.</t>
        </is>
      </c>
    </row>
    <row r="8" ht="32" customHeight="1">
      <c r="A8" s="4" t="inlineStr">
        <is>
          <t>3. Penghematan yang jujur adalah sekitar 12-14% biaya terkait SDM, bukan 40-50%. Sebagian besar biaya AntarKita melekat pada peran lapangan, direksi, dan kepatuhan yang TIDAK dapat diotomasi.</t>
        </is>
      </c>
    </row>
    <row r="9" ht="32" customHeight="1">
      <c r="A9" s="4" t="inlineStr">
        <is>
          <t>4. Tolak Skenario C. Ia menghapus Treasury/Settlement Officer (melanggar pemisahan tugas DESAIN 6 dan SOP-07) dan menipiskan cakupan shift kanal darurat (SOP-05). Penghematannya nyata, tetapi harganya adalah temuan pada uji tuntas investor.</t>
        </is>
      </c>
    </row>
    <row r="11">
      <c r="A11" s="3" t="inlineStr">
        <is>
          <t>B. PERBANDINGAN TIGA SKENARIO</t>
        </is>
      </c>
    </row>
    <row r="12">
      <c r="A12" s="5" t="inlineStr">
        <is>
          <t>Ukuran</t>
        </is>
      </c>
      <c r="B12" s="5" t="inlineStr">
        <is>
          <t>Skenario A - Semua manusia</t>
        </is>
      </c>
      <c r="C12" s="5" t="inlineStr">
        <is>
          <t>Skenario B - Hibrida (rekomendasi)</t>
        </is>
      </c>
      <c r="D12" s="5" t="inlineStr">
        <is>
          <t>Skenario C - AI-maksimal</t>
        </is>
      </c>
      <c r="E12" s="5" t="inlineStr">
        <is>
          <t>Sumber angka</t>
        </is>
      </c>
    </row>
    <row r="13">
      <c r="A13" t="inlineStr">
        <is>
          <t>Headcount Fase 0 (bulan 1-3)</t>
        </is>
      </c>
      <c r="B13" s="6">
        <f>'Skenario A B C'!F49</f>
        <v/>
      </c>
      <c r="C13" s="6">
        <f>'Skenario A B C'!G49</f>
        <v/>
      </c>
      <c r="D13" s="6">
        <f>'Skenario A B C'!H49</f>
        <v/>
      </c>
      <c r="E13" t="inlineStr">
        <is>
          <t>Lembar 'Skenario A B C'</t>
        </is>
      </c>
    </row>
    <row r="14">
      <c r="A14" t="inlineStr">
        <is>
          <t>Headcount Fase 1 (bulan 4-12)</t>
        </is>
      </c>
      <c r="B14" s="6">
        <f>'Skenario A B C'!I49</f>
        <v/>
      </c>
      <c r="C14" s="6">
        <f>'Skenario A B C'!J49</f>
        <v/>
      </c>
      <c r="D14" s="6">
        <f>'Skenario A B C'!K49</f>
        <v/>
      </c>
      <c r="E14" t="inlineStr">
        <is>
          <t>Lembar 'Skenario A B C'</t>
        </is>
      </c>
    </row>
    <row r="15">
      <c r="A15" t="inlineStr">
        <is>
          <t>Headcount Fase 2 (bulan 13-24)</t>
        </is>
      </c>
      <c r="B15" s="6">
        <f>'Skenario A B C'!L49</f>
        <v/>
      </c>
      <c r="C15" s="6">
        <f>'Skenario A B C'!M49</f>
        <v/>
      </c>
      <c r="D15" s="6">
        <f>'Skenario A B C'!N49</f>
        <v/>
      </c>
      <c r="E15" t="inlineStr">
        <is>
          <t>Lembar 'Skenario A B C'</t>
        </is>
      </c>
    </row>
    <row r="16">
      <c r="A16" t="inlineStr">
        <is>
          <t>Biaya SDM per bulan Fase 2 (Rp)</t>
        </is>
      </c>
      <c r="B16" s="6">
        <f>'Skenario A B C'!L50</f>
        <v/>
      </c>
      <c r="C16" s="6">
        <f>'Skenario A B C'!M50</f>
        <v/>
      </c>
      <c r="D16" s="6">
        <f>'Skenario A B C'!N50</f>
        <v/>
      </c>
      <c r="E16" t="inlineStr">
        <is>
          <t>Model biaya SDM lama (A) &amp; rumus hidup</t>
        </is>
      </c>
    </row>
    <row r="17">
      <c r="A17" t="inlineStr">
        <is>
          <t>Biaya non-gaji melekat SDM per bulan Fase 2 (Rp)</t>
        </is>
      </c>
      <c r="B17" s="6">
        <f>'Skenario A B C'!L51</f>
        <v/>
      </c>
      <c r="C17" s="6">
        <f>'Skenario A B C'!M51</f>
        <v/>
      </c>
      <c r="D17" s="6">
        <f>'Skenario A B C'!N51</f>
        <v/>
      </c>
      <c r="E17" t="inlineStr">
        <is>
          <t>Lembar 'Biaya Non-Gaji' model lama</t>
        </is>
      </c>
    </row>
    <row r="18">
      <c r="A18" t="inlineStr">
        <is>
          <t>Biaya AI per bulan Fase 2 (Rp)</t>
        </is>
      </c>
      <c r="B18" s="6">
        <f>'Skenario A B C'!L52</f>
        <v/>
      </c>
      <c r="C18" s="6">
        <f>'Skenario A B C'!M52</f>
        <v/>
      </c>
      <c r="D18" s="6">
        <f>'Skenario A B C'!N52</f>
        <v/>
      </c>
      <c r="E18" t="inlineStr">
        <is>
          <t>Lembar 'Tumpukan Tool AI'</t>
        </is>
      </c>
    </row>
    <row r="19">
      <c r="A19" t="inlineStr">
        <is>
          <t>TOTAL per bulan Fase 2 (Rp)</t>
        </is>
      </c>
      <c r="B19" s="6">
        <f>'Skenario A B C'!L53</f>
        <v/>
      </c>
      <c r="C19" s="6">
        <f>'Skenario A B C'!M53</f>
        <v/>
      </c>
      <c r="D19" s="6">
        <f>'Skenario A B C'!N53</f>
        <v/>
      </c>
      <c r="E19" t="inlineStr">
        <is>
          <t>Jumlah tiga baris di atas</t>
        </is>
      </c>
    </row>
    <row r="20">
      <c r="A20" t="inlineStr">
        <is>
          <t>TOTAL KUMULATIF 24 BULAN (Rp)</t>
        </is>
      </c>
      <c r="B20" s="6">
        <f>T24_A</f>
        <v/>
      </c>
      <c r="C20" s="6">
        <f>T24_B</f>
        <v/>
      </c>
      <c r="D20" s="6">
        <f>T24_C</f>
        <v/>
      </c>
      <c r="E20" t="inlineStr">
        <is>
          <t>Lembar 'Perbandingan 24 Bulan'</t>
        </is>
      </c>
    </row>
    <row r="21">
      <c r="A21" t="inlineStr">
        <is>
          <t>Penghematan 24 bulan vs A (Rp)</t>
        </is>
      </c>
      <c r="B21" s="6">
        <f>0</f>
        <v/>
      </c>
      <c r="C21" s="6">
        <f>T24_A-T24_B</f>
        <v/>
      </c>
      <c r="D21" s="6">
        <f>T24_A-T24_C</f>
        <v/>
      </c>
      <c r="E21" t="inlineStr">
        <is>
          <t>Turunan</t>
        </is>
      </c>
    </row>
    <row r="22">
      <c r="A22" t="inlineStr">
        <is>
          <t>Penghematan 24 bulan vs A (%)</t>
        </is>
      </c>
      <c r="B22" s="7">
        <f>0</f>
        <v/>
      </c>
      <c r="C22" s="7">
        <f>(T24_A-T24_B)/T24_A</f>
        <v/>
      </c>
      <c r="D22" s="7">
        <f>(T24_A-T24_C)/T24_A</f>
        <v/>
      </c>
      <c r="E22" t="inlineStr">
        <is>
          <t>Turunan</t>
        </is>
      </c>
    </row>
    <row r="23">
      <c r="A23" t="inlineStr">
        <is>
          <t>Pengurangan headcount bulan 24 (orang)</t>
        </is>
      </c>
      <c r="B23" s="6">
        <f>0</f>
        <v/>
      </c>
      <c r="C23" s="6">
        <f>'Perbandingan 24 Bulan'!AA130-'Perbandingan 24 Bulan'!AA131</f>
        <v/>
      </c>
      <c r="D23" s="6">
        <f>'Perbandingan 24 Bulan'!AA130-'Perbandingan 24 Bulan'!AA132</f>
        <v/>
      </c>
      <c r="E23" t="inlineStr">
        <is>
          <t>Turunan</t>
        </is>
      </c>
    </row>
    <row r="24">
      <c r="A24" t="inlineStr">
        <is>
          <t>Titik impas (bulan kumulatif mulai lebih murah dari A)</t>
        </is>
      </c>
      <c r="B24" s="6" t="inlineStr">
        <is>
          <t>-</t>
        </is>
      </c>
      <c r="C24" s="6">
        <f>IFERROR(MATCH(TRUE,INDEX('Perbandingan 24 Bulan'!D153:AA153&gt;0,0),0),"tidak tercapai")</f>
        <v/>
      </c>
      <c r="D24" s="6">
        <f>IFERROR(MATCH(TRUE,INDEX('Perbandingan 24 Bulan'!D154:AA154&gt;0,0),0),"tidak tercapai")</f>
        <v/>
      </c>
      <c r="E24" t="inlineStr">
        <is>
          <t>Lembar 'Perbandingan 24 Bulan'</t>
        </is>
      </c>
    </row>
    <row r="26">
      <c r="A26" s="3" t="inlineStr">
        <is>
          <t>C. APA YANG PECAH LEBIH DULU DAN KAPAN (pada Skenario B yang direkomendasikan)</t>
        </is>
      </c>
    </row>
    <row r="27">
      <c r="A27" s="5" t="inlineStr">
        <is>
          <t>Urutan</t>
        </is>
      </c>
      <c r="B27" s="5" t="inlineStr">
        <is>
          <t>Titik pecah</t>
        </is>
      </c>
      <c r="C27" s="5" t="inlineStr">
        <is>
          <t>Pemicu berangka</t>
        </is>
      </c>
      <c r="D27" s="5" t="inlineStr">
        <is>
          <t>Perkiraan waktu</t>
        </is>
      </c>
      <c r="E27" s="5" t="inlineStr">
        <is>
          <t>Peringatan dini yang harus dipasang</t>
        </is>
      </c>
      <c r="F27" s="5" t="inlineStr">
        <is>
          <t>Mitigasi</t>
        </is>
      </c>
    </row>
    <row r="28" ht="58" customHeight="1">
      <c r="A28" t="n">
        <v>1</v>
      </c>
      <c r="B28" s="4" t="inlineStr">
        <is>
          <t>Kanal darurat 24 jam (SOP-05) kehilangan penutup shift</t>
        </is>
      </c>
      <c r="C28" s="4" t="inlineStr">
        <is>
          <t>Dengan 2 CS Agent Pekanbaru + 1 Padang, shift ketiga di salah satu kota ditutup lintas kota. Satu orang sakit atau resign = shift kosong.</t>
        </is>
      </c>
      <c r="D28" s="4" t="inlineStr">
        <is>
          <t>Kapan saja setelah bulan 14 - risiko harian, bukan risiko volume</t>
        </is>
      </c>
      <c r="E28" s="4" t="inlineStr">
        <is>
          <t>Persentase peringatan darurat ditangani &lt;=15 menit turun di bawah 95% (target Bab 5)</t>
        </is>
      </c>
      <c r="F28" s="4" t="inlineStr">
        <is>
          <t>Anggarkan 1 CS Agent cadangan lintas kota; jangan pangkas di bawah 3 total.</t>
        </is>
      </c>
    </row>
    <row r="29" ht="58" customHeight="1">
      <c r="A29" t="n">
        <v>2</v>
      </c>
      <c r="B29" s="4" t="inlineStr">
        <is>
          <t>Agen CS otomatis kewalahan pada kategori di luar naskah baku</t>
        </is>
      </c>
      <c r="C29" s="4" t="inlineStr">
        <is>
          <t>Pada 2.400 order/hari, 1.584 tiket/bulan, eskalasi 634/bulan = 21/hari. Aman. Yang pecah lebih dulu adalah KERAGAMAN kasus, bukan jumlahnya: peluncuran AntarTravel/AntarBox memunculkan kategori tiket yang belum ada di basis pengetahuan.</t>
        </is>
      </c>
      <c r="D29" s="4" t="inlineStr">
        <is>
          <t>Bulan ke-2 setelah setiap peluncuran layanan baru</t>
        </is>
      </c>
      <c r="E29" s="4" t="inlineStr">
        <is>
          <t>Tingkat tiket dibuka ulang naik melewati 8%; deflection turun di bawah 50%</t>
        </is>
      </c>
      <c r="F29" s="4" t="inlineStr">
        <is>
          <t>Basis pengetahuan wajib diperbarui SEBELUM rilis layanan baru - masukkan sebagai gerbang di SOP-11.</t>
        </is>
      </c>
    </row>
    <row r="30" ht="58" customHeight="1">
      <c r="A30" t="n">
        <v>3</v>
      </c>
      <c r="B30" s="4" t="inlineStr">
        <is>
          <t>Pemelihara otomasi menjadi titik tunggal kegagalan</t>
        </is>
      </c>
      <c r="C30" s="4" t="inlineStr">
        <is>
          <t>Satu Backend Engineer (Mid) yang dialihfungsikan memelihara 13 komponen AI sekaligus mengerjakan fitur. Beban lebih dari 1 FTE sejak bulan 16.</t>
        </is>
      </c>
      <c r="D30" s="4" t="inlineStr">
        <is>
          <t>Bulan 16-18</t>
        </is>
      </c>
      <c r="E30" s="4" t="inlineStr">
        <is>
          <t>Antrean cacat otomasi &gt; 5 terbuka lebih dari 2 pekan</t>
        </is>
      </c>
      <c r="F30" s="4" t="inlineStr">
        <is>
          <t>Kontraktor 0,5 FTE sudah dianggarkan (H-1); naikkan ke 1,0 FTE pada bulan 16 atau kembalikan 1 Backend Mid.</t>
        </is>
      </c>
    </row>
    <row r="31" ht="58" customHeight="1">
      <c r="A31" t="n">
        <v>4</v>
      </c>
      <c r="B31" s="4" t="inlineStr">
        <is>
          <t>Beban kepatuhan UU PDP melampaui kapasitas DPO merangkap</t>
        </is>
      </c>
      <c r="C31" s="4" t="inlineStr">
        <is>
          <t>Head of Legal &amp; Compliance merangkap DPO sudah memikul perizinan, kontrak, dan hak subjek data. Otomasi menambah DPIA berkala, register keputusan otomatis (Pasal 10), dan uji transfer data (Pasal 56).</t>
        </is>
      </c>
      <c r="D31" s="4" t="inlineStr">
        <is>
          <t>Bulan 15-18, atau seketika bila ada insiden data</t>
        </is>
      </c>
      <c r="E31" s="4" t="inlineStr">
        <is>
          <t>Permintaan hak subjek data lewat SLA 14 hari; DPIA fitur baru tertunda &gt;1 kuartal</t>
        </is>
      </c>
      <c r="F31" s="4" t="inlineStr">
        <is>
          <t>0,2 FTE sudah dianggarkan (H-3); bila lewat, pisahkan DPO dari Head of Legal - ini konsekuensi biaya, bukan pilihan.</t>
        </is>
      </c>
    </row>
    <row r="32" ht="58" customHeight="1">
      <c r="A32" t="n">
        <v>5</v>
      </c>
      <c r="B32" s="4" t="inlineStr">
        <is>
          <t>Gerbang rilis tanpa QA manusia meloloskan cacat pada alur uang</t>
        </is>
      </c>
      <c r="C32" s="4" t="inlineStr">
        <is>
          <t>QA Engineer dihapus; hak veto pindah ke Engineering Manager yang juga menulis kode. Pemisahan penulis-penguji hilang.</t>
        </is>
      </c>
      <c r="D32" s="4" t="inlineStr">
        <is>
          <t>Rilis besar pertama yang menyentuh dompet setelah bulan 13</t>
        </is>
      </c>
      <c r="E32" s="4" t="inlineStr">
        <is>
          <t>Proporsi rilis tanpa cacat kritikal turun; simulasi e2e tidak 100% lolos</t>
        </is>
      </c>
      <c r="F32" s="4" t="inlineStr">
        <is>
          <t>Aturan mutlak: perubahan yang menyentuh dompet WAJIB ditinjau Backend Engineer Senior yang bukan penulisnya. Tuliskan di SOP-11.</t>
        </is>
      </c>
    </row>
    <row r="34">
      <c r="A34" s="3" t="inlineStr">
        <is>
          <t>D. PERAN YANG TIDAK BOLEH DIOTOMASI (dengan dasarnya)</t>
        </is>
      </c>
    </row>
    <row r="35">
      <c r="A35" s="5" t="inlineStr">
        <is>
          <t>Peran</t>
        </is>
      </c>
      <c r="B35" s="5" t="inlineStr">
        <is>
          <t>Dasar</t>
        </is>
      </c>
      <c r="C35" s="5" t="inlineStr">
        <is>
          <t>Jenis dasar</t>
        </is>
      </c>
    </row>
    <row r="36" ht="48" customHeight="1">
      <c r="A36" s="4" t="inlineStr">
        <is>
          <t>JD-22 Head of Legal &amp; Compliance merangkap DPO</t>
        </is>
      </c>
      <c r="B36" s="4" t="inlineStr">
        <is>
          <t>UU 27/2022 Pasal 53 mewajibkan penunjukan pejabat/petugas yang menjalankan fungsi pelindungan data pribadi; Putusan MK 151/PUU-XXII/2024 memperluas tafsirnya. Jabatan melekat pada orang.</t>
        </is>
      </c>
      <c r="F36" t="inlineStr">
        <is>
          <t>Hukum eksplisit</t>
        </is>
      </c>
    </row>
    <row r="37" ht="48" customHeight="1">
      <c r="A37" s="4" t="inlineStr">
        <is>
          <t>JD-01 Direktur Utama, JD-02 CTO, JD-03 COO, JD-19 Head of Finance</t>
        </is>
      </c>
      <c r="B37" s="4" t="inlineStr">
        <is>
          <t>Organ perseroan dan penanggung jawab laporan keuangan serta pajak. Menandatangani perjanjian dan memikul akuntabilitas yang tidak dapat dialihkan ke sistem.</t>
        </is>
      </c>
      <c r="F37" t="inlineStr">
        <is>
          <t>Hukum &amp; tata kelola</t>
        </is>
      </c>
    </row>
    <row r="38" ht="48" customHeight="1">
      <c r="A38" s="4" t="inlineStr">
        <is>
          <t>JD-18 Trust &amp; Safety Officer - keputusan penangguhan akun</t>
        </is>
      </c>
      <c r="B38" s="4" t="inlineStr">
        <is>
          <t>UU 27/2022 Pasal 10: subjek data berhak keberatan atas keputusan yang HANYA didasarkan pemrosesan otomatis dan berdampak signifikan. Penangguhan mitra menghilangkan penghasilan - jelas berdampak signifikan.</t>
        </is>
      </c>
      <c r="F38" t="inlineStr">
        <is>
          <t>Hukum eksplisit</t>
        </is>
      </c>
    </row>
    <row r="39" ht="48" customHeight="1">
      <c r="A39" s="4" t="inlineStr">
        <is>
          <t>JD-17 CS Agent - penerimaan peringatan darurat</t>
        </is>
      </c>
      <c r="B39" s="4" t="inlineStr">
        <is>
          <t>SOP-05: peringatan darurat wajib ditangani manusia dalam 15 menit, kanal aktif 24 jam. CS Agent adalah penerima pertama di luar jam Trust &amp; Safety.</t>
        </is>
      </c>
      <c r="F39" t="inlineStr">
        <is>
          <t>Keselamatan jiwa</t>
        </is>
      </c>
    </row>
    <row r="40" ht="48" customHeight="1">
      <c r="A40" s="4" t="inlineStr">
        <is>
          <t>JD-21 Treasury/Settlement Officer</t>
        </is>
      </c>
      <c r="B40" s="4" t="inlineStr">
        <is>
          <t>DESAIN-ORGANISASI 6 dan SOP-07: penyetuju != pelaksana != perekonsiliasi. Mesin boleh merekonsiliasi; penanggung jawab yang menahan tutup buku harus orang yang berbeda.</t>
        </is>
      </c>
      <c r="F40" t="inlineStr">
        <is>
          <t>Kontrol internal wajib</t>
        </is>
      </c>
    </row>
    <row r="41" ht="48" customHeight="1">
      <c r="A41" s="4" t="inlineStr">
        <is>
          <t>JD-13 City Manager, JD-14 Ops Supervisor, JD-15 Partner Acquisition, JD-25 Merchant Acquisition</t>
        </is>
      </c>
      <c r="B41" s="4" t="inlineStr">
        <is>
          <t>Rekrutmen dan pembinaan mitra, pemeriksaan fisik kendaraan, penanganan kecelakaan, hubungan pemerintah daerah dan pengelola pasar, negosiasi merchant. Risiko R-07 menjadikan pasokan mitra sebagai risiko dengan kemungkinan TERTINGGI pada register risiko - ini posisi terakhir yang boleh dipangkas.</t>
        </is>
      </c>
      <c r="F41" t="inlineStr">
        <is>
          <t>Sifat pekerjaan lapangan</t>
        </is>
      </c>
    </row>
  </sheetData>
  <mergeCells count="10">
    <mergeCell ref="A9:H9"/>
    <mergeCell ref="B36:E36"/>
    <mergeCell ref="B40:E40"/>
    <mergeCell ref="B41:E41"/>
    <mergeCell ref="A7:H7"/>
    <mergeCell ref="B38:E38"/>
    <mergeCell ref="B39:E39"/>
    <mergeCell ref="B37:E37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40" customWidth="1" min="3" max="3"/>
    <col width="22" customWidth="1" min="4" max="4"/>
    <col width="22" customWidth="1" min="5" max="5"/>
    <col width="26" customWidth="1" min="6" max="6"/>
    <col width="20" customWidth="1" min="7" max="7"/>
    <col width="18" customWidth="1" min="8" max="8"/>
    <col width="18" customWidth="1" min="9" max="9"/>
    <col width="18" customWidth="1" min="10" max="10"/>
    <col width="46" customWidth="1" min="11" max="11"/>
    <col width="14" customWidth="1" min="12" max="12"/>
  </cols>
  <sheetData>
    <row r="1">
      <c r="A1" s="1" t="inlineStr">
        <is>
          <t>AntarKita - Tumpukan Tool AI, Volume, dan Biaya Bulanan</t>
        </is>
      </c>
    </row>
    <row r="2">
      <c r="A2" s="8" t="inlineStr">
        <is>
          <t>Disusun 7 September 2026. Seluruh harga penyedia DIVERIFIKASI pada tanggal tersebut - lihat lembar 'Sumber &amp; Catatan' [S-62] s.d. [S-77]. Angka yang tidak dapat diverifikasi ditandai [ASUMSI] pada kolom Status. Sel berlatar kuning adalah input yang boleh diubah pemilik.</t>
        </is>
      </c>
    </row>
    <row r="3">
      <c r="A3" s="2" t="inlineStr">
        <is>
          <t>USULAN ANALIS - BUKAN KEPUTUSAN. Seluruh pemilihan tool masih menunggu keputusan Dewan Komisaris.</t>
        </is>
      </c>
    </row>
    <row r="5">
      <c r="A5" s="3" t="inlineStr">
        <is>
          <t>A. BLOK ASUMSI (bernama - seluruh rumus merujuk ke sel-sel di bawah)</t>
        </is>
      </c>
    </row>
    <row r="6">
      <c r="A6" s="5" t="inlineStr">
        <is>
          <t>Parameter</t>
        </is>
      </c>
      <c r="B6" s="5" t="inlineStr"/>
      <c r="C6" s="5" t="inlineStr"/>
      <c r="D6" s="5" t="inlineStr">
        <is>
          <t>Nilai</t>
        </is>
      </c>
      <c r="E6" s="5" t="inlineStr">
        <is>
          <t>Satuan</t>
        </is>
      </c>
      <c r="F6" s="5" t="inlineStr">
        <is>
          <t>Status data / sumber</t>
        </is>
      </c>
    </row>
    <row r="7">
      <c r="A7" t="inlineStr">
        <is>
          <t>Kurs USD/IDR (4 September 2026)</t>
        </is>
      </c>
      <c r="D7" s="9" t="n">
        <v>17631</v>
      </c>
      <c r="E7" t="inlineStr">
        <is>
          <t>Rp/USD</t>
        </is>
      </c>
      <c r="F7" t="inlineStr">
        <is>
          <t>[S-74] exchange-rates.org, diakses 7 Sep 2026</t>
        </is>
      </c>
    </row>
    <row r="8">
      <c r="A8" t="inlineStr">
        <is>
          <t>PPN PMSE efektif atas langganan digital luar negeri</t>
        </is>
      </c>
      <c r="D8" s="10" t="n">
        <v>0.11</v>
      </c>
      <c r="E8" t="inlineStr">
        <is>
          <t>% dari nilai</t>
        </is>
      </c>
      <c r="F8" t="inlineStr">
        <is>
          <t>[S-75] 12% x DPP nilai lain 11/12 (UU HPP, PMK 131/2024, PER-12/PJ/2025)</t>
        </is>
      </c>
    </row>
    <row r="9">
      <c r="A9" t="inlineStr">
        <is>
          <t>Buffer risiko kurs</t>
        </is>
      </c>
      <c r="D9" s="10" t="n">
        <v>0.08</v>
      </c>
      <c r="E9" t="inlineStr">
        <is>
          <t>% dari nilai</t>
        </is>
      </c>
      <c r="F9" t="inlineStr">
        <is>
          <t>[ASUMSI] penyusun - tidak ada sumber proyeksi kurs yang dapat dipakai</t>
        </is>
      </c>
    </row>
    <row r="10">
      <c r="A10" t="inlineStr">
        <is>
          <t>Cadangan gross-up PPh Pasal 26</t>
        </is>
      </c>
      <c r="D10" s="10" t="n">
        <v>0.1</v>
      </c>
      <c r="E10" t="inlineStr">
        <is>
          <t>% dari nilai</t>
        </is>
      </c>
      <c r="F10" t="inlineStr">
        <is>
          <t>[ASUMSI] tarif umum 20% [S-77]; dicadangkan 10% karena sebagian penyedia berada di negara P3B dan sebagian pembayaran bukan objek royalti</t>
        </is>
      </c>
    </row>
    <row r="11">
      <c r="A11" t="inlineStr">
        <is>
          <t>Hari operasi per bulan</t>
        </is>
      </c>
      <c r="D11" s="9" t="n">
        <v>30</v>
      </c>
      <c r="E11" t="inlineStr">
        <is>
          <t>hari</t>
        </is>
      </c>
      <c r="F11" t="inlineStr">
        <is>
          <t>[ASUMSI]</t>
        </is>
      </c>
    </row>
    <row r="12">
      <c r="A12" t="inlineStr">
        <is>
          <t>Order selesai per hari - akhir Fase 0</t>
        </is>
      </c>
      <c r="D12" s="9" t="n">
        <v>30</v>
      </c>
      <c r="E12" t="inlineStr">
        <is>
          <t>order/hari</t>
        </is>
      </c>
      <c r="F12" t="inlineStr">
        <is>
          <t>[ASUMSI] uji tertutup Pekanbaru</t>
        </is>
      </c>
    </row>
    <row r="13">
      <c r="A13" t="inlineStr">
        <is>
          <t>Order selesai per hari - akhir Fase 1</t>
        </is>
      </c>
      <c r="D13" s="9" t="n">
        <v>600</v>
      </c>
      <c r="E13" t="inlineStr">
        <is>
          <t>order/hari</t>
        </is>
      </c>
      <c r="F13" t="inlineStr">
        <is>
          <t>Manual SOP Bab 5, target akhir tahun 1 [ASUMSI penyusun manual]</t>
        </is>
      </c>
    </row>
    <row r="14">
      <c r="A14" t="inlineStr">
        <is>
          <t>Order selesai per hari - akhir Fase 2</t>
        </is>
      </c>
      <c r="D14" s="9" t="n">
        <v>2400</v>
      </c>
      <c r="E14" t="inlineStr">
        <is>
          <t>order/hari</t>
        </is>
      </c>
      <c r="F14" t="inlineStr">
        <is>
          <t>Manual SOP Bab 5, target akhir tahun 2 [ASUMSI penyusun manual]</t>
        </is>
      </c>
    </row>
    <row r="15">
      <c r="A15" t="inlineStr">
        <is>
          <t>Tiket per 1.000 order - tahun 1</t>
        </is>
      </c>
      <c r="D15" s="9" t="n">
        <v>35</v>
      </c>
      <c r="E15" t="inlineStr">
        <is>
          <t>tiket</t>
        </is>
      </c>
      <c r="F15" t="inlineStr">
        <is>
          <t>Manual SOP Bab 5 (batas atas) [ASUMSI]</t>
        </is>
      </c>
    </row>
    <row r="16">
      <c r="A16" t="inlineStr">
        <is>
          <t>Tiket per 1.000 order - tahun 2</t>
        </is>
      </c>
      <c r="D16" s="9" t="n">
        <v>22</v>
      </c>
      <c r="E16" t="inlineStr">
        <is>
          <t>tiket</t>
        </is>
      </c>
      <c r="F16" t="inlineStr">
        <is>
          <t>Manual SOP Bab 5 (batas atas) [ASUMSI]</t>
        </is>
      </c>
    </row>
    <row r="17">
      <c r="A17" t="inlineStr">
        <is>
          <t>Tingkat deflection agen CS otomatis</t>
        </is>
      </c>
      <c r="D17" s="10" t="n">
        <v>0.6</v>
      </c>
      <c r="E17" t="inlineStr">
        <is>
          <t>% tiket selesai tanpa manusia</t>
        </is>
      </c>
      <c r="F17" t="inlineStr">
        <is>
          <t>[ASUMSI] rentang wajar 50-70%. JANGAN memakai klaim vendor 90%+</t>
        </is>
      </c>
    </row>
    <row r="18">
      <c r="A18" t="inlineStr">
        <is>
          <t>Verifikasi identitas mitra+merchant per bulan - Fase 0</t>
        </is>
      </c>
      <c r="D18" s="9" t="n">
        <v>40</v>
      </c>
      <c r="E18" t="inlineStr">
        <is>
          <t>verifikasi</t>
        </is>
      </c>
      <c r="F18" t="inlineStr">
        <is>
          <t>[ASUMSI] turunan target mitra Bab 5 &amp; rasio mitra aktif 20% [S-58]</t>
        </is>
      </c>
    </row>
    <row r="19">
      <c r="A19" t="inlineStr">
        <is>
          <t>Verifikasi identitas mitra+merchant per bulan - Fase 1</t>
        </is>
      </c>
      <c r="D19" s="9" t="n">
        <v>180</v>
      </c>
      <c r="E19" t="inlineStr">
        <is>
          <t>verifikasi</t>
        </is>
      </c>
      <c r="F19" t="inlineStr">
        <is>
          <t>[ASUMSI] idem</t>
        </is>
      </c>
    </row>
    <row r="20">
      <c r="A20" t="inlineStr">
        <is>
          <t>Verifikasi identitas mitra+merchant per bulan - Fase 2</t>
        </is>
      </c>
      <c r="D20" s="9" t="n">
        <v>404</v>
      </c>
      <c r="E20" t="inlineStr">
        <is>
          <t>verifikasi</t>
        </is>
      </c>
      <c r="F20" t="inlineStr">
        <is>
          <t>[ASUMSI] idem: +800 mitra aktif &amp; +850 merchant dalam 12 bulan, rasio aktif 20%</t>
        </is>
      </c>
    </row>
    <row r="21">
      <c r="A21" t="inlineStr">
        <is>
          <t>Merchant baru per bulan - Fase 0</t>
        </is>
      </c>
      <c r="D21" s="9" t="n">
        <v>5</v>
      </c>
      <c r="E21" t="inlineStr">
        <is>
          <t>merchant</t>
        </is>
      </c>
      <c r="F21" t="inlineStr">
        <is>
          <t>[ASUMSI]</t>
        </is>
      </c>
    </row>
    <row r="22">
      <c r="A22" t="inlineStr">
        <is>
          <t>Merchant baru per bulan - Fase 1</t>
        </is>
      </c>
      <c r="D22" s="9" t="n">
        <v>20</v>
      </c>
      <c r="E22" t="inlineStr">
        <is>
          <t>merchant</t>
        </is>
      </c>
      <c r="F22" t="inlineStr">
        <is>
          <t>Manual SOP Bab 5: &gt;=20 merchant aktif baru/bulan</t>
        </is>
      </c>
    </row>
    <row r="23">
      <c r="A23" t="inlineStr">
        <is>
          <t>Merchant baru per bulan - Fase 2</t>
        </is>
      </c>
      <c r="D23" s="9" t="n">
        <v>71</v>
      </c>
      <c r="E23" t="inlineStr">
        <is>
          <t>merchant</t>
        </is>
      </c>
      <c r="F23" t="inlineStr">
        <is>
          <t>[ASUMSI] turunan target 1.200 merchant aktif akhir tahun 2</t>
        </is>
      </c>
    </row>
    <row r="24">
      <c r="A24" t="inlineStr">
        <is>
          <t>Harga LLM campuran - input (USD per juta token)</t>
        </is>
      </c>
      <c r="D24" s="11" t="n">
        <v>1.3</v>
      </c>
      <c r="E24" t="inlineStr">
        <is>
          <t>USD/juta</t>
        </is>
      </c>
      <c r="F24" t="inlineStr">
        <is>
          <t>Turunan 70% Claude Haiku 4.5 ($1) + 30% Claude Sonnet 5 ($2) [S-62]</t>
        </is>
      </c>
    </row>
    <row r="25">
      <c r="A25" t="inlineStr">
        <is>
          <t>Harga LLM campuran - output (USD per juta token)</t>
        </is>
      </c>
      <c r="D25" s="11" t="n">
        <v>6.5</v>
      </c>
      <c r="E25" t="inlineStr">
        <is>
          <t>USD/juta</t>
        </is>
      </c>
      <c r="F25" t="inlineStr">
        <is>
          <t>Turunan 70% Haiku 4.5 ($5) + 30% Sonnet 5 ($10) [S-62]</t>
        </is>
      </c>
    </row>
    <row r="26">
      <c r="A26" t="inlineStr">
        <is>
          <t>Faktor cadangan token (percobaan ulang, evaluasi, cache meleset)</t>
        </is>
      </c>
      <c r="D26" s="11" t="n">
        <v>3</v>
      </c>
      <c r="E26" t="inlineStr">
        <is>
          <t>x</t>
        </is>
      </c>
      <c r="F26" t="inlineStr">
        <is>
          <t>[ASUMSI] penyusun - biaya token nyata selalu di atas hitungan teoretis</t>
        </is>
      </c>
    </row>
    <row r="27">
      <c r="A27" t="inlineStr">
        <is>
          <t>Tarif verifikasi identitas penyedia LOKAL berizin</t>
        </is>
      </c>
      <c r="D27" s="9" t="n">
        <v>10000</v>
      </c>
      <c r="E27" t="inlineStr">
        <is>
          <t>Rp/verifikasi</t>
        </is>
      </c>
      <c r="F27" t="inlineStr">
        <is>
          <t>[ASUMSI] tidak ditemukan daftar harga publik penyedia Indonesia. Pembanding terverifikasi: Didit USD 0,33 [S-67]</t>
        </is>
      </c>
    </row>
    <row r="28">
      <c r="A28" t="inlineStr">
        <is>
          <t>Tarif pesan WhatsApp kategori Utility - Indonesia</t>
        </is>
      </c>
      <c r="D28" s="11" t="n">
        <v>356.65</v>
      </c>
      <c r="E28" t="inlineStr">
        <is>
          <t>Rp/pesan</t>
        </is>
      </c>
      <c r="F28" t="inlineStr">
        <is>
          <t>[S-73] tarif Meta berlaku 1 Juli 2026. Pesan Service (balasan dalam 24 jam) GRATIS</t>
        </is>
      </c>
    </row>
    <row r="29">
      <c r="A29" t="inlineStr">
        <is>
          <t>Porsi order yang memicu notifikasi WhatsApp Utility</t>
        </is>
      </c>
      <c r="D29" s="10" t="n">
        <v>0.15</v>
      </c>
      <c r="E29" t="inlineStr">
        <is>
          <t>% order</t>
        </is>
      </c>
      <c r="F29" t="inlineStr">
        <is>
          <t>[ASUMSI]</t>
        </is>
      </c>
    </row>
    <row r="30">
      <c r="A30" t="inlineStr">
        <is>
          <t>Faktor biaya tool Skenario C (AI-maksimal)</t>
        </is>
      </c>
      <c r="D30" s="11" t="n">
        <v>1.25</v>
      </c>
      <c r="E30" t="inlineStr">
        <is>
          <t>x</t>
        </is>
      </c>
      <c r="F30" t="inlineStr">
        <is>
          <t>[ASUMSI] permukaan otomasi lebih luas: bot suara, vendor tambahan</t>
        </is>
      </c>
    </row>
    <row r="31">
      <c r="A31" t="inlineStr">
        <is>
          <t>Faktor biaya tersembunyi Skenario C</t>
        </is>
      </c>
      <c r="D31" s="11" t="n">
        <v>1.8</v>
      </c>
      <c r="E31" t="inlineStr">
        <is>
          <t>x</t>
        </is>
      </c>
      <c r="F31" t="inlineStr">
        <is>
          <t>[ASUMSI] eskalasi &amp; kegagalan lebih sering, beban kepatuhan lebih besar</t>
        </is>
      </c>
    </row>
    <row r="33">
      <c r="A33" s="3" t="inlineStr">
        <is>
          <t>B. VOLUME TURUNAN PER BULAN (run-rate pada akhir fase)</t>
        </is>
      </c>
    </row>
    <row r="34">
      <c r="A34" s="5" t="inlineStr">
        <is>
          <t>Ukuran</t>
        </is>
      </c>
      <c r="B34" s="5" t="inlineStr"/>
      <c r="C34" s="5" t="inlineStr"/>
      <c r="D34" s="5" t="inlineStr">
        <is>
          <t>Fase 0</t>
        </is>
      </c>
      <c r="E34" s="5" t="inlineStr">
        <is>
          <t>Fase 1</t>
        </is>
      </c>
      <c r="F34" s="5" t="inlineStr">
        <is>
          <t>Fase 2</t>
        </is>
      </c>
      <c r="G34" s="5" t="inlineStr">
        <is>
          <t>Rumus / catatan</t>
        </is>
      </c>
    </row>
    <row r="35">
      <c r="A35" t="inlineStr">
        <is>
          <t>Order selesai per bulan</t>
        </is>
      </c>
      <c r="D35" s="6">
        <f>Order_Hari_F0*Hari_Bulan</f>
        <v/>
      </c>
      <c r="E35" s="6">
        <f>Order_Hari_F1*Hari_Bulan</f>
        <v/>
      </c>
      <c r="F35" s="6">
        <f>Order_Hari_F2*Hari_Bulan</f>
        <v/>
      </c>
      <c r="G35" t="inlineStr">
        <is>
          <t>order/hari x hari operasi</t>
        </is>
      </c>
    </row>
    <row r="36">
      <c r="A36" t="inlineStr">
        <is>
          <t>Tiket masuk per bulan</t>
        </is>
      </c>
      <c r="D36" s="6">
        <f>D35*Tiket_Per1000_Th1/1000</f>
        <v/>
      </c>
      <c r="E36" s="6">
        <f>E35*Tiket_Per1000_Th1/1000</f>
        <v/>
      </c>
      <c r="F36" s="6">
        <f>F35*Tiket_Per1000_Th2/1000</f>
        <v/>
      </c>
      <c r="G36" t="inlineStr">
        <is>
          <t>order/bulan x tiket per 1.000 order</t>
        </is>
      </c>
    </row>
    <row r="37">
      <c r="A37" t="inlineStr">
        <is>
          <t>Tiket ditangani agen AI (deflection)</t>
        </is>
      </c>
      <c r="D37" s="6">
        <f>D36*Deflection_CS</f>
        <v/>
      </c>
      <c r="E37" s="6">
        <f>E36*Deflection_CS</f>
        <v/>
      </c>
      <c r="F37" s="6">
        <f>F36*Deflection_CS</f>
        <v/>
      </c>
      <c r="G37" t="inlineStr">
        <is>
          <t>tiket x tingkat deflection</t>
        </is>
      </c>
    </row>
    <row r="38">
      <c r="A38" t="inlineStr">
        <is>
          <t>Tiket dieskalasi ke manusia</t>
        </is>
      </c>
      <c r="D38" s="6">
        <f>D36-D37</f>
        <v/>
      </c>
      <c r="E38" s="6">
        <f>E36-E37</f>
        <v/>
      </c>
      <c r="F38" s="6">
        <f>F36-F37</f>
        <v/>
      </c>
      <c r="G38" t="inlineStr">
        <is>
          <t>tiket - tiket yang dideflect</t>
        </is>
      </c>
    </row>
    <row r="39">
      <c r="A39" t="inlineStr">
        <is>
          <t>Verifikasi identitas per bulan</t>
        </is>
      </c>
      <c r="D39" s="6">
        <f>Verif_F0</f>
        <v/>
      </c>
      <c r="E39" s="6">
        <f>Verif_F1</f>
        <v/>
      </c>
      <c r="F39" s="6">
        <f>Verif_F2</f>
        <v/>
      </c>
      <c r="G39" t="inlineStr">
        <is>
          <t>blok asumsi</t>
        </is>
      </c>
    </row>
    <row r="40">
      <c r="A40" t="inlineStr">
        <is>
          <t>Merchant baru per bulan</t>
        </is>
      </c>
      <c r="D40" s="6">
        <f>Merchant_F0</f>
        <v/>
      </c>
      <c r="E40" s="6">
        <f>Merchant_F1</f>
        <v/>
      </c>
      <c r="F40" s="6">
        <f>Merchant_F2</f>
        <v/>
      </c>
      <c r="G40" t="inlineStr">
        <is>
          <t>blok asumsi</t>
        </is>
      </c>
    </row>
    <row r="41">
      <c r="A41" t="inlineStr">
        <is>
          <t>Item katalog diperiksa per bulan</t>
        </is>
      </c>
      <c r="D41" s="6">
        <f>D40*15</f>
        <v/>
      </c>
      <c r="E41" s="6">
        <f>E40*15</f>
        <v/>
      </c>
      <c r="F41" s="6">
        <f>F40*15</f>
        <v/>
      </c>
      <c r="G41" t="inlineStr">
        <is>
          <t>merchant baru x 15 item [ASUMSI]</t>
        </is>
      </c>
    </row>
    <row r="42">
      <c r="A42" t="inlineStr">
        <is>
          <t>Kueri analitik bahasa alami per bulan</t>
        </is>
      </c>
      <c r="D42" s="6" t="n">
        <v>30</v>
      </c>
      <c r="E42" s="6" t="n">
        <v>100</v>
      </c>
      <c r="F42" s="6" t="n">
        <v>200</v>
      </c>
      <c r="G42" t="inlineStr">
        <is>
          <t>[ASUMSI] pengganti pekerjaan pelaporan rutin JD-12</t>
        </is>
      </c>
    </row>
    <row r="43">
      <c r="A43" t="inlineStr">
        <is>
          <t>Aset konten pemasaran per bulan</t>
        </is>
      </c>
      <c r="D43" s="6" t="n">
        <v>20</v>
      </c>
      <c r="E43" s="6" t="n">
        <v>120</v>
      </c>
      <c r="F43" s="6" t="n">
        <v>300</v>
      </c>
      <c r="G43" t="inlineStr">
        <is>
          <t>[ASUMSI] pengganti pekerjaan produksi konten JD-24</t>
        </is>
      </c>
    </row>
    <row r="44">
      <c r="A44" t="inlineStr">
        <is>
          <t>Order ditriase anti-fraud per bulan</t>
        </is>
      </c>
      <c r="D44" s="6">
        <f>D35*0.03</f>
        <v/>
      </c>
      <c r="E44" s="6">
        <f>E35*0.03</f>
        <v/>
      </c>
      <c r="F44" s="6">
        <f>F35*0.03</f>
        <v/>
      </c>
      <c r="G44" t="inlineStr">
        <is>
          <t>3% order [ASUMSI]</t>
        </is>
      </c>
    </row>
    <row r="46">
      <c r="A46" s="3" t="inlineStr">
        <is>
          <t>C. PERHITUNGAN VOLUME TOKEN LLM PER BULAN</t>
        </is>
      </c>
    </row>
    <row r="47">
      <c r="A47" s="5" t="inlineStr">
        <is>
          <t>Kegunaan</t>
        </is>
      </c>
      <c r="B47" s="5" t="inlineStr">
        <is>
          <t>Token input per unit</t>
        </is>
      </c>
      <c r="C47" s="5" t="inlineStr">
        <is>
          <t>Token output per unit</t>
        </is>
      </c>
      <c r="D47" s="5" t="inlineStr">
        <is>
          <t>Basis volume</t>
        </is>
      </c>
      <c r="E47" s="5" t="inlineStr">
        <is>
          <t>Token IN Fase 0</t>
        </is>
      </c>
      <c r="F47" s="5" t="inlineStr">
        <is>
          <t>Token IN Fase 1</t>
        </is>
      </c>
      <c r="G47" s="5" t="inlineStr">
        <is>
          <t>Token IN Fase 2</t>
        </is>
      </c>
      <c r="H47" s="5" t="inlineStr">
        <is>
          <t>Token OUT Fase 0</t>
        </is>
      </c>
      <c r="I47" s="5" t="inlineStr">
        <is>
          <t>Token OUT Fase 1</t>
        </is>
      </c>
      <c r="J47" s="5" t="inlineStr">
        <is>
          <t>Token OUT Fase 2</t>
        </is>
      </c>
    </row>
    <row r="48">
      <c r="A48" t="inlineStr">
        <is>
          <t>Agen CS tingkat 1 (rata-rata 3 giliran + konteks basis pengetahuan)</t>
        </is>
      </c>
      <c r="B48" t="n">
        <v>8000</v>
      </c>
      <c r="C48" t="n">
        <v>900</v>
      </c>
      <c r="D48" t="inlineStr">
        <is>
          <t>baris 37</t>
        </is>
      </c>
      <c r="E48" s="6">
        <f>D37*$B48</f>
        <v/>
      </c>
      <c r="F48" s="6">
        <f>E37*$B48</f>
        <v/>
      </c>
      <c r="G48" s="6">
        <f>F37*$B48</f>
        <v/>
      </c>
      <c r="H48" s="6">
        <f>D37*$C48</f>
        <v/>
      </c>
      <c r="I48" s="6">
        <f>E37*$C48</f>
        <v/>
      </c>
      <c r="J48" s="6">
        <f>F37*$C48</f>
        <v/>
      </c>
    </row>
    <row r="49">
      <c r="A49" t="inlineStr">
        <is>
          <t>Triase &amp; ringkasan tiket yang dieskalasi</t>
        </is>
      </c>
      <c r="B49" t="n">
        <v>3000</v>
      </c>
      <c r="C49" t="n">
        <v>400</v>
      </c>
      <c r="D49" t="inlineStr">
        <is>
          <t>baris 38</t>
        </is>
      </c>
      <c r="E49" s="6">
        <f>D38*$B49</f>
        <v/>
      </c>
      <c r="F49" s="6">
        <f>E38*$B49</f>
        <v/>
      </c>
      <c r="G49" s="6">
        <f>F38*$B49</f>
        <v/>
      </c>
      <c r="H49" s="6">
        <f>D38*$C49</f>
        <v/>
      </c>
      <c r="I49" s="6">
        <f>E38*$C49</f>
        <v/>
      </c>
      <c r="J49" s="6">
        <f>F38*$C49</f>
        <v/>
      </c>
    </row>
    <row r="50">
      <c r="A50" t="inlineStr">
        <is>
          <t>Moderasi katalog &amp; pemeriksaan kewajaran harga</t>
        </is>
      </c>
      <c r="B50" t="n">
        <v>1200</v>
      </c>
      <c r="C50" t="n">
        <v>150</v>
      </c>
      <c r="D50" t="inlineStr">
        <is>
          <t>baris 41</t>
        </is>
      </c>
      <c r="E50" s="6">
        <f>D41*$B50</f>
        <v/>
      </c>
      <c r="F50" s="6">
        <f>E41*$B50</f>
        <v/>
      </c>
      <c r="G50" s="6">
        <f>F41*$B50</f>
        <v/>
      </c>
      <c r="H50" s="6">
        <f>D41*$C50</f>
        <v/>
      </c>
      <c r="I50" s="6">
        <f>E41*$C50</f>
        <v/>
      </c>
      <c r="J50" s="6">
        <f>F41*$C50</f>
        <v/>
      </c>
    </row>
    <row r="51">
      <c r="A51" t="inlineStr">
        <is>
          <t>Analitik &amp; laporan bahasa alami</t>
        </is>
      </c>
      <c r="B51" t="n">
        <v>15000</v>
      </c>
      <c r="C51" t="n">
        <v>2000</v>
      </c>
      <c r="D51" t="inlineStr">
        <is>
          <t>baris 42</t>
        </is>
      </c>
      <c r="E51" s="6">
        <f>D42*$B51</f>
        <v/>
      </c>
      <c r="F51" s="6">
        <f>E42*$B51</f>
        <v/>
      </c>
      <c r="G51" s="6">
        <f>F42*$B51</f>
        <v/>
      </c>
      <c r="H51" s="6">
        <f>D42*$C51</f>
        <v/>
      </c>
      <c r="I51" s="6">
        <f>E42*$C51</f>
        <v/>
      </c>
      <c r="J51" s="6">
        <f>F42*$C51</f>
        <v/>
      </c>
    </row>
    <row r="52">
      <c r="A52" t="inlineStr">
        <is>
          <t>Produksi konten pemasaran &amp; naskah kampanye</t>
        </is>
      </c>
      <c r="B52" t="n">
        <v>3000</v>
      </c>
      <c r="C52" t="n">
        <v>1500</v>
      </c>
      <c r="D52" t="inlineStr">
        <is>
          <t>baris 43</t>
        </is>
      </c>
      <c r="E52" s="6">
        <f>D43*$B52</f>
        <v/>
      </c>
      <c r="F52" s="6">
        <f>E43*$B52</f>
        <v/>
      </c>
      <c r="G52" s="6">
        <f>F43*$B52</f>
        <v/>
      </c>
      <c r="H52" s="6">
        <f>D43*$C52</f>
        <v/>
      </c>
      <c r="I52" s="6">
        <f>E43*$C52</f>
        <v/>
      </c>
      <c r="J52" s="6">
        <f>F43*$C52</f>
        <v/>
      </c>
    </row>
    <row r="53">
      <c r="A53" t="inlineStr">
        <is>
          <t>Triase sinyal anti-fraud (pemeringkatan, bukan keputusan)</t>
        </is>
      </c>
      <c r="B53" t="n">
        <v>4000</v>
      </c>
      <c r="C53" t="n">
        <v>500</v>
      </c>
      <c r="D53" t="inlineStr">
        <is>
          <t>baris 44</t>
        </is>
      </c>
      <c r="E53" s="6">
        <f>D44*$B53</f>
        <v/>
      </c>
      <c r="F53" s="6">
        <f>E44*$B53</f>
        <v/>
      </c>
      <c r="G53" s="6">
        <f>F44*$B53</f>
        <v/>
      </c>
      <c r="H53" s="6">
        <f>D44*$C53</f>
        <v/>
      </c>
      <c r="I53" s="6">
        <f>E44*$C53</f>
        <v/>
      </c>
      <c r="J53" s="6">
        <f>F44*$C53</f>
        <v/>
      </c>
    </row>
    <row r="54">
      <c r="A54" s="12" t="inlineStr">
        <is>
          <t>TOTAL TOKEN PER BULAN</t>
        </is>
      </c>
      <c r="E54" s="13">
        <f>SUM(E48:E53)</f>
        <v/>
      </c>
      <c r="F54" s="13">
        <f>SUM(F48:F53)</f>
        <v/>
      </c>
      <c r="G54" s="13">
        <f>SUM(G48:G53)</f>
        <v/>
      </c>
      <c r="H54" s="13">
        <f>SUM(H48:H53)</f>
        <v/>
      </c>
      <c r="I54" s="13">
        <f>SUM(I48:I53)</f>
        <v/>
      </c>
      <c r="J54" s="13">
        <f>SUM(J48:J53)</f>
        <v/>
      </c>
    </row>
    <row r="55">
      <c r="A55" s="5" t="inlineStr"/>
      <c r="B55" s="5" t="inlineStr"/>
      <c r="C55" s="5" t="inlineStr"/>
      <c r="D55" s="5" t="inlineStr">
        <is>
          <t>Fase 0</t>
        </is>
      </c>
      <c r="E55" s="5" t="inlineStr">
        <is>
          <t>Fase 1</t>
        </is>
      </c>
      <c r="F55" s="5" t="inlineStr">
        <is>
          <t>Fase 2</t>
        </is>
      </c>
    </row>
    <row r="56">
      <c r="D56" s="6">
        <f>(E54/1000000*Harga_LLM_In+H54/1000000*Harga_LLM_Out)*Faktor_Token*Kurs</f>
        <v/>
      </c>
      <c r="E56" s="6">
        <f>(F54/1000000*Harga_LLM_In+I54/1000000*Harga_LLM_Out)*Faktor_Token*Kurs</f>
        <v/>
      </c>
      <c r="F56" s="6">
        <f>(G54/1000000*Harga_LLM_In+J54/1000000*Harga_LLM_Out)*Faktor_Token*Kurs</f>
        <v/>
      </c>
    </row>
    <row r="58">
      <c r="A58" s="3" t="inlineStr">
        <is>
          <t>D. TUMPUKAN TOOL AI - BIAYA BULANAN PER FASE (Rp)</t>
        </is>
      </c>
    </row>
    <row r="59">
      <c r="A59" s="5" t="inlineStr">
        <is>
          <t>Kode</t>
        </is>
      </c>
      <c r="B59" s="5" t="inlineStr">
        <is>
          <t>Tool / kategori (bernama)</t>
        </is>
      </c>
      <c r="C59" s="5" t="inlineStr">
        <is>
          <t>Fungsi</t>
        </is>
      </c>
      <c r="D59" s="5" t="inlineStr">
        <is>
          <t>Peran JD yang digantikan / diperkuat</t>
        </is>
      </c>
      <c r="E59" s="5" t="inlineStr">
        <is>
          <t>Model harga</t>
        </is>
      </c>
      <c r="F59" s="5" t="inlineStr">
        <is>
          <t>Harga satuan terverifikasi</t>
        </is>
      </c>
      <c r="G59" s="5" t="inlineStr">
        <is>
          <t>Sifat biaya</t>
        </is>
      </c>
      <c r="H59" s="5" t="inlineStr">
        <is>
          <t>Biaya/bulan Fase 0</t>
        </is>
      </c>
      <c r="I59" s="5" t="inlineStr">
        <is>
          <t>Biaya/bulan Fase 1</t>
        </is>
      </c>
      <c r="J59" s="5" t="inlineStr">
        <is>
          <t>Biaya/bulan Fase 2</t>
        </is>
      </c>
      <c r="K59" s="5" t="inlineStr">
        <is>
          <t>Risiko utama</t>
        </is>
      </c>
      <c r="L59" s="5" t="inlineStr">
        <is>
          <t>Sumber</t>
        </is>
      </c>
    </row>
    <row r="60">
      <c r="A60" s="14" t="inlineStr">
        <is>
          <t>T-01</t>
        </is>
      </c>
      <c r="B60" s="4" t="inlineStr">
        <is>
          <t>Claude Haiku 4.5 + Claude Sonnet 5 (API) - LLM produk &amp; internal</t>
        </is>
      </c>
      <c r="C60" s="4" t="inlineStr">
        <is>
          <t>Mesin bahasa untuk agen CS, triase tiket &amp; fraud, moderasi katalog, analitik bahasa alami, produksi konten</t>
        </is>
      </c>
      <c r="D60" s="4" t="inlineStr">
        <is>
          <t>JD-17 CS Agent; JD-12 Data Analyst; JD-24 Digital Marketing; JD-18 triase</t>
        </is>
      </c>
      <c r="E60" s="4" t="inlineStr">
        <is>
          <t>Per juta token</t>
        </is>
      </c>
      <c r="F60" s="4" t="inlineStr">
        <is>
          <t>USD 1/5 (Haiku 4.5); USD 2/10 (Sonnet 5)</t>
        </is>
      </c>
      <c r="G60" s="4" t="inlineStr">
        <is>
          <t>Variabel - luar negeri</t>
        </is>
      </c>
      <c r="H60" s="15">
        <f>D56</f>
        <v/>
      </c>
      <c r="I60" s="15">
        <f>E56</f>
        <v/>
      </c>
      <c r="J60" s="15">
        <f>F56</f>
        <v/>
      </c>
      <c r="K60" s="4" t="inlineStr">
        <is>
          <t>Halusinasi pada pertanyaan saldo/pencairan; prompt WAJIB dimasking dari NIK, alamat, nomor telepon (UU PDP Ps.56)</t>
        </is>
      </c>
      <c r="L60" s="4" t="inlineStr">
        <is>
          <t>[S-62]</t>
        </is>
      </c>
    </row>
    <row r="61">
      <c r="A61" s="14" t="inlineStr">
        <is>
          <t>T-02</t>
        </is>
      </c>
      <c r="B61" s="4" t="inlineStr">
        <is>
          <t>WhatsApp Business Platform (Meta) - kanal omnichannel</t>
        </is>
      </c>
      <c r="C61" s="4" t="inlineStr">
        <is>
          <t>Kanal masuk agen CS dan notifikasi order; balasan dalam jendela layanan 24 jam tidak berbiaya</t>
        </is>
      </c>
      <c r="D61" s="4" t="inlineStr">
        <is>
          <t>JD-17 CS Agent (kanal); JD-24 (notifikasi)</t>
        </is>
      </c>
      <c r="E61" s="4" t="inlineStr">
        <is>
          <t>Per pesan keluar</t>
        </is>
      </c>
      <c r="F61" s="4" t="inlineStr">
        <is>
          <t>Rp356,65 Utility; Service gratis</t>
        </is>
      </c>
      <c r="G61" s="4" t="inlineStr">
        <is>
          <t>Variabel - lokal</t>
        </is>
      </c>
      <c r="H61" s="15">
        <f>D35*Porsi_WA*Tarif_WA_Utility</f>
        <v/>
      </c>
      <c r="I61" s="15">
        <f>E35*Porsi_WA*Tarif_WA_Utility</f>
        <v/>
      </c>
      <c r="J61" s="15">
        <f>F35*Porsi_WA*Tarif_WA_Utility</f>
        <v/>
      </c>
      <c r="K61" s="4" t="inlineStr">
        <is>
          <t>Perubahan kebijakan tarif Meta; pemblokiran nomor bila keluhan spam tinggi</t>
        </is>
      </c>
      <c r="L61" s="4" t="inlineStr">
        <is>
          <t>[S-73]</t>
        </is>
      </c>
    </row>
    <row r="62">
      <c r="A62" s="14" t="inlineStr">
        <is>
          <t>T-03</t>
        </is>
      </c>
      <c r="B62" s="4" t="inlineStr">
        <is>
          <t>Verifikasi identitas + liveness (penyedia LOKAL berizin)</t>
        </is>
      </c>
      <c r="C62" s="4" t="inlineStr">
        <is>
          <t>OCR KTP/SIM/STNK, kecocokan wajah 1:1, uji keaktifan (liveness), skor verifikasi otomatis SOP-01</t>
        </is>
      </c>
      <c r="D62" s="4" t="inlineStr">
        <is>
          <t>JD-15 Partner Acquisition (bagian dokumen); admin tinjauan manual SOP-01</t>
        </is>
      </c>
      <c r="E62" s="4" t="inlineStr">
        <is>
          <t>Per verifikasi berhasil</t>
        </is>
      </c>
      <c r="F62" s="4" t="inlineStr">
        <is>
          <t>Rp10.000 [ASUMSI]; pembanding Didit USD 0,33</t>
        </is>
      </c>
      <c r="G62" s="4" t="inlineStr">
        <is>
          <t>Variabel - lokal</t>
        </is>
      </c>
      <c r="H62" s="15">
        <f>D39*Tarif_KYC</f>
        <v/>
      </c>
      <c r="I62" s="15">
        <f>E39*Tarif_KYC</f>
        <v/>
      </c>
      <c r="J62" s="15">
        <f>F39*Tarif_KYC</f>
        <v/>
      </c>
      <c r="K62" s="4" t="inlineStr">
        <is>
          <t>Bila memakai penyedia luar negeri, foto KTP &amp; swafoto keluar wilayah RI - memicu Pasal 56 UU PDP. WAJIB penyedia lokal.</t>
        </is>
      </c>
      <c r="L62" s="4" t="inlineStr">
        <is>
          <t>[S-67][S-37]</t>
        </is>
      </c>
    </row>
    <row r="63">
      <c r="A63" s="14" t="inlineStr">
        <is>
          <t>T-04</t>
        </is>
      </c>
      <c r="B63" s="4" t="inlineStr">
        <is>
          <t>Intelijen perangkat &amp; skoring fraud (di atas pemicu basis data yang sudah ada)</t>
        </is>
      </c>
      <c r="C63" s="4" t="inlineStr">
        <is>
          <t>Sidik jari perangkat, deteksi perangkat dipakai bersama, lompatan lokasi, pemeringkatan risiko pencairan</t>
        </is>
      </c>
      <c r="D63" s="4" t="inlineStr">
        <is>
          <t>JD-18 Trust &amp; Safety (triase, bukan keputusan); JD-07 (aturan)</t>
        </is>
      </c>
      <c r="E63" s="4" t="inlineStr">
        <is>
          <t>Langganan bulanan</t>
        </is>
      </c>
      <c r="F63" s="4" t="inlineStr">
        <is>
          <t>[ASUMSI] - tidak ada daftar harga publik</t>
        </is>
      </c>
      <c r="G63" s="4" t="inlineStr">
        <is>
          <t>Tetap - luar negeri</t>
        </is>
      </c>
      <c r="H63" s="15" t="n">
        <v>0</v>
      </c>
      <c r="I63" s="15" t="n">
        <v>4000000</v>
      </c>
      <c r="J63" s="15" t="n">
        <v>8000000</v>
      </c>
      <c r="K63" s="4" t="inlineStr">
        <is>
          <t>Positif palsu memblokir mitra yang sah -&gt; UU PDP Pasal 10 memberi hak keberatan atas keputusan otomatis</t>
        </is>
      </c>
      <c r="L63" s="4" t="inlineStr">
        <is>
          <t>[ASUMSI]</t>
        </is>
      </c>
    </row>
    <row r="64">
      <c r="A64" s="14" t="inlineStr">
        <is>
          <t>T-05</t>
        </is>
      </c>
      <c r="B64" s="4" t="inlineStr">
        <is>
          <t>Platform tiket &amp; orkestrasi percakapan (BSP WhatsApp + panel tiket yang sudah ada)</t>
        </is>
      </c>
      <c r="C64" s="4" t="inlineStr">
        <is>
          <t>Antrean, penugasan, auto-triage, SLA balas pertama; panel tickets/ticket_messages sudah ada di sistem</t>
        </is>
      </c>
      <c r="D64" s="4" t="inlineStr">
        <is>
          <t>JD-16 Head of CX (pengelolaan antrean); JD-17</t>
        </is>
      </c>
      <c r="E64" s="4" t="inlineStr">
        <is>
          <t>Langganan bulanan</t>
        </is>
      </c>
      <c r="F64" s="4" t="inlineStr">
        <is>
          <t>[ASUMSI]; pembanding Zendesk Suite Team USD 55/agen/bln</t>
        </is>
      </c>
      <c r="G64" s="4" t="inlineStr">
        <is>
          <t>Tetap - campuran</t>
        </is>
      </c>
      <c r="H64" s="15" t="n">
        <v>1000000</v>
      </c>
      <c r="I64" s="15" t="n">
        <v>2000000</v>
      </c>
      <c r="J64" s="15" t="n">
        <v>3000000</v>
      </c>
      <c r="K64" s="4" t="inlineStr">
        <is>
          <t>Vendor per-resolusi (Intercom Fin USD 0,99 = Rp17.457) TIDAK ekonomis pada volume AntarKita - lihat catatan C-3</t>
        </is>
      </c>
      <c r="L64" s="4" t="inlineStr">
        <is>
          <t>[S-65][S-66]</t>
        </is>
      </c>
    </row>
    <row r="65">
      <c r="A65" s="14" t="inlineStr">
        <is>
          <t>T-06</t>
        </is>
      </c>
      <c r="B65" s="4" t="inlineStr">
        <is>
          <t>Claude Team / Claude Code (asisten koding)</t>
        </is>
      </c>
      <c r="C65" s="4" t="inlineStr">
        <is>
          <t>Agen koding untuk fitur, perbaikan cakupan uji, sapuan rute otomatis, tinjauan kode tahap pertama</t>
        </is>
      </c>
      <c r="D65" s="4" t="inlineStr">
        <is>
          <t>JD-06 Mobile Mid; JD-08 Backend Mid; JD-09 QA; JD-10 Junior SWE</t>
        </is>
      </c>
      <c r="E65" s="4" t="inlineStr">
        <is>
          <t>Per kursi per bulan</t>
        </is>
      </c>
      <c r="F65" s="4" t="inlineStr">
        <is>
          <t>USD 100 kursi premium; USD 20 kursi standar (tagihan tahunan)</t>
        </is>
      </c>
      <c r="G65" s="4" t="inlineStr">
        <is>
          <t>Tetap - luar negeri</t>
        </is>
      </c>
      <c r="H65" s="15">
        <f>(2*100+2*20)*Kurs</f>
        <v/>
      </c>
      <c r="I65" s="15">
        <f>(3*100+3*20)*Kurs</f>
        <v/>
      </c>
      <c r="J65" s="15">
        <f>(3*100+5*20)*Kurs</f>
        <v/>
      </c>
      <c r="K65" s="4" t="inlineStr">
        <is>
          <t>Ketergantungan pada mutu tinjauan manusia; kode yang menyentuh dompet WAJIB ditinjau Backend Senior</t>
        </is>
      </c>
      <c r="L65" s="4" t="inlineStr">
        <is>
          <t>[S-71][S-70]</t>
        </is>
      </c>
    </row>
    <row r="66">
      <c r="A66" s="14" t="inlineStr">
        <is>
          <t>T-07</t>
        </is>
      </c>
      <c r="B66" s="4" t="inlineStr">
        <is>
          <t>Metabase Cloud Starter + kueri bahasa alami</t>
        </is>
      </c>
      <c r="C66" s="4" t="inlineStr">
        <is>
          <t>Portal Eksekutif, Laba Rugi per bulan &amp; per layanan, audit KPI, penyiapan data uji tuntas</t>
        </is>
      </c>
      <c r="D66" s="4" t="inlineStr">
        <is>
          <t>JD-12 Data Analyst (produksi laporan)</t>
        </is>
      </c>
      <c r="E66" s="4" t="inlineStr">
        <is>
          <t>Langganan + per pengguna</t>
        </is>
      </c>
      <c r="F66" s="4" t="inlineStr">
        <is>
          <t>USD 100/bln (5 pengguna) + USD 6/pengguna; add-on token AI USD 3,75/juta</t>
        </is>
      </c>
      <c r="G66" s="4" t="inlineStr">
        <is>
          <t>Tetap - luar negeri</t>
        </is>
      </c>
      <c r="H66" s="15">
        <f>100*Kurs</f>
        <v/>
      </c>
      <c r="I66" s="15">
        <f>(100+3*6)*Kurs</f>
        <v/>
      </c>
      <c r="J66" s="15">
        <f>(100+7*6)*Kurs</f>
        <v/>
      </c>
      <c r="K66" s="4" t="inlineStr">
        <is>
          <t>Definisi metrik tanpa pemilik manusia menghasilkan dua versi angka - dilarang Bab 5 manual</t>
        </is>
      </c>
      <c r="L66" s="4" t="inlineStr">
        <is>
          <t>[S-69]</t>
        </is>
      </c>
    </row>
    <row r="67">
      <c r="A67" s="14" t="inlineStr">
        <is>
          <t>T-08</t>
        </is>
      </c>
      <c r="B67" s="4" t="inlineStr">
        <is>
          <t>Moderasi konten &amp; gambar katalog</t>
        </is>
      </c>
      <c r="C67" s="4" t="inlineStr">
        <is>
          <t>Penyaringan foto/teks lapak, deteksi harga di luar kewajaran, penyaringan ulasan</t>
        </is>
      </c>
      <c r="D67" s="4" t="inlineStr">
        <is>
          <t>JD-25 Merchant Acquisition (mutu katalog); JD-18</t>
        </is>
      </c>
      <c r="E67" s="4" t="inlineStr">
        <is>
          <t>Per permintaan / langganan</t>
        </is>
      </c>
      <c r="F67" s="4" t="inlineStr">
        <is>
          <t>[ASUMSI]</t>
        </is>
      </c>
      <c r="G67" s="4" t="inlineStr">
        <is>
          <t>Tetap - luar negeri</t>
        </is>
      </c>
      <c r="H67" s="15" t="n">
        <v>0</v>
      </c>
      <c r="I67" s="15" t="n">
        <v>750000</v>
      </c>
      <c r="J67" s="15" t="n">
        <v>1500000</v>
      </c>
      <c r="K67" s="4" t="inlineStr">
        <is>
          <t>Salah blokir merchant kecil; wajib jalur banding manusia</t>
        </is>
      </c>
      <c r="L67" s="4" t="inlineStr">
        <is>
          <t>[ASUMSI]</t>
        </is>
      </c>
    </row>
    <row r="68">
      <c r="A68" s="14" t="inlineStr">
        <is>
          <t>T-09</t>
        </is>
      </c>
      <c r="B68" s="4" t="inlineStr">
        <is>
          <t>ElevenLabs (text-to-speech) - panggilan keluar otomatis</t>
        </is>
      </c>
      <c r="C68" s="4" t="inlineStr">
        <is>
          <t>Konfirmasi order tak terjawab, pengingat mitra, IVR status tiket. TIDAK dipakai untuk kanal darurat.</t>
        </is>
      </c>
      <c r="D68" s="4" t="inlineStr">
        <is>
          <t>JD-17 CS Agent (panggilan rutin); JD-14 Ops Supervisor (pengingat)</t>
        </is>
      </c>
      <c r="E68" s="4" t="inlineStr">
        <is>
          <t>Langganan bulanan (kredit)</t>
        </is>
      </c>
      <c r="F68" s="4" t="inlineStr">
        <is>
          <t>USD 11 Creator (121rb kredit); USD 99 Pro (600rb kredit)</t>
        </is>
      </c>
      <c r="G68" s="4" t="inlineStr">
        <is>
          <t>Tetap - luar negeri</t>
        </is>
      </c>
      <c r="H68" s="15" t="n">
        <v>0</v>
      </c>
      <c r="I68" s="15">
        <f>11*Kurs</f>
        <v/>
      </c>
      <c r="J68" s="15">
        <f>99*Kurs</f>
        <v/>
      </c>
      <c r="K68" s="4" t="inlineStr">
        <is>
          <t>Panggilan otomatis pada insiden keselamatan DILARANG - SOP-05 mensyaratkan manusia dalam 15 menit</t>
        </is>
      </c>
      <c r="L68" s="4" t="inlineStr">
        <is>
          <t>[S-72]</t>
        </is>
      </c>
    </row>
    <row r="69">
      <c r="A69" s="14" t="inlineStr">
        <is>
          <t>T-10</t>
        </is>
      </c>
      <c r="B69" s="4" t="inlineStr">
        <is>
          <t>n8n (swakelola) - orkestrator &amp; otomasi alur kerja</t>
        </is>
      </c>
      <c r="C69" s="4" t="inlineStr">
        <is>
          <t>Rekonsiliasi dompet harian, laporan bulanan Komisaris, penugasan ulang order tersendat, alur onboarding</t>
        </is>
      </c>
      <c r="D69" s="4" t="inlineStr">
        <is>
          <t>JD-21 Treasury (rekonsiliasi); JD-14 (papan order); JD-20 (pembukuan)</t>
        </is>
      </c>
      <c r="E69" s="4" t="inlineStr">
        <is>
          <t>Lisensi Community gratis + biaya server</t>
        </is>
      </c>
      <c r="F69" s="4" t="inlineStr">
        <is>
          <t>Cloud Pro EUR 50/10.000 eksekusi; Community swakelola gratis</t>
        </is>
      </c>
      <c r="G69" s="4" t="inlineStr">
        <is>
          <t>Tetap - campuran</t>
        </is>
      </c>
      <c r="H69" s="15" t="n">
        <v>1000000</v>
      </c>
      <c r="I69" s="15" t="n">
        <v>1750000</v>
      </c>
      <c r="J69" s="15" t="n">
        <v>2500000</v>
      </c>
      <c r="K69" s="4" t="inlineStr">
        <is>
          <t>Alur yang gagal diam-diam. Rekonsiliasi WAJIB memunculkan selisih ke manusia, bukan menutupnya.</t>
        </is>
      </c>
      <c r="L69" s="4" t="inlineStr">
        <is>
          <t>[S-68]</t>
        </is>
      </c>
    </row>
    <row r="70">
      <c r="A70" s="14" t="inlineStr">
        <is>
          <t>T-11</t>
        </is>
      </c>
      <c r="B70" s="4" t="inlineStr">
        <is>
          <t>Pipeline uji otomatis (CI) + agen uji</t>
        </is>
      </c>
      <c r="C70" s="4" t="inlineStr">
        <is>
          <t>Simulasi ujung-ke-ujung basis data, sapuan rute 3 aplikasi, gerbang rilis SOP-11</t>
        </is>
      </c>
      <c r="D70" s="4" t="inlineStr">
        <is>
          <t>JD-09 QA Engineer (kedua baris)</t>
        </is>
      </c>
      <c r="E70" s="4" t="inlineStr">
        <is>
          <t>Langganan CI</t>
        </is>
      </c>
      <c r="F70" s="4" t="inlineStr">
        <is>
          <t>[ASUMSI]</t>
        </is>
      </c>
      <c r="G70" s="4" t="inlineStr">
        <is>
          <t>Tetap - luar negeri</t>
        </is>
      </c>
      <c r="H70" s="15" t="n">
        <v>1000000</v>
      </c>
      <c r="I70" s="15" t="n">
        <v>1500000</v>
      </c>
      <c r="J70" s="15" t="n">
        <v>2000000</v>
      </c>
      <c r="K70" s="4" t="inlineStr">
        <is>
          <t>Gerbang rilis tanpa penahan manusia; hak veto pindah ke Engineering Manager - harus tertulis di SOP-11</t>
        </is>
      </c>
      <c r="L70" s="4" t="inlineStr">
        <is>
          <t>[ASUMSI]</t>
        </is>
      </c>
    </row>
    <row r="71">
      <c r="A71" s="14" t="inlineStr">
        <is>
          <t>T-12</t>
        </is>
      </c>
      <c r="B71" s="4" t="inlineStr">
        <is>
          <t>Observability &amp; evaluasi LLM + jejak keputusan</t>
        </is>
      </c>
      <c r="C71" s="4" t="inlineStr">
        <is>
          <t>Perekaman prompt/keluaran, alasan keputusan otomatis, uji regresi mutu jawaban, pagar pengaman</t>
        </is>
      </c>
      <c r="D71" s="4" t="inlineStr">
        <is>
          <t>Kewajiban baru - bukan pengganti peran</t>
        </is>
      </c>
      <c r="E71" s="4" t="inlineStr">
        <is>
          <t>Langganan / swakelola</t>
        </is>
      </c>
      <c r="F71" s="4" t="inlineStr">
        <is>
          <t>[ASUMSI]</t>
        </is>
      </c>
      <c r="G71" s="4" t="inlineStr">
        <is>
          <t>Tetap - campuran</t>
        </is>
      </c>
      <c r="H71" s="15" t="n">
        <v>750000</v>
      </c>
      <c r="I71" s="15" t="n">
        <v>1750000</v>
      </c>
      <c r="J71" s="15" t="n">
        <v>3000000</v>
      </c>
      <c r="K71" s="4" t="inlineStr">
        <is>
          <t>Tanpa ini, hak keberatan UU PDP Pasal 10 tidak dapat dilayani karena alasan keputusan tidak terekam</t>
        </is>
      </c>
      <c r="L71" s="4" t="inlineStr">
        <is>
          <t>[S-37]</t>
        </is>
      </c>
    </row>
    <row r="72">
      <c r="A72" s="14" t="inlineStr">
        <is>
          <t>T-13</t>
        </is>
      </c>
      <c r="B72" s="4" t="inlineStr">
        <is>
          <t>Penyimpanan &amp; pemrosesan data pribadi di wilayah Indonesia</t>
        </is>
      </c>
      <c r="C72" s="4" t="inlineStr">
        <is>
          <t>Residensi data KYC, log tiket, dan data pribadi yang tidak boleh keluar wilayah RI</t>
        </is>
      </c>
      <c r="D72" s="4" t="inlineStr">
        <is>
          <t>Kewajiban baru - bukan pengganti peran</t>
        </is>
      </c>
      <c r="E72" s="4" t="inlineStr">
        <is>
          <t>Infrastruktur bulanan</t>
        </is>
      </c>
      <c r="F72" s="4" t="inlineStr">
        <is>
          <t>[ASUMSI]</t>
        </is>
      </c>
      <c r="G72" s="4" t="inlineStr">
        <is>
          <t>Tetap - lokal</t>
        </is>
      </c>
      <c r="H72" s="15" t="n">
        <v>1000000</v>
      </c>
      <c r="I72" s="15" t="n">
        <v>2500000</v>
      </c>
      <c r="J72" s="15" t="n">
        <v>4000000</v>
      </c>
      <c r="K72" s="4" t="inlineStr">
        <is>
          <t>Kegagalan memisahkan data yang boleh &amp; tidak boleh keluar negeri = risiko sanksi hingga 2% pendapatan tahunan</t>
        </is>
      </c>
      <c r="L72" s="4" t="inlineStr">
        <is>
          <t>[S-37]</t>
        </is>
      </c>
    </row>
    <row r="73">
      <c r="A73" s="12" t="inlineStr">
        <is>
          <t>SUBTOTAL biaya tool per bulan</t>
        </is>
      </c>
      <c r="H73" s="13">
        <f>SUM(H60:H72)</f>
        <v/>
      </c>
      <c r="I73" s="13">
        <f>SUM(I60:I72)</f>
        <v/>
      </c>
      <c r="J73" s="13">
        <f>SUM(J60:J72)</f>
        <v/>
      </c>
    </row>
    <row r="74">
      <c r="A74" t="inlineStr">
        <is>
          <t xml:space="preserve">  dari itu, dibayar ke penyedia LUAR NEGERI (T-01, T-06, T-07, T-09)</t>
        </is>
      </c>
      <c r="H74" s="6">
        <f>H60+H65+H66+H68</f>
        <v/>
      </c>
      <c r="I74" s="6">
        <f>I60+I65+I66+I68</f>
        <v/>
      </c>
      <c r="J74" s="6">
        <f>J60+J65+J66+J68</f>
        <v/>
      </c>
    </row>
    <row r="75">
      <c r="A75" t="inlineStr">
        <is>
          <t xml:space="preserve">  Tambahan PPN PMSE + buffer kurs + cadangan gross-up PPh 26 atas porsi luar negeri</t>
        </is>
      </c>
      <c r="H75" s="6">
        <f>H74*(PPN_PMSE+Buffer_Kurs+GrossUp_PPh26)</f>
        <v/>
      </c>
      <c r="I75" s="6">
        <f>I74*(PPN_PMSE+Buffer_Kurs+GrossUp_PPh26)</f>
        <v/>
      </c>
      <c r="J75" s="6">
        <f>J74*(PPN_PMSE+Buffer_Kurs+GrossUp_PPh26)</f>
        <v/>
      </c>
    </row>
    <row r="76">
      <c r="A76" s="12" t="inlineStr">
        <is>
          <t>TOTAL BIAYA TOOL AI PER BULAN (termasuk pajak &amp; buffer kurs)</t>
        </is>
      </c>
      <c r="H76" s="13">
        <f>H73+H75</f>
        <v/>
      </c>
      <c r="I76" s="13">
        <f>I73+I75</f>
        <v/>
      </c>
      <c r="J76" s="13">
        <f>J73+J75</f>
        <v/>
      </c>
    </row>
    <row r="78">
      <c r="A78" s="3" t="inlineStr">
        <is>
          <t>E. BIAYA TERSEMBUNYI OTOMASI (yang paling sering dilupakan)</t>
        </is>
      </c>
    </row>
    <row r="79">
      <c r="A79" s="5" t="inlineStr">
        <is>
          <t>Kode</t>
        </is>
      </c>
      <c r="B79" s="5" t="inlineStr">
        <is>
          <t>Pos biaya</t>
        </is>
      </c>
      <c r="C79" s="5" t="inlineStr">
        <is>
          <t>Basis perhitungan</t>
        </is>
      </c>
      <c r="D79" s="5" t="inlineStr"/>
      <c r="E79" s="5" t="inlineStr"/>
      <c r="F79" s="5" t="inlineStr"/>
      <c r="G79" s="5" t="inlineStr"/>
      <c r="H79" s="5" t="inlineStr">
        <is>
          <t>Fase 0</t>
        </is>
      </c>
      <c r="I79" s="5" t="inlineStr">
        <is>
          <t>Fase 1</t>
        </is>
      </c>
      <c r="J79" s="5" t="inlineStr">
        <is>
          <t>Fase 2</t>
        </is>
      </c>
      <c r="K79" s="5" t="inlineStr">
        <is>
          <t>Catatan / dasar</t>
        </is>
      </c>
      <c r="L79" s="5" t="inlineStr"/>
    </row>
    <row r="80">
      <c r="A80" s="12" t="inlineStr">
        <is>
          <t>H-1</t>
        </is>
      </c>
      <c r="B80" s="4" t="inlineStr">
        <is>
          <t>Pemeliharaan otomasi - kontraktor 0,5-1,0 FTE</t>
        </is>
      </c>
      <c r="C80" s="4" t="inlineStr">
        <is>
          <t>AI tidak memelihara dirinya: prompt melapuk, API berubah versi, basis pengetahuan basi</t>
        </is>
      </c>
      <c r="H80" s="6" t="n">
        <v>0</v>
      </c>
      <c r="I80" s="6" t="n">
        <v>8000000</v>
      </c>
      <c r="J80" s="6" t="n">
        <v>16000000</v>
      </c>
      <c r="K80" s="4" t="inlineStr">
        <is>
          <t>[ASUMSI] setara 0,5 FTE Backend Mid pada Fase 1 dan 1,0 FTE pada Fase 2</t>
        </is>
      </c>
    </row>
    <row r="81">
      <c r="A81" s="12" t="inlineStr">
        <is>
          <t>H-2</t>
        </is>
      </c>
      <c r="B81" s="4" t="inlineStr">
        <is>
          <t>Biaya kegagalan CS: kompensasi niat baik atas kesalahan agen AI</t>
        </is>
      </c>
      <c r="C81" s="4" t="inlineStr">
        <is>
          <t>2% tiket x Rp50.000 (batas kewenangan CS Agent, SOP-04)</t>
        </is>
      </c>
      <c r="H81" s="6">
        <f>D36*0.02*50000</f>
        <v/>
      </c>
      <c r="I81" s="6">
        <f>E36*0.02*50000</f>
        <v/>
      </c>
      <c r="J81" s="6">
        <f>F36*0.02*50000</f>
        <v/>
      </c>
      <c r="K81" s="4" t="inlineStr">
        <is>
          <t>[ASUMSI] 2%; kewenangan Rp50.000 dari JD-17</t>
        </is>
      </c>
    </row>
    <row r="82">
      <c r="A82" s="12" t="inlineStr">
        <is>
          <t>H-3</t>
        </is>
      </c>
      <c r="B82" s="4" t="inlineStr">
        <is>
          <t>Pengawasan kepatuhan UU PDP oleh DPO atas sistem otomatis</t>
        </is>
      </c>
      <c r="C82" s="4" t="inlineStr">
        <is>
          <t>0,2 FTE Head of Legal &amp; Compliance (Rp17.462.921/bulan)</t>
        </is>
      </c>
      <c r="H82" s="6" t="n">
        <v>0</v>
      </c>
      <c r="I82" s="6">
        <f>0.2*17462921</f>
        <v/>
      </c>
      <c r="J82" s="6">
        <f>0.2*17462921</f>
        <v/>
      </c>
      <c r="K82" s="4" t="inlineStr">
        <is>
          <t>Beban BARU akibat otomasi: DPIA berkala, register pemrosesan, uji transfer data Pasal 56</t>
        </is>
      </c>
    </row>
    <row r="83">
      <c r="A83" s="12" t="inlineStr">
        <is>
          <t>H-4</t>
        </is>
      </c>
      <c r="B83" s="4" t="inlineStr">
        <is>
          <t>Audit &amp; jejak keputusan otomatis</t>
        </is>
      </c>
      <c r="C83" s="4" t="inlineStr">
        <is>
          <t>0,1 FTE Trust &amp; Safety (Rp12.421.915/bulan) meninjau keputusan otomatis yang disanggah</t>
        </is>
      </c>
      <c r="H83" s="6" t="n">
        <v>0</v>
      </c>
      <c r="I83" s="6">
        <f>0.1*12421915</f>
        <v/>
      </c>
      <c r="J83" s="6">
        <f>0.1*12421915</f>
        <v/>
      </c>
      <c r="K83" s="4" t="inlineStr">
        <is>
          <t>Konsekuensi langsung UU PDP Pasal 10 - hak keberatan wajib dapat dilayani manusia</t>
        </is>
      </c>
    </row>
    <row r="84">
      <c r="A84" s="12" t="inlineStr">
        <is>
          <t>H-5</t>
        </is>
      </c>
      <c r="B84" s="4" t="inlineStr">
        <is>
          <t>Cadangan risiko reputasi bila AI salah menangani keluhan</t>
        </is>
      </c>
      <c r="C84" s="4" t="inlineStr">
        <is>
          <t>Perkiraan biaya penanganan krisis Rp150 juta x peluang 15%/tahun / 12</t>
        </is>
      </c>
      <c r="H84" s="6" t="n">
        <v>0</v>
      </c>
      <c r="I84" s="6" t="n">
        <v>1250000</v>
      </c>
      <c r="J84" s="6" t="n">
        <v>1875000</v>
      </c>
      <c r="K84" s="4" t="inlineStr">
        <is>
          <t>[ASUMSI] penyusun. Bukan pengukuran. Turun mendekati nol bila kategori keselamatan selalu dialihkan ke manusia</t>
        </is>
      </c>
    </row>
    <row r="85">
      <c r="A85" s="12" t="inlineStr">
        <is>
          <t>SUBTOTAL biaya tersembunyi BERULANG per bulan</t>
        </is>
      </c>
      <c r="H85" s="13">
        <f>SUM(H80:H84)</f>
        <v/>
      </c>
      <c r="I85" s="13">
        <f>SUM(I80:I84)</f>
        <v/>
      </c>
      <c r="J85" s="13">
        <f>SUM(J80:J84)</f>
        <v/>
      </c>
    </row>
    <row r="87">
      <c r="A87" s="3" t="inlineStr">
        <is>
          <t>F. BIAYA SATU KALI (dibebankan pada lembar 'Perbandingan 24 Bulan', bulan 4-15)</t>
        </is>
      </c>
    </row>
    <row r="88">
      <c r="B88" s="4" t="inlineStr">
        <is>
          <t>Implementasi &amp; integrasi awal (agen CS 320 jam, KYC 160, rekonsiliasi 200, fraud 180, BI 120, konten 80 = 1.060 jam internal + konsultan integrasi)</t>
        </is>
      </c>
      <c r="H88" s="9" t="n">
        <v>250000000</v>
      </c>
      <c r="K88" s="4" t="inlineStr">
        <is>
          <t>[ASUMSI] tarif internal Rp97.504/jam diturunkan dari CTC Backend Mid / 160 jam</t>
        </is>
      </c>
    </row>
    <row r="89">
      <c r="B89" s="4" t="inlineStr">
        <is>
          <t>Penilaian Dampak Pelindungan Data (4 sistem) + perjanjian pemrosesan &amp; kajian kesetaraan negara penerima</t>
        </is>
      </c>
      <c r="H89" s="9" t="n">
        <v>100000000</v>
      </c>
      <c r="K89" s="4" t="inlineStr">
        <is>
          <t>[ASUMSI] kewajiban UU PDP untuk pemrosesan berisiko tinggi &amp; transfer lintas negara [S-37]</t>
        </is>
      </c>
    </row>
    <row r="90">
      <c r="B90" s="12" t="inlineStr">
        <is>
          <t>TOTAL BIAYA SATU KALI</t>
        </is>
      </c>
      <c r="H90" s="13">
        <f>SUM(H88:H89)</f>
        <v/>
      </c>
    </row>
    <row r="92">
      <c r="A92" s="3" t="inlineStr">
        <is>
          <t>G. REKAP BIAYA AI PER BULAN (run-rate akhir fase)</t>
        </is>
      </c>
    </row>
    <row r="93">
      <c r="A93" s="5" t="inlineStr"/>
      <c r="B93" s="5" t="inlineStr"/>
      <c r="C93" s="5" t="inlineStr"/>
      <c r="D93" s="5" t="inlineStr"/>
      <c r="E93" s="5" t="inlineStr"/>
      <c r="F93" s="5" t="inlineStr"/>
      <c r="G93" s="5" t="inlineStr"/>
      <c r="H93" s="5" t="inlineStr">
        <is>
          <t>Fase 0</t>
        </is>
      </c>
      <c r="I93" s="5" t="inlineStr">
        <is>
          <t>Fase 1</t>
        </is>
      </c>
      <c r="J93" s="5" t="inlineStr">
        <is>
          <t>Fase 2</t>
        </is>
      </c>
      <c r="K93" s="5" t="inlineStr"/>
    </row>
    <row r="94">
      <c r="A94" s="16" t="inlineStr">
        <is>
          <t>Komponen VARIABEL (ikut volume order): T-01 + T-02 + T-03</t>
        </is>
      </c>
      <c r="H94" s="6">
        <f>H60+H61+H62</f>
        <v/>
      </c>
      <c r="I94" s="6">
        <f>I60+I61+I62</f>
        <v/>
      </c>
      <c r="J94" s="6">
        <f>J60+J61+J62</f>
        <v/>
      </c>
    </row>
    <row r="95">
      <c r="A95" s="16" t="inlineStr">
        <is>
          <t>Komponen TETAP tool (T-04 s.d. T-13) + pajak &amp; buffer kurs</t>
        </is>
      </c>
      <c r="H95" s="6">
        <f>H76-(H60+H61+H62)</f>
        <v/>
      </c>
      <c r="I95" s="6">
        <f>I76-(I60+I61+I62)</f>
        <v/>
      </c>
      <c r="J95" s="6">
        <f>J76-(J60+J61+J62)</f>
        <v/>
      </c>
    </row>
    <row r="96">
      <c r="A96" s="16" t="inlineStr">
        <is>
          <t>Biaya tersembunyi berulang</t>
        </is>
      </c>
      <c r="H96" s="6">
        <f>H85</f>
        <v/>
      </c>
      <c r="I96" s="6">
        <f>I85</f>
        <v/>
      </c>
      <c r="J96" s="6">
        <f>J85</f>
        <v/>
      </c>
    </row>
    <row r="97">
      <c r="A97" s="12" t="inlineStr">
        <is>
          <t>TOTAL BIAYA AI PER BULAN - SKENARIO B (Hibrida)</t>
        </is>
      </c>
      <c r="H97" s="13">
        <f>H94+H95+H96</f>
        <v/>
      </c>
      <c r="I97" s="13">
        <f>I94+I95+I96</f>
        <v/>
      </c>
      <c r="J97" s="13">
        <f>J94+J95+J96</f>
        <v/>
      </c>
    </row>
    <row r="98">
      <c r="A98" s="12" t="inlineStr">
        <is>
          <t>TOTAL BIAYA AI PER BULAN - SKENARIO C (AI-maksimal)</t>
        </is>
      </c>
      <c r="H98" s="13">
        <f>(H94+H95)*Faktor_Tool_C+H96*Faktor_Sembunyi_C</f>
        <v/>
      </c>
      <c r="I98" s="13">
        <f>(I94+I95)*Faktor_Tool_C+I96*Faktor_Sembunyi_C</f>
        <v/>
      </c>
      <c r="J98" s="13">
        <f>(J94+J95)*Faktor_Tool_C+J96*Faktor_Sembunyi_C</f>
        <v/>
      </c>
    </row>
    <row r="100">
      <c r="A100" s="8" t="inlineStr">
        <is>
          <t>Catatan C-3: agen CS berbayar per resolusi (Intercom Fin USD 0,99 = Rp17.457 [S-65]) menghasilkan biaya per tiket yang SETARA dengan biaya CS Agent manusia pada volume AntarKita (1.584 tiket/bulan dibagi 5 agen = Rp19.593/tiket). Karena itu rekomendasi adalah MEMBANGUN agen CS di atas API LLM (T-01) yang berbiaya sekitar Rp170/tiket, bukan membeli platform per-resolusi. Penghematan CS berasal dari pengurangan CAKUPAN SHIFT, bukan dari biaya per tiket.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52" customWidth="1" min="3" max="3"/>
    <col width="13" customWidth="1" min="4" max="4"/>
    <col width="13" customWidth="1" min="5" max="5"/>
    <col width="12" customWidth="1" min="6" max="6"/>
    <col width="16" customWidth="1" min="7" max="7"/>
    <col width="12" customWidth="1" min="8" max="8"/>
    <col width="20" customWidth="1" min="9" max="9"/>
    <col width="44" customWidth="1" min="10" max="10"/>
    <col width="21" customWidth="1" min="11" max="11"/>
    <col width="52" customWidth="1" min="12" max="12"/>
  </cols>
  <sheetData>
    <row r="1">
      <c r="A1" s="1" t="inlineStr">
        <is>
          <t>AntarKita - Penilaian Otomatisasi 26 Uraian Jabatan (JD-01 s.d. JD-26)</t>
        </is>
      </c>
    </row>
    <row r="2">
      <c r="A2" s="8" t="inlineStr">
        <is>
          <t>Metode: tiap peran dibongkar menjadi tugas, lalu dinilai pada empat sumbu. Skor = 0,35xA + 0,25xB + 0,25x(100-C) + 0,15x(100-D). Kategori otomatis dari skor, KECUALI bila kolom 'Pembatas' memuat syarat hukum atau keselamatan - kolom 'Kategori final' adalah yang mengikat.</t>
        </is>
      </c>
    </row>
    <row r="3">
      <c r="A3" s="2" t="inlineStr">
        <is>
          <t>USULAN ANALIS - keputusan mengurangi atau menghapus posisi ada pada Dewan Komisaris (DESAIN-ORGANISASI 6).</t>
        </is>
      </c>
    </row>
    <row r="5">
      <c r="A5" s="5" t="inlineStr">
        <is>
          <t>Kode</t>
        </is>
      </c>
      <c r="B5" s="5" t="inlineStr">
        <is>
          <t>Jabatan</t>
        </is>
      </c>
      <c r="C5" s="5" t="inlineStr">
        <is>
          <t>Tugas inti (ringkas, dari Bab 3 manual)</t>
        </is>
      </c>
      <c r="D5" s="5" t="inlineStr">
        <is>
          <t>A. Sifat tugas rutin/terstruktur (0-100)</t>
        </is>
      </c>
      <c r="E5" s="5" t="inlineStr">
        <is>
          <t>B. Volume &amp; prediktabilitas (0-100)</t>
        </is>
      </c>
      <c r="F5" s="5" t="inlineStr">
        <is>
          <t>C. Risiko bila salah (0-100)</t>
        </is>
      </c>
      <c r="G5" s="5" t="inlineStr">
        <is>
          <t>D. Syarat hukum/keselamatan yang mengharuskan manusia (0-100)</t>
        </is>
      </c>
      <c r="H5" s="5" t="inlineStr">
        <is>
          <t>Skor otomatisasi (0-100)</t>
        </is>
      </c>
      <c r="I5" s="5" t="inlineStr">
        <is>
          <t>Kategori dari skor</t>
        </is>
      </c>
      <c r="J5" s="5" t="inlineStr">
        <is>
          <t>Pembatas hukum / operasional</t>
        </is>
      </c>
      <c r="K5" s="5" t="inlineStr">
        <is>
          <t>KATEGORI FINAL (mengikat)</t>
        </is>
      </c>
      <c r="L5" s="5" t="inlineStr">
        <is>
          <t>Tindakan yang diusulkan</t>
        </is>
      </c>
    </row>
    <row r="6">
      <c r="A6" s="12" t="inlineStr">
        <is>
          <t>JD-01</t>
        </is>
      </c>
      <c r="B6" t="inlineStr">
        <is>
          <t>Direktur Utama (CEO)</t>
        </is>
      </c>
      <c r="C6" s="4" t="inlineStr">
        <is>
          <t>RKAT, kas &amp; runway, hubungan investor, tanda tangan perjanjian kemitraan &amp; PJP, persetujuan &gt;Rp50 jt ke Komisaris</t>
        </is>
      </c>
      <c r="D6" s="17" t="n">
        <v>15</v>
      </c>
      <c r="E6" s="17" t="n">
        <v>20</v>
      </c>
      <c r="F6" s="17" t="n">
        <v>95</v>
      </c>
      <c r="G6" s="17" t="n">
        <v>95</v>
      </c>
      <c r="H6" s="18">
        <f>0.35*D6+0.25*E6+0.25*(100-F6)+0.15*(100-G6)</f>
        <v/>
      </c>
      <c r="I6">
        <f>IF(G6&gt;=80,"WAJIB MANUSIA",IF(H6&gt;=70,"OTOMATIS PENUH",IF(H6&gt;=50,"AUGMENTASI TINGGI",IF(H6&gt;=35,"AUGMENTASI RENDAH","WAJIB MANUSIA"))))</f>
        <v/>
      </c>
      <c r="J6" s="4" t="inlineStr">
        <is>
          <t>Organ perseroan; menandatangani perjanjian; akuntabilitas hukum tidak dapat didelegasikan ke sistem</t>
        </is>
      </c>
      <c r="K6" s="19" t="inlineStr">
        <is>
          <t>WAJIB MANUSIA</t>
        </is>
      </c>
      <c r="L6" s="4" t="inlineStr">
        <is>
          <t>Tetap 1 orang. AI dipakai untuk penyusunan paket laporan &amp; analisis skenario.</t>
        </is>
      </c>
    </row>
    <row r="7">
      <c r="A7" s="12" t="inlineStr">
        <is>
          <t>JD-02</t>
        </is>
      </c>
      <c r="B7" t="inlineStr">
        <is>
          <t>Direktur Teknologi (CTO)</t>
        </is>
      </c>
      <c r="C7" s="4" t="inlineStr">
        <is>
          <t>Peta jalan, keandalan, pengendali teknis kepatuhan UU PDP, incident commander S1, hak akses &amp; PIN admin</t>
        </is>
      </c>
      <c r="D7" s="17" t="n">
        <v>25</v>
      </c>
      <c r="E7" s="17" t="n">
        <v>30</v>
      </c>
      <c r="F7" s="17" t="n">
        <v>90</v>
      </c>
      <c r="G7" s="17" t="n">
        <v>90</v>
      </c>
      <c r="H7" s="18">
        <f>0.35*D7+0.25*E7+0.25*(100-F7)+0.15*(100-G7)</f>
        <v/>
      </c>
      <c r="I7">
        <f>IF(G7&gt;=80,"WAJIB MANUSIA",IF(H7&gt;=70,"OTOMATIS PENUH",IF(H7&gt;=50,"AUGMENTASI TINGGI",IF(H7&gt;=35,"AUGMENTASI RENDAH","WAJIB MANUSIA"))))</f>
        <v/>
      </c>
      <c r="J7" s="4" t="inlineStr">
        <is>
          <t>Pengendali teknis UU PDP; penetapan keparahan insiden; direksi</t>
        </is>
      </c>
      <c r="K7" s="19" t="inlineStr">
        <is>
          <t>WAJIB MANUSIA</t>
        </is>
      </c>
      <c r="L7" s="4" t="inlineStr">
        <is>
          <t>Tetap 1 orang. Rentang kendali teknis naik karena agen koding; tetap pemilik akuntabilitas.</t>
        </is>
      </c>
    </row>
    <row r="8">
      <c r="A8" s="12" t="inlineStr">
        <is>
          <t>JD-03</t>
        </is>
      </c>
      <c r="B8" t="inlineStr">
        <is>
          <t>Direktur Operasi (COO)</t>
        </is>
      </c>
      <c r="C8" s="4" t="inlineStr">
        <is>
          <t>Target kota, sakelar layanan darurat, pemilik SOP-03/SOP-05, eskalasi tingkat 3, playbook kota</t>
        </is>
      </c>
      <c r="D8" s="17" t="n">
        <v>25</v>
      </c>
      <c r="E8" s="17" t="n">
        <v>35</v>
      </c>
      <c r="F8" s="17" t="n">
        <v>90</v>
      </c>
      <c r="G8" s="17" t="n">
        <v>90</v>
      </c>
      <c r="H8" s="18">
        <f>0.35*D8+0.25*E8+0.25*(100-F8)+0.15*(100-G8)</f>
        <v/>
      </c>
      <c r="I8">
        <f>IF(G8&gt;=80,"WAJIB MANUSIA",IF(H8&gt;=70,"OTOMATIS PENUH",IF(H8&gt;=50,"AUGMENTASI TINGGI",IF(H8&gt;=35,"AUGMENTASI RENDAH","WAJIB MANUSIA"))))</f>
        <v/>
      </c>
      <c r="J8" s="4" t="inlineStr">
        <is>
          <t>Keputusan darurat operasional &amp; keselamatan; direksi</t>
        </is>
      </c>
      <c r="K8" s="19" t="inlineStr">
        <is>
          <t>WAJIB MANUSIA</t>
        </is>
      </c>
      <c r="L8" s="4" t="inlineStr">
        <is>
          <t>Tetap 1 orang. Pada Skenario C merangkap Head of CX - inilah titik pecah pertama.</t>
        </is>
      </c>
    </row>
    <row r="9">
      <c r="A9" s="12" t="inlineStr">
        <is>
          <t>JD-04</t>
        </is>
      </c>
      <c r="B9" t="inlineStr">
        <is>
          <t>Engineering Manager</t>
        </is>
      </c>
      <c r="C9" s="4" t="inlineStr">
        <is>
          <t>Siklus rilis, migrasi bernomor, tinjauan kode, wakil incident commander, pembinaan</t>
        </is>
      </c>
      <c r="D9" s="17" t="n">
        <v>40</v>
      </c>
      <c r="E9" s="17" t="n">
        <v>45</v>
      </c>
      <c r="F9" s="17" t="n">
        <v>70</v>
      </c>
      <c r="G9" s="17" t="n">
        <v>25</v>
      </c>
      <c r="H9" s="18">
        <f>0.35*D9+0.25*E9+0.25*(100-F9)+0.15*(100-G9)</f>
        <v/>
      </c>
      <c r="I9">
        <f>IF(G9&gt;=80,"WAJIB MANUSIA",IF(H9&gt;=70,"OTOMATIS PENUH",IF(H9&gt;=50,"AUGMENTASI TINGGI",IF(H9&gt;=35,"AUGMENTASI RENDAH","WAJIB MANUSIA"))))</f>
        <v/>
      </c>
      <c r="J9" s="4" t="inlineStr">
        <is>
          <t>Pemilik postmortem &amp; gerbang penggabungan kode</t>
        </is>
      </c>
      <c r="K9" s="14" t="inlineStr">
        <is>
          <t>AUGMENTASI RENDAH</t>
        </is>
      </c>
      <c r="L9" s="4" t="inlineStr">
        <is>
          <t>Tetap 1 orang, mengambil alih gerbang rilis dari QA Engineer.</t>
        </is>
      </c>
    </row>
    <row r="10">
      <c r="A10" s="12" t="inlineStr">
        <is>
          <t>JD-05</t>
        </is>
      </c>
      <c r="B10" t="inlineStr">
        <is>
          <t>Mobile Engineer - Senior</t>
        </is>
      </c>
      <c r="C10" s="4" t="inlineStr">
        <is>
          <t>Arsitektur aplikasi, ErrorBoundary, langganan realtime, alur kritikal yang menyentuh uang</t>
        </is>
      </c>
      <c r="D10" s="17" t="n">
        <v>55</v>
      </c>
      <c r="E10" s="17" t="n">
        <v>60</v>
      </c>
      <c r="F10" s="17" t="n">
        <v>55</v>
      </c>
      <c r="G10" s="17" t="n">
        <v>10</v>
      </c>
      <c r="H10" s="18">
        <f>0.35*D10+0.25*E10+0.25*(100-F10)+0.15*(100-G10)</f>
        <v/>
      </c>
      <c r="I10">
        <f>IF(G10&gt;=80,"WAJIB MANUSIA",IF(H10&gt;=70,"OTOMATIS PENUH",IF(H10&gt;=50,"AUGMENTASI TINGGI",IF(H10&gt;=35,"AUGMENTASI RENDAH","WAJIB MANUSIA"))))</f>
        <v/>
      </c>
      <c r="J10" s="4" t="inlineStr">
        <is>
          <t>-</t>
        </is>
      </c>
      <c r="K10" s="14" t="inlineStr">
        <is>
          <t>AUGMENTASI TINGGI</t>
        </is>
      </c>
      <c r="L10" s="4" t="inlineStr">
        <is>
          <t>Tetap 1 orang; menyerap pekerjaan 1 Mobile Mid dengan agen koding.</t>
        </is>
      </c>
    </row>
    <row r="11">
      <c r="A11" s="12" t="inlineStr">
        <is>
          <t>JD-06</t>
        </is>
      </c>
      <c r="B11" t="inlineStr">
        <is>
          <t>Mobile Engineer - Mid</t>
        </is>
      </c>
      <c r="C11" s="4" t="inlineStr">
        <is>
          <t>Membangun layar &amp; alur baru, memperbaiki cacat, skenario sapuan rute, teks antarmuka</t>
        </is>
      </c>
      <c r="D11" s="17" t="n">
        <v>65</v>
      </c>
      <c r="E11" s="17" t="n">
        <v>68</v>
      </c>
      <c r="F11" s="17" t="n">
        <v>45</v>
      </c>
      <c r="G11" s="17" t="n">
        <v>5</v>
      </c>
      <c r="H11" s="18">
        <f>0.35*D11+0.25*E11+0.25*(100-F11)+0.15*(100-G11)</f>
        <v/>
      </c>
      <c r="I11">
        <f>IF(G11&gt;=80,"WAJIB MANUSIA",IF(H11&gt;=70,"OTOMATIS PENUH",IF(H11&gt;=50,"AUGMENTASI TINGGI",IF(H11&gt;=35,"AUGMENTASI RENDAH","WAJIB MANUSIA"))))</f>
        <v/>
      </c>
      <c r="J11" s="4" t="inlineStr">
        <is>
          <t>-</t>
        </is>
      </c>
      <c r="K11" s="14" t="inlineStr">
        <is>
          <t>AUGMENTASI TINGGI</t>
        </is>
      </c>
      <c r="L11" s="4" t="inlineStr">
        <is>
          <t>Kedua baris (dasar + gelombang 2) dihapus pada Skenario B.</t>
        </is>
      </c>
    </row>
    <row r="12">
      <c r="A12" s="12" t="inlineStr">
        <is>
          <t>JD-07</t>
        </is>
      </c>
      <c r="B12" t="inlineStr">
        <is>
          <t>Backend Engineer - Senior</t>
        </is>
      </c>
      <c r="C12" s="4" t="inlineStr">
        <is>
          <t>Skema dompet &amp; pembagian hasil, RLS, idempotensi, aturan anti-fraud, simulasi ujung-ke-ujung</t>
        </is>
      </c>
      <c r="D12" s="17" t="n">
        <v>45</v>
      </c>
      <c r="E12" s="17" t="n">
        <v>50</v>
      </c>
      <c r="F12" s="17" t="n">
        <v>85</v>
      </c>
      <c r="G12" s="17" t="n">
        <v>15</v>
      </c>
      <c r="H12" s="18">
        <f>0.35*D12+0.25*E12+0.25*(100-F12)+0.15*(100-G12)</f>
        <v/>
      </c>
      <c r="I12">
        <f>IF(G12&gt;=80,"WAJIB MANUSIA",IF(H12&gt;=70,"OTOMATIS PENUH",IF(H12&gt;=50,"AUGMENTASI TINGGI",IF(H12&gt;=35,"AUGMENTASI RENDAH","WAJIB MANUSIA"))))</f>
        <v/>
      </c>
      <c r="J12" s="4" t="inlineStr">
        <is>
          <t>Perubahan yang menyentuh uang wajib ditinjau manusia (SOP-11, DESAIN 6)</t>
        </is>
      </c>
      <c r="K12" s="14" t="inlineStr">
        <is>
          <t>AUGMENTASI RENDAH</t>
        </is>
      </c>
      <c r="L12" s="4" t="inlineStr">
        <is>
          <t>Tetap. Gelombang 2 dipertahankan di Skenario B (titik tunggal kegagalan bila dihapus).</t>
        </is>
      </c>
    </row>
    <row r="13">
      <c r="A13" s="12" t="inlineStr">
        <is>
          <t>JD-08</t>
        </is>
      </c>
      <c r="B13" t="inlineStr">
        <is>
          <t>Backend Engineer - Mid</t>
        </is>
      </c>
      <c r="C13" s="4" t="inlineStr">
        <is>
          <t>Fungsi panel admin non-keuangan, tiket, notifikasi, indeks, temuan advisor</t>
        </is>
      </c>
      <c r="D13" s="17" t="n">
        <v>65</v>
      </c>
      <c r="E13" s="17" t="n">
        <v>65</v>
      </c>
      <c r="F13" s="17" t="n">
        <v>55</v>
      </c>
      <c r="G13" s="17" t="n">
        <v>10</v>
      </c>
      <c r="H13" s="18">
        <f>0.35*D13+0.25*E13+0.25*(100-F13)+0.15*(100-G13)</f>
        <v/>
      </c>
      <c r="I13">
        <f>IF(G13&gt;=80,"WAJIB MANUSIA",IF(H13&gt;=70,"OTOMATIS PENUH",IF(H13&gt;=50,"AUGMENTASI TINGGI",IF(H13&gt;=35,"AUGMENTASI RENDAH","WAJIB MANUSIA"))))</f>
        <v/>
      </c>
      <c r="J13" s="4" t="inlineStr">
        <is>
          <t>-</t>
        </is>
      </c>
      <c r="K13" s="14" t="inlineStr">
        <is>
          <t>AUGMENTASI TINGGI</t>
        </is>
      </c>
      <c r="L13" s="4" t="inlineStr">
        <is>
          <t>Baris dasar dipertahankan &amp; dialihfungsikan jadi pemelihara otomasi; gelombang 2 dihapus.</t>
        </is>
      </c>
    </row>
    <row r="14">
      <c r="A14" s="12" t="inlineStr">
        <is>
          <t>JD-09</t>
        </is>
      </c>
      <c r="B14" t="inlineStr">
        <is>
          <t>QA Engineer</t>
        </is>
      </c>
      <c r="C14" s="4" t="inlineStr">
        <is>
          <t>Menjalankan simulasi e2e, sapuan rute otomatis, uji alur uang, daftar periksa rilis, bukti uji</t>
        </is>
      </c>
      <c r="D14" s="17" t="n">
        <v>80</v>
      </c>
      <c r="E14" s="17" t="n">
        <v>85</v>
      </c>
      <c r="F14" s="17" t="n">
        <v>50</v>
      </c>
      <c r="G14" s="17" t="n">
        <v>10</v>
      </c>
      <c r="H14" s="18">
        <f>0.35*D14+0.25*E14+0.25*(100-F14)+0.15*(100-G14)</f>
        <v/>
      </c>
      <c r="I14">
        <f>IF(G14&gt;=80,"WAJIB MANUSIA",IF(H14&gt;=70,"OTOMATIS PENUH",IF(H14&gt;=50,"AUGMENTASI TINGGI",IF(H14&gt;=35,"AUGMENTASI RENDAH","WAJIB MANUSIA"))))</f>
        <v/>
      </c>
      <c r="J14" s="4" t="inlineStr">
        <is>
          <t>Hak menahan rilis (SOP-11) berpindah ke Engineering Manager</t>
        </is>
      </c>
      <c r="K14" s="20" t="inlineStr">
        <is>
          <t>OTOMATIS PENUH</t>
        </is>
      </c>
      <c r="L14" s="4" t="inlineStr">
        <is>
          <t>Kedua baris dihapus; gerbang rilis dijalankan pipeline uji + Engineering Manager.</t>
        </is>
      </c>
    </row>
    <row r="15">
      <c r="A15" s="12" t="inlineStr">
        <is>
          <t>JD-10</t>
        </is>
      </c>
      <c r="B15" t="inlineStr">
        <is>
          <t>Junior Software Engineer</t>
        </is>
      </c>
      <c r="C15" s="4" t="inlineStr">
        <is>
          <t>Perbaikan cacat kecil, pengujian dasar, membantu QA, pembinaan, catatan teknis</t>
        </is>
      </c>
      <c r="D15" s="17" t="n">
        <v>85</v>
      </c>
      <c r="E15" s="17" t="n">
        <v>85</v>
      </c>
      <c r="F15" s="17" t="n">
        <v>35</v>
      </c>
      <c r="G15" s="17" t="n">
        <v>0</v>
      </c>
      <c r="H15" s="18">
        <f>0.35*D15+0.25*E15+0.25*(100-F15)+0.15*(100-G15)</f>
        <v/>
      </c>
      <c r="I15">
        <f>IF(G15&gt;=80,"WAJIB MANUSIA",IF(H15&gt;=70,"OTOMATIS PENUH",IF(H15&gt;=50,"AUGMENTASI TINGGI",IF(H15&gt;=35,"AUGMENTASI RENDAH","WAJIB MANUSIA"))))</f>
        <v/>
      </c>
      <c r="J15" s="4" t="inlineStr">
        <is>
          <t>Nilai kaderisasi lokal (keputusan strategis, bukan teknis)</t>
        </is>
      </c>
      <c r="K15" s="20" t="inlineStr">
        <is>
          <t>OTOMATIS PENUH</t>
        </is>
      </c>
      <c r="L15" s="4" t="inlineStr">
        <is>
          <t>Baris Pekanbaru dihapus; baris Padang dipertahankan sebagai keputusan kaderisasi - MENUNGGU KOMISARIS.</t>
        </is>
      </c>
    </row>
    <row r="16">
      <c r="A16" s="12" t="inlineStr">
        <is>
          <t>JD-11</t>
        </is>
      </c>
      <c r="B16" t="inlineStr">
        <is>
          <t>Product Designer (UI/UX)</t>
        </is>
      </c>
      <c r="C16" s="4" t="inlineStr">
        <is>
          <t>Sistem desain, alur pemesanan, panel admin, teks antarmuka, uji 5 pengguna per kota</t>
        </is>
      </c>
      <c r="D16" s="17" t="n">
        <v>50</v>
      </c>
      <c r="E16" s="17" t="n">
        <v>55</v>
      </c>
      <c r="F16" s="17" t="n">
        <v>45</v>
      </c>
      <c r="G16" s="17" t="n">
        <v>5</v>
      </c>
      <c r="H16" s="18">
        <f>0.35*D16+0.25*E16+0.25*(100-F16)+0.15*(100-G16)</f>
        <v/>
      </c>
      <c r="I16">
        <f>IF(G16&gt;=80,"WAJIB MANUSIA",IF(H16&gt;=70,"OTOMATIS PENUH",IF(H16&gt;=50,"AUGMENTASI TINGGI",IF(H16&gt;=35,"AUGMENTASI RENDAH","WAJIB MANUSIA"))))</f>
        <v/>
      </c>
      <c r="J16" s="4" t="inlineStr">
        <is>
          <t>Uji dengan pengguna nyata tidak dapat disimulasikan</t>
        </is>
      </c>
      <c r="K16" s="14" t="inlineStr">
        <is>
          <t>AUGMENTASI TINGGI</t>
        </is>
      </c>
      <c r="L16" s="4" t="inlineStr">
        <is>
          <t>Baris dasar tetap; gelombang 2 dihapus.</t>
        </is>
      </c>
    </row>
    <row r="17">
      <c r="A17" s="12" t="inlineStr">
        <is>
          <t>JD-12</t>
        </is>
      </c>
      <c r="B17" t="inlineStr">
        <is>
          <t>Data Analyst</t>
        </is>
      </c>
      <c r="C17" s="4" t="inlineStr">
        <is>
          <t>Portal Eksekutif &amp; Laba Rugi, audit KPI bulanan, rasio mitra aktif, data uji tuntas, definisi metrik</t>
        </is>
      </c>
      <c r="D17" s="17" t="n">
        <v>75</v>
      </c>
      <c r="E17" s="17" t="n">
        <v>80</v>
      </c>
      <c r="F17" s="17" t="n">
        <v>45</v>
      </c>
      <c r="G17" s="17" t="n">
        <v>10</v>
      </c>
      <c r="H17" s="18">
        <f>0.35*D17+0.25*E17+0.25*(100-F17)+0.15*(100-G17)</f>
        <v/>
      </c>
      <c r="I17">
        <f>IF(G17&gt;=80,"WAJIB MANUSIA",IF(H17&gt;=70,"OTOMATIS PENUH",IF(H17&gt;=50,"AUGMENTASI TINGGI",IF(H17&gt;=35,"AUGMENTASI RENDAH","WAJIB MANUSIA"))))</f>
        <v/>
      </c>
      <c r="J17" s="4" t="inlineStr">
        <is>
          <t>Definisi resmi metrik butuh pemilik manusia yang dapat dimintai pertanggungjawaban</t>
        </is>
      </c>
      <c r="K17" s="20" t="inlineStr">
        <is>
          <t>OTOMATIS PENUH</t>
        </is>
      </c>
      <c r="L17" s="4" t="inlineStr">
        <is>
          <t>Posisi dihapus; kepemilikan definisi metrik pindah ke Head of Finance, produksi laporan ke BI bahasa alami.</t>
        </is>
      </c>
    </row>
    <row r="18">
      <c r="A18" s="12" t="inlineStr">
        <is>
          <t>JD-13</t>
        </is>
      </c>
      <c r="B18" t="inlineStr">
        <is>
          <t>City Manager</t>
        </is>
      </c>
      <c r="C18" s="4" t="inlineStr">
        <is>
          <t>Target order &amp; mitra aktif kota, rapat harian, mutu pasokan, hubungan pasar &amp; asosiasi, laporan kota</t>
        </is>
      </c>
      <c r="D18" s="17" t="n">
        <v>20</v>
      </c>
      <c r="E18" s="17" t="n">
        <v>30</v>
      </c>
      <c r="F18" s="17" t="n">
        <v>80</v>
      </c>
      <c r="G18" s="17" t="n">
        <v>30</v>
      </c>
      <c r="H18" s="18">
        <f>0.35*D18+0.25*E18+0.25*(100-F18)+0.15*(100-G18)</f>
        <v/>
      </c>
      <c r="I18">
        <f>IF(G18&gt;=80,"WAJIB MANUSIA",IF(H18&gt;=70,"OTOMATIS PENUH",IF(H18&gt;=50,"AUGMENTASI TINGGI",IF(H18&gt;=35,"AUGMENTASI RENDAH","WAJIB MANUSIA"))))</f>
        <v/>
      </c>
      <c r="J18" s="4" t="inlineStr">
        <is>
          <t>Kehadiran fisik, negosiasi komunitas &amp; pemda</t>
        </is>
      </c>
      <c r="K18" s="19" t="inlineStr">
        <is>
          <t>WAJIB MANUSIA</t>
        </is>
      </c>
      <c r="L18" s="4" t="inlineStr">
        <is>
          <t>Tetap 2 orang (Pekanbaru + Padang). Tidak boleh dipangkas.</t>
        </is>
      </c>
    </row>
    <row r="19">
      <c r="A19" s="12" t="inlineStr">
        <is>
          <t>JD-14</t>
        </is>
      </c>
      <c r="B19" t="inlineStr">
        <is>
          <t>Ops Supervisor</t>
        </is>
      </c>
      <c r="C19" s="4" t="inlineStr">
        <is>
          <t>Papan order jam sibuk, pemeriksaan kelayakan lapangan, kopi darat mitra, penghubung insiden lapangan</t>
        </is>
      </c>
      <c r="D19" s="17" t="n">
        <v>40</v>
      </c>
      <c r="E19" s="17" t="n">
        <v>55</v>
      </c>
      <c r="F19" s="17" t="n">
        <v>65</v>
      </c>
      <c r="G19" s="17" t="n">
        <v>25</v>
      </c>
      <c r="H19" s="18">
        <f>0.35*D19+0.25*E19+0.25*(100-F19)+0.15*(100-G19)</f>
        <v/>
      </c>
      <c r="I19">
        <f>IF(G19&gt;=80,"WAJIB MANUSIA",IF(H19&gt;=70,"OTOMATIS PENUH",IF(H19&gt;=50,"AUGMENTASI TINGGI",IF(H19&gt;=35,"AUGMENTASI RENDAH","WAJIB MANUSIA"))))</f>
        <v/>
      </c>
      <c r="J19" s="4" t="inlineStr">
        <is>
          <t>Pemeriksaan fisik kendaraan &amp; penanganan insiden lapangan</t>
        </is>
      </c>
      <c r="K19" s="14" t="inlineStr">
        <is>
          <t>AUGMENTASI RENDAH</t>
        </is>
      </c>
      <c r="L19" s="4" t="inlineStr">
        <is>
          <t>Tetap 2 orang; pemantauan order tersendat diambil alih orkestrator.</t>
        </is>
      </c>
    </row>
    <row r="20">
      <c r="A20" s="12" t="inlineStr">
        <is>
          <t>JD-15</t>
        </is>
      </c>
      <c r="B20" t="inlineStr">
        <is>
          <t>Partner Acquisition Officer</t>
        </is>
      </c>
      <c r="C20" s="4" t="inlineStr">
        <is>
          <t>Rekrutmen mitra lapangan, memandu pendaftaran, pendampingan masa percobaan, reaktivasi, intel harga</t>
        </is>
      </c>
      <c r="D20" s="17" t="n">
        <v>25</v>
      </c>
      <c r="E20" s="17" t="n">
        <v>40</v>
      </c>
      <c r="F20" s="17" t="n">
        <v>55</v>
      </c>
      <c r="G20" s="17" t="n">
        <v>15</v>
      </c>
      <c r="H20" s="18">
        <f>0.35*D20+0.25*E20+0.25*(100-F20)+0.15*(100-G20)</f>
        <v/>
      </c>
      <c r="I20">
        <f>IF(G20&gt;=80,"WAJIB MANUSIA",IF(H20&gt;=70,"OTOMATIS PENUH",IF(H20&gt;=50,"AUGMENTASI TINGGI",IF(H20&gt;=35,"AUGMENTASI RENDAH","WAJIB MANUSIA"))))</f>
        <v/>
      </c>
      <c r="J20" s="4" t="inlineStr">
        <is>
          <t>Rekrutmen tatap muka; R-07 menjadikan pasokan mitra risiko tertinggi</t>
        </is>
      </c>
      <c r="K20" s="14" t="inlineStr">
        <is>
          <t>AUGMENTASI RENDAH</t>
        </is>
      </c>
      <c r="L20" s="4" t="inlineStr">
        <is>
          <t>Tetap 4 orang. Justru posisi terakhir yang boleh dipangkas.</t>
        </is>
      </c>
    </row>
    <row r="21">
      <c r="A21" s="12" t="inlineStr">
        <is>
          <t>JD-16</t>
        </is>
      </c>
      <c r="B21" t="inlineStr">
        <is>
          <t>Head of Customer Experience</t>
        </is>
      </c>
      <c r="C21" s="4" t="inlineStr">
        <is>
          <t>Jenjang tiket 1-3, SLA balas pertama, mutu jawaban 20 tiket/pekan, jadwal shift 2 kota, komunikasi insiden</t>
        </is>
      </c>
      <c r="D21" s="17" t="n">
        <v>45</v>
      </c>
      <c r="E21" s="17" t="n">
        <v>50</v>
      </c>
      <c r="F21" s="17" t="n">
        <v>60</v>
      </c>
      <c r="G21" s="17" t="n">
        <v>25</v>
      </c>
      <c r="H21" s="18">
        <f>0.35*D21+0.25*E21+0.25*(100-F21)+0.15*(100-G21)</f>
        <v/>
      </c>
      <c r="I21">
        <f>IF(G21&gt;=80,"WAJIB MANUSIA",IF(H21&gt;=70,"OTOMATIS PENUH",IF(H21&gt;=50,"AUGMENTASI TINGGI",IF(H21&gt;=35,"AUGMENTASI RENDAH","WAJIB MANUSIA"))))</f>
        <v/>
      </c>
      <c r="J21" s="4" t="inlineStr">
        <is>
          <t>Penanggung jawab komunikasi publik saat insiden</t>
        </is>
      </c>
      <c r="K21" s="14" t="inlineStr">
        <is>
          <t>AUGMENTASI RENDAH</t>
        </is>
      </c>
      <c r="L21" s="4" t="inlineStr">
        <is>
          <t>Tetap 1 orang, berubah menjadi pengawas agen AI + pemilik basis pengetahuan.</t>
        </is>
      </c>
    </row>
    <row r="22">
      <c r="A22" s="12" t="inlineStr">
        <is>
          <t>JD-17</t>
        </is>
      </c>
      <c r="B22" t="inlineStr">
        <is>
          <t>CS Agent</t>
        </is>
      </c>
      <c r="C22" s="4" t="inlineStr">
        <is>
          <t>Tiket tingkat 1 sesuai naskah baku, kompensasi &lt;=Rp50 rb, panggilan, dokumentasi kasus, penanda pola</t>
        </is>
      </c>
      <c r="D22" s="17" t="n">
        <v>85</v>
      </c>
      <c r="E22" s="17" t="n">
        <v>90</v>
      </c>
      <c r="F22" s="17" t="n">
        <v>45</v>
      </c>
      <c r="G22" s="17" t="n">
        <v>20</v>
      </c>
      <c r="H22" s="18">
        <f>0.35*D22+0.25*E22+0.25*(100-F22)+0.15*(100-G22)</f>
        <v/>
      </c>
      <c r="I22">
        <f>IF(G22&gt;=80,"WAJIB MANUSIA",IF(H22&gt;=70,"OTOMATIS PENUH",IF(H22&gt;=50,"AUGMENTASI TINGGI",IF(H22&gt;=35,"AUGMENTASI RENDAH","WAJIB MANUSIA"))))</f>
        <v/>
      </c>
      <c r="J22" s="4" t="inlineStr">
        <is>
          <t>SOP-05: CS Agent adalah penerima pertama peringatan darurat di luar jam Trust &amp; Safety - kanal 24 jam wajib manusia</t>
        </is>
      </c>
      <c r="K22" s="14" t="inlineStr">
        <is>
          <t>AUGMENTASI TINGGI</t>
        </is>
      </c>
      <c r="L22" s="4" t="inlineStr">
        <is>
          <t>Pekanbaru 3 -&gt; 2, Padang 2 -&gt; 1. Tidak boleh nol.</t>
        </is>
      </c>
    </row>
    <row r="23">
      <c r="A23" s="12" t="inlineStr">
        <is>
          <t>JD-18</t>
        </is>
      </c>
      <c r="B23" t="inlineStr">
        <is>
          <t>Trust &amp; Safety Officer</t>
        </is>
      </c>
      <c r="C23" s="4" t="inlineStr">
        <is>
          <t>Tinjauan tanda kecurangan, penanganan SOS, kontak pihak berwenang, tinjauan bulanan, pedoman keselamatan</t>
        </is>
      </c>
      <c r="D23" s="17" t="n">
        <v>45</v>
      </c>
      <c r="E23" s="17" t="n">
        <v>55</v>
      </c>
      <c r="F23" s="17" t="n">
        <v>90</v>
      </c>
      <c r="G23" s="17" t="n">
        <v>70</v>
      </c>
      <c r="H23" s="18">
        <f>0.35*D23+0.25*E23+0.25*(100-F23)+0.15*(100-G23)</f>
        <v/>
      </c>
      <c r="I23">
        <f>IF(G23&gt;=80,"WAJIB MANUSIA",IF(H23&gt;=70,"OTOMATIS PENUH",IF(H23&gt;=50,"AUGMENTASI TINGGI",IF(H23&gt;=35,"AUGMENTASI RENDAH","WAJIB MANUSIA"))))</f>
        <v/>
      </c>
      <c r="J23" s="4" t="inlineStr">
        <is>
          <t>UU PDP Pasal 10: subjek data berhak keberatan atas keputusan yang hanya berdasar pemrosesan otomatis; penangguhan akun berdampak signifikan</t>
        </is>
      </c>
      <c r="K23" s="14" t="inlineStr">
        <is>
          <t>AUGMENTASI RENDAH</t>
        </is>
      </c>
      <c r="L23" s="4" t="inlineStr">
        <is>
          <t>Tetap 1 orang. Triase &amp; pemeringkatan otomatis, keputusan penangguhan tetap manusia.</t>
        </is>
      </c>
    </row>
    <row r="24">
      <c r="A24" s="12" t="inlineStr">
        <is>
          <t>JD-19</t>
        </is>
      </c>
      <c r="B24" t="inlineStr">
        <is>
          <t>Head of Finance</t>
        </is>
      </c>
      <c r="C24" s="4" t="inlineStr">
        <is>
          <t>Persetujuan pencairan, pemisahan tugas, laporan keuangan, pemantauan dana float Rp1 miliar, kepatuhan pengupahan</t>
        </is>
      </c>
      <c r="D24" s="17" t="n">
        <v>25</v>
      </c>
      <c r="E24" s="17" t="n">
        <v>35</v>
      </c>
      <c r="F24" s="17" t="n">
        <v>95</v>
      </c>
      <c r="G24" s="17" t="n">
        <v>90</v>
      </c>
      <c r="H24" s="18">
        <f>0.35*D24+0.25*E24+0.25*(100-F24)+0.15*(100-G24)</f>
        <v/>
      </c>
      <c r="I24">
        <f>IF(G24&gt;=80,"WAJIB MANUSIA",IF(H24&gt;=70,"OTOMATIS PENUH",IF(H24&gt;=50,"AUGMENTASI TINGGI",IF(H24&gt;=35,"AUGMENTASI RENDAH","WAJIB MANUSIA"))))</f>
        <v/>
      </c>
      <c r="J24" s="4" t="inlineStr">
        <is>
          <t>Penanggung jawab laporan keuangan &amp; pajak; penyetuju dalam pemisahan tugas</t>
        </is>
      </c>
      <c r="K24" s="19" t="inlineStr">
        <is>
          <t>WAJIB MANUSIA</t>
        </is>
      </c>
      <c r="L24" s="4" t="inlineStr">
        <is>
          <t>Tetap 1 orang; menyerap kepemilikan definisi metrik dari Data Analyst.</t>
        </is>
      </c>
    </row>
    <row r="25">
      <c r="A25" s="12" t="inlineStr">
        <is>
          <t>JD-20</t>
        </is>
      </c>
      <c r="B25" t="inlineStr">
        <is>
          <t>Finance &amp; Accounting Staff</t>
        </is>
      </c>
      <c r="C25" s="4" t="inlineStr">
        <is>
          <t>Isi ulang saldo manual, eksekusi transfer, pembukuan biaya kota, berkas penggajian, dokumen tutup buku</t>
        </is>
      </c>
      <c r="D25" s="17" t="n">
        <v>75</v>
      </c>
      <c r="E25" s="17" t="n">
        <v>80</v>
      </c>
      <c r="F25" s="17" t="n">
        <v>70</v>
      </c>
      <c r="G25" s="17" t="n">
        <v>40</v>
      </c>
      <c r="H25" s="18">
        <f>0.35*D25+0.25*E25+0.25*(100-F25)+0.15*(100-G25)</f>
        <v/>
      </c>
      <c r="I25">
        <f>IF(G25&gt;=80,"WAJIB MANUSIA",IF(H25&gt;=70,"OTOMATIS PENUH",IF(H25&gt;=50,"AUGMENTASI TINGGI",IF(H25&gt;=35,"AUGMENTASI RENDAH","WAJIB MANUSIA"))))</f>
        <v/>
      </c>
      <c r="J25" s="4" t="inlineStr">
        <is>
          <t>Pelaksana dalam pemisahan tugas (DESAIN 6) - tidak boleh sama dengan penyetuju/perekonsiliasi</t>
        </is>
      </c>
      <c r="K25" s="14" t="inlineStr">
        <is>
          <t>AUGMENTASI TINGGI</t>
        </is>
      </c>
      <c r="L25" s="4" t="inlineStr">
        <is>
          <t>Baris Padang dihapus; satu pelaksana terpusat cukup.</t>
        </is>
      </c>
    </row>
    <row r="26">
      <c r="A26" s="12" t="inlineStr">
        <is>
          <t>JD-21</t>
        </is>
      </c>
      <c r="B26" t="inlineStr">
        <is>
          <t>Treasury / Settlement Officer</t>
        </is>
      </c>
      <c r="C26" s="4" t="inlineStr">
        <is>
          <t>Rekonsiliasi dompet harian, rekonsiliasi PJP, pemantauan dana float, daftar selisih, sampel pencairan otomatis</t>
        </is>
      </c>
      <c r="D26" s="17" t="n">
        <v>80</v>
      </c>
      <c r="E26" s="17" t="n">
        <v>85</v>
      </c>
      <c r="F26" s="17" t="n">
        <v>85</v>
      </c>
      <c r="G26" s="17" t="n">
        <v>50</v>
      </c>
      <c r="H26" s="18">
        <f>0.35*D26+0.25*E26+0.25*(100-F26)+0.15*(100-G26)</f>
        <v/>
      </c>
      <c r="I26">
        <f>IF(G26&gt;=80,"WAJIB MANUSIA",IF(H26&gt;=70,"OTOMATIS PENUH",IF(H26&gt;=50,"AUGMENTASI TINGGI",IF(H26&gt;=35,"AUGMENTASI RENDAH","WAJIB MANUSIA"))))</f>
        <v/>
      </c>
      <c r="J26" s="4" t="inlineStr">
        <is>
          <t>Perekonsiliasi wajib pihak ketiga yang berbeda (DESAIN 6, SOP-07)</t>
        </is>
      </c>
      <c r="K26" s="14" t="inlineStr">
        <is>
          <t>AUGMENTASI TINGGI</t>
        </is>
      </c>
      <c r="L26" s="4" t="inlineStr">
        <is>
          <t>Tetap 1 orang. Rekonsiliasi otomatis penuh; manusia hanya menangani selisih. Dihapus HANYA di Skenario C - melanggar pemisahan tugas.</t>
        </is>
      </c>
    </row>
    <row r="27">
      <c r="A27" s="12" t="inlineStr">
        <is>
          <t>JD-22</t>
        </is>
      </c>
      <c r="B27" t="inlineStr">
        <is>
          <t>Head of Legal &amp; Compliance (DPO)</t>
        </is>
      </c>
      <c r="C27" s="4" t="inlineStr">
        <is>
          <t>Perizinan NIB/TDPSE/kurir, batas potongan, fungsi DPO, ambang dana float, perjanjian kemitraan, laporan kepatuhan</t>
        </is>
      </c>
      <c r="D27" s="17" t="n">
        <v>30</v>
      </c>
      <c r="E27" s="17" t="n">
        <v>30</v>
      </c>
      <c r="F27" s="17" t="n">
        <v>95</v>
      </c>
      <c r="G27" s="17" t="n">
        <v>100</v>
      </c>
      <c r="H27" s="18">
        <f>0.35*D27+0.25*E27+0.25*(100-F27)+0.15*(100-G27)</f>
        <v/>
      </c>
      <c r="I27">
        <f>IF(G27&gt;=80,"WAJIB MANUSIA",IF(H27&gt;=70,"OTOMATIS PENUH",IF(H27&gt;=50,"AUGMENTASI TINGGI",IF(H27&gt;=35,"AUGMENTASI RENDAH","WAJIB MANUSIA"))))</f>
        <v/>
      </c>
      <c r="J27" s="4" t="inlineStr">
        <is>
          <t>UU 27/2022 Pasal 53 mewajibkan penunjukan PEJABAT/PETUGAS - jabatan melekat pada orang, bukan sistem; MK 151/PUU-XXII/2024</t>
        </is>
      </c>
      <c r="K27" s="19" t="inlineStr">
        <is>
          <t>WAJIB MANUSIA</t>
        </is>
      </c>
      <c r="L27" s="4" t="inlineStr">
        <is>
          <t>Tetap 1 orang. Beban naik karena otomasi menambah kewajiban DPIA &amp; transfer data.</t>
        </is>
      </c>
    </row>
    <row r="28">
      <c r="A28" s="12" t="inlineStr">
        <is>
          <t>JD-23</t>
        </is>
      </c>
      <c r="B28" t="inlineStr">
        <is>
          <t>Head of Growth &amp; Partnership</t>
        </is>
      </c>
      <c r="C28" s="4" t="inlineStr">
        <is>
          <t>Pendapatan non-komisi, bauran layanan, kampanye per pengguna aktif, kemitraan pasar &amp; pemkot, retensi</t>
        </is>
      </c>
      <c r="D28" s="17" t="n">
        <v>30</v>
      </c>
      <c r="E28" s="17" t="n">
        <v>35</v>
      </c>
      <c r="F28" s="17" t="n">
        <v>70</v>
      </c>
      <c r="G28" s="17" t="n">
        <v>40</v>
      </c>
      <c r="H28" s="18">
        <f>0.35*D28+0.25*E28+0.25*(100-F28)+0.15*(100-G28)</f>
        <v/>
      </c>
      <c r="I28">
        <f>IF(G28&gt;=80,"WAJIB MANUSIA",IF(H28&gt;=70,"OTOMATIS PENUH",IF(H28&gt;=50,"AUGMENTASI TINGGI",IF(H28&gt;=35,"AUGMENTASI RENDAH","WAJIB MANUSIA"))))</f>
        <v/>
      </c>
      <c r="J28" s="4" t="inlineStr">
        <is>
          <t>Menandatangani kesepakatan komersial; menyetujui materi publik</t>
        </is>
      </c>
      <c r="K28" s="14" t="inlineStr">
        <is>
          <t>AUGMENTASI RENDAH</t>
        </is>
      </c>
      <c r="L28" s="4" t="inlineStr">
        <is>
          <t>Tetap 1 orang; menyerap pagu &amp; eksekusi kampanye dari Digital Marketing Staff.</t>
        </is>
      </c>
    </row>
    <row r="29">
      <c r="A29" s="12" t="inlineStr">
        <is>
          <t>JD-24</t>
        </is>
      </c>
      <c r="B29" t="inlineStr">
        <is>
          <t>Digital Marketing Staff</t>
        </is>
      </c>
      <c r="C29" s="4" t="inlineStr">
        <is>
          <t>Kalender konten &amp; kampanye 2 kota, promo massal tersegmentasi, pengukuran sampai order, media sosial</t>
        </is>
      </c>
      <c r="D29" s="17" t="n">
        <v>80</v>
      </c>
      <c r="E29" s="17" t="n">
        <v>85</v>
      </c>
      <c r="F29" s="17" t="n">
        <v>45</v>
      </c>
      <c r="G29" s="17" t="n">
        <v>15</v>
      </c>
      <c r="H29" s="18">
        <f>0.35*D29+0.25*E29+0.25*(100-F29)+0.15*(100-G29)</f>
        <v/>
      </c>
      <c r="I29">
        <f>IF(G29&gt;=80,"WAJIB MANUSIA",IF(H29&gt;=70,"OTOMATIS PENUH",IF(H29&gt;=50,"AUGMENTASI TINGGI",IF(H29&gt;=35,"AUGMENTASI RENDAH","WAJIB MANUSIA"))))</f>
        <v/>
      </c>
      <c r="J29" s="4" t="inlineStr">
        <is>
          <t>Pagu belanja iklan tetap butuh pemegang kewenangan manusia</t>
        </is>
      </c>
      <c r="K29" s="20" t="inlineStr">
        <is>
          <t>OTOMATIS PENUH</t>
        </is>
      </c>
      <c r="L29" s="4" t="inlineStr">
        <is>
          <t>Posisi dihapus; produksi konten &amp; pengukuran otomatis, pagu dipegang Head of Growth.</t>
        </is>
      </c>
    </row>
    <row r="30">
      <c r="A30" s="12" t="inlineStr">
        <is>
          <t>JD-25</t>
        </is>
      </c>
      <c r="B30" t="inlineStr">
        <is>
          <t>Merchant Acquisition Officer</t>
        </is>
      </c>
      <c r="C30" s="4" t="inlineStr">
        <is>
          <t>Rekrutmen merchant &amp; pedagang pasar, pendampingan dokumen &amp; titik lokasi, pelatihan aplikasi, mutu katalog</t>
        </is>
      </c>
      <c r="D30" s="17" t="n">
        <v>25</v>
      </c>
      <c r="E30" s="17" t="n">
        <v>40</v>
      </c>
      <c r="F30" s="17" t="n">
        <v>55</v>
      </c>
      <c r="G30" s="17" t="n">
        <v>20</v>
      </c>
      <c r="H30" s="18">
        <f>0.35*D30+0.25*E30+0.25*(100-F30)+0.15*(100-G30)</f>
        <v/>
      </c>
      <c r="I30">
        <f>IF(G30&gt;=80,"WAJIB MANUSIA",IF(H30&gt;=70,"OTOMATIS PENUH",IF(H30&gt;=50,"AUGMENTASI TINGGI",IF(H30&gt;=35,"AUGMENTASI RENDAH","WAJIB MANUSIA"))))</f>
        <v/>
      </c>
      <c r="J30" s="4" t="inlineStr">
        <is>
          <t>Negosiasi paket komisi &amp; pelatihan tatap muka pedagang pasar</t>
        </is>
      </c>
      <c r="K30" s="14" t="inlineStr">
        <is>
          <t>AUGMENTASI RENDAH</t>
        </is>
      </c>
      <c r="L30" s="4" t="inlineStr">
        <is>
          <t>Tetap 1 orang; onboarding mandiri + moderasi katalog otomatis mengurangi beban, bukan menghapus peran.</t>
        </is>
      </c>
    </row>
    <row r="31">
      <c r="A31" s="12" t="inlineStr">
        <is>
          <t>JD-26</t>
        </is>
      </c>
      <c r="B31" t="inlineStr">
        <is>
          <t>HR &amp; GA Generalist</t>
        </is>
      </c>
      <c r="C31" s="4" t="inlineStr">
        <is>
          <t>Rekrutmen bertahap, dua struktur payroll, pendaftaran BPJS, THR, kontrak &amp; arsip, kantor 2 kota, pelatihan PDP</t>
        </is>
      </c>
      <c r="D31" s="17" t="n">
        <v>60</v>
      </c>
      <c r="E31" s="17" t="n">
        <v>65</v>
      </c>
      <c r="F31" s="17" t="n">
        <v>70</v>
      </c>
      <c r="G31" s="17" t="n">
        <v>55</v>
      </c>
      <c r="H31" s="18">
        <f>0.35*D31+0.25*E31+0.25*(100-F31)+0.15*(100-G31)</f>
        <v/>
      </c>
      <c r="I31">
        <f>IF(G31&gt;=80,"WAJIB MANUSIA",IF(H31&gt;=70,"OTOMATIS PENUH",IF(H31&gt;=50,"AUGMENTASI TINGGI",IF(H31&gt;=35,"AUGMENTASI RENDAH","WAJIB MANUSIA"))))</f>
        <v/>
      </c>
      <c r="J31" s="4" t="inlineStr">
        <is>
          <t>Penanggung jawab kepatuhan pengupahan &amp; pelaporan jaminan sosial</t>
        </is>
      </c>
      <c r="K31" s="14" t="inlineStr">
        <is>
          <t>AUGMENTASI TINGGI</t>
        </is>
      </c>
      <c r="L31" s="4" t="inlineStr">
        <is>
          <t>Tetap 1 orang (tidak dapat dipangkas lebih jauh); payroll &amp; administrasi diotomasi.</t>
        </is>
      </c>
    </row>
    <row r="32">
      <c r="B32" s="12" t="inlineStr">
        <is>
          <t>Rekap jumlah peran per kategori final</t>
        </is>
      </c>
    </row>
    <row r="33">
      <c r="B33" t="inlineStr">
        <is>
          <t>OTOMATIS PENUH</t>
        </is>
      </c>
      <c r="H33" s="17">
        <f>COUNTIF($K$6:$K$31,B33)</f>
        <v/>
      </c>
    </row>
    <row r="34">
      <c r="B34" t="inlineStr">
        <is>
          <t>AUGMENTASI TINGGI</t>
        </is>
      </c>
      <c r="H34" s="17">
        <f>COUNTIF($K$6:$K$31,B34)</f>
        <v/>
      </c>
    </row>
    <row r="35">
      <c r="B35" t="inlineStr">
        <is>
          <t>AUGMENTASI RENDAH</t>
        </is>
      </c>
      <c r="H35" s="17">
        <f>COUNTIF($K$6:$K$31,B35)</f>
        <v/>
      </c>
    </row>
    <row r="36">
      <c r="B36" t="inlineStr">
        <is>
          <t>WAJIB MANUSIA</t>
        </is>
      </c>
      <c r="H36" s="17">
        <f>COUNTIF($K$6:$K$31,B36)</f>
        <v/>
      </c>
    </row>
    <row r="37">
      <c r="B37" s="12" t="inlineStr">
        <is>
          <t>TOTAL</t>
        </is>
      </c>
      <c r="H37" s="12">
        <f>SUM(H33:H36)</f>
        <v/>
      </c>
    </row>
    <row r="39">
      <c r="A39" s="8" t="inlineStr">
        <is>
          <t>Catatan sumbu D (syarat manusia): 95-100 = kewajiban hukum eksplisit (UU 27/2022 Pasal 53 untuk DPO; organ perseroan; penanggung jawab laporan keuangan &amp; pajak). 60-90 = keputusan yang menimbulkan akibat hukum atau berdampak signifikan pada subjek data (UU 27/2022 Pasal 10 - hak keberatan atas keputusan yang hanya berdasar pemrosesan otomatis), atau keselamatan jiwa (SOP-05). 20-55 = kontrol internal wajib (pemisahan tugas keuangan DESAIN 6 / SOP-07). 0-15 = tidak ada syarat manusia.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22" customWidth="1" min="2" max="2"/>
    <col width="38" customWidth="1" min="3" max="3"/>
    <col width="12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  <col width="17" customWidth="1" min="29" max="29"/>
    <col width="17" customWidth="1" min="30" max="30"/>
  </cols>
  <sheetData>
    <row r="1">
      <c r="A1" s="1" t="inlineStr">
        <is>
          <t>AntarKita - Skenario A (semua manusia) / B (hibrida - rekomendasi) / C (AI-maksimal)</t>
        </is>
      </c>
    </row>
    <row r="2">
      <c r="A2" s="8" t="inlineStr">
        <is>
          <t>Baris posisi, CTC per orang, bulan mulai, dan jumlah orang per fase adalah SALINAN PERSIS dari AntarKita-Model-Biaya-SDM.xlsx lembar 'Biaya Bulanan' baris 26-63. Kolom 'Potong B' dan 'Potong C' adalah INPUT yang boleh diubah pemilik; seluruh angka lain adalah rumus hidup.</t>
        </is>
      </c>
    </row>
    <row r="3">
      <c r="A3" s="21" t="inlineStr">
        <is>
          <t>Uji A vs model lama harus menghasilkan 0 pada baris UJI di bawah.</t>
        </is>
      </c>
    </row>
    <row r="5">
      <c r="A5" s="5" t="inlineStr">
        <is>
          <t>No</t>
        </is>
      </c>
      <c r="B5" s="5" t="inlineStr">
        <is>
          <t>Direktorat</t>
        </is>
      </c>
      <c r="C5" s="5" t="inlineStr">
        <is>
          <t>Posisi</t>
        </is>
      </c>
      <c r="D5" s="5" t="inlineStr">
        <is>
          <t>Level</t>
        </is>
      </c>
      <c r="E5" s="5" t="inlineStr">
        <is>
          <t>Bulan Mulai</t>
        </is>
      </c>
      <c r="F5" s="5" t="inlineStr">
        <is>
          <t>CTC per orang (Rp)</t>
        </is>
      </c>
      <c r="G5" s="5" t="inlineStr">
        <is>
          <t>Bulan aktif per orang (bln 1-24)</t>
        </is>
      </c>
      <c r="H5" s="5" t="inlineStr">
        <is>
          <t>Orang A F0</t>
        </is>
      </c>
      <c r="I5" s="5" t="inlineStr">
        <is>
          <t>Orang A F1</t>
        </is>
      </c>
      <c r="J5" s="5" t="inlineStr">
        <is>
          <t>Orang A F2</t>
        </is>
      </c>
      <c r="K5" s="5" t="inlineStr">
        <is>
          <t>POTONG B</t>
        </is>
      </c>
      <c r="L5" s="5" t="inlineStr">
        <is>
          <t>POTONG C</t>
        </is>
      </c>
      <c r="M5" s="5" t="inlineStr">
        <is>
          <t>Orang B F0</t>
        </is>
      </c>
      <c r="N5" s="5" t="inlineStr">
        <is>
          <t>Orang B F1</t>
        </is>
      </c>
      <c r="O5" s="5" t="inlineStr">
        <is>
          <t>Orang B F2</t>
        </is>
      </c>
      <c r="P5" s="5" t="inlineStr">
        <is>
          <t>Orang C F0</t>
        </is>
      </c>
      <c r="Q5" s="5" t="inlineStr">
        <is>
          <t>Orang C F1</t>
        </is>
      </c>
      <c r="R5" s="5" t="inlineStr">
        <is>
          <t>Orang C F2</t>
        </is>
      </c>
      <c r="S5" s="5" t="inlineStr">
        <is>
          <t>Biaya A F0</t>
        </is>
      </c>
      <c r="T5" s="5" t="inlineStr">
        <is>
          <t>Biaya A F1</t>
        </is>
      </c>
      <c r="U5" s="5" t="inlineStr">
        <is>
          <t>Biaya A F2</t>
        </is>
      </c>
      <c r="V5" s="5" t="inlineStr">
        <is>
          <t>Biaya B F0</t>
        </is>
      </c>
      <c r="W5" s="5" t="inlineStr">
        <is>
          <t>Biaya B F1</t>
        </is>
      </c>
      <c r="X5" s="5" t="inlineStr">
        <is>
          <t>Biaya B F2</t>
        </is>
      </c>
      <c r="Y5" s="5" t="inlineStr">
        <is>
          <t>Biaya C F0</t>
        </is>
      </c>
      <c r="Z5" s="5" t="inlineStr">
        <is>
          <t>Biaya C F1</t>
        </is>
      </c>
      <c r="AA5" s="5" t="inlineStr">
        <is>
          <t>Biaya C F2</t>
        </is>
      </c>
      <c r="AB5" s="5" t="inlineStr">
        <is>
          <t>Kum 24 bln A</t>
        </is>
      </c>
      <c r="AC5" s="5" t="inlineStr">
        <is>
          <t>Kum 24 bln B</t>
        </is>
      </c>
      <c r="AD5" s="5" t="inlineStr">
        <is>
          <t>Kum 24 bln C</t>
        </is>
      </c>
    </row>
    <row r="6">
      <c r="A6" t="n">
        <v>1</v>
      </c>
      <c r="B6" t="inlineStr">
        <is>
          <t>Direksi &amp; Tata Kelola</t>
        </is>
      </c>
      <c r="C6" t="inlineStr">
        <is>
          <t>Direktur Utama (CEO)</t>
        </is>
      </c>
      <c r="D6" t="inlineStr">
        <is>
          <t>C-Level</t>
        </is>
      </c>
      <c r="E6" t="n">
        <v>1</v>
      </c>
      <c r="F6" s="6" t="n">
        <v>44156676</v>
      </c>
      <c r="G6" t="n">
        <v>24</v>
      </c>
      <c r="H6" t="n">
        <v>1</v>
      </c>
      <c r="I6" t="n">
        <v>1</v>
      </c>
      <c r="J6" t="n">
        <v>1</v>
      </c>
      <c r="K6" s="22" t="n">
        <v>0</v>
      </c>
      <c r="L6" s="22" t="n">
        <v>0</v>
      </c>
      <c r="M6">
        <f>MAX(0,H6-$K6)</f>
        <v/>
      </c>
      <c r="N6">
        <f>MAX(0,I6-$K6)</f>
        <v/>
      </c>
      <c r="O6">
        <f>MAX(0,J6-$K6)</f>
        <v/>
      </c>
      <c r="P6">
        <f>MAX(0,H6-$L6)</f>
        <v/>
      </c>
      <c r="Q6">
        <f>MAX(0,I6-$L6)</f>
        <v/>
      </c>
      <c r="R6">
        <f>MAX(0,J6-$L6)</f>
        <v/>
      </c>
      <c r="S6" s="6">
        <f>$F6*H6</f>
        <v/>
      </c>
      <c r="T6" s="6">
        <f>$F6*I6</f>
        <v/>
      </c>
      <c r="U6" s="6">
        <f>$F6*J6</f>
        <v/>
      </c>
      <c r="V6" s="6">
        <f>$F6*M6</f>
        <v/>
      </c>
      <c r="W6" s="6">
        <f>$F6*N6</f>
        <v/>
      </c>
      <c r="X6" s="6">
        <f>$F6*O6</f>
        <v/>
      </c>
      <c r="Y6" s="6">
        <f>$F6*P6</f>
        <v/>
      </c>
      <c r="Z6" s="6">
        <f>$F6*Q6</f>
        <v/>
      </c>
      <c r="AA6" s="6">
        <f>$F6*R6</f>
        <v/>
      </c>
      <c r="AB6" s="6">
        <f>$F6*$G6*$J6</f>
        <v/>
      </c>
      <c r="AC6" s="6">
        <f>$F6*$G6*MAX(0,$J6-$K6)</f>
        <v/>
      </c>
      <c r="AD6" s="6">
        <f>$F6*$G6*MAX(0,$J6-$L6)</f>
        <v/>
      </c>
    </row>
    <row r="7">
      <c r="A7" t="n">
        <v>2</v>
      </c>
      <c r="B7" t="inlineStr">
        <is>
          <t>Direksi &amp; Tata Kelola</t>
        </is>
      </c>
      <c r="C7" t="inlineStr">
        <is>
          <t>HR &amp; GA Generalist</t>
        </is>
      </c>
      <c r="D7" t="inlineStr">
        <is>
          <t>Staf Senior</t>
        </is>
      </c>
      <c r="E7" t="n">
        <v>3</v>
      </c>
      <c r="F7" s="6" t="n">
        <v>11114345</v>
      </c>
      <c r="G7" t="n">
        <v>22</v>
      </c>
      <c r="H7" t="n">
        <v>1</v>
      </c>
      <c r="I7" t="n">
        <v>1</v>
      </c>
      <c r="J7" t="n">
        <v>1</v>
      </c>
      <c r="K7" s="22" t="n">
        <v>0</v>
      </c>
      <c r="L7" s="22" t="n">
        <v>0</v>
      </c>
      <c r="M7">
        <f>MAX(0,H7-$K7)</f>
        <v/>
      </c>
      <c r="N7">
        <f>MAX(0,I7-$K7)</f>
        <v/>
      </c>
      <c r="O7">
        <f>MAX(0,J7-$K7)</f>
        <v/>
      </c>
      <c r="P7">
        <f>MAX(0,H7-$L7)</f>
        <v/>
      </c>
      <c r="Q7">
        <f>MAX(0,I7-$L7)</f>
        <v/>
      </c>
      <c r="R7">
        <f>MAX(0,J7-$L7)</f>
        <v/>
      </c>
      <c r="S7" s="6">
        <f>$F7*H7</f>
        <v/>
      </c>
      <c r="T7" s="6">
        <f>$F7*I7</f>
        <v/>
      </c>
      <c r="U7" s="6">
        <f>$F7*J7</f>
        <v/>
      </c>
      <c r="V7" s="6">
        <f>$F7*M7</f>
        <v/>
      </c>
      <c r="W7" s="6">
        <f>$F7*N7</f>
        <v/>
      </c>
      <c r="X7" s="6">
        <f>$F7*O7</f>
        <v/>
      </c>
      <c r="Y7" s="6">
        <f>$F7*P7</f>
        <v/>
      </c>
      <c r="Z7" s="6">
        <f>$F7*Q7</f>
        <v/>
      </c>
      <c r="AA7" s="6">
        <f>$F7*R7</f>
        <v/>
      </c>
      <c r="AB7" s="6">
        <f>$F7*$G7*$J7</f>
        <v/>
      </c>
      <c r="AC7" s="6">
        <f>$F7*$G7*MAX(0,$J7-$K7)</f>
        <v/>
      </c>
      <c r="AD7" s="6">
        <f>$F7*$G7*MAX(0,$J7-$L7)</f>
        <v/>
      </c>
    </row>
    <row r="8">
      <c r="A8" t="n">
        <v>3</v>
      </c>
      <c r="B8" t="inlineStr">
        <is>
          <t>Teknologi</t>
        </is>
      </c>
      <c r="C8" t="inlineStr">
        <is>
          <t>Direktur Teknologi (CTO)</t>
        </is>
      </c>
      <c r="D8" t="inlineStr">
        <is>
          <t>C-Level</t>
        </is>
      </c>
      <c r="E8" t="n">
        <v>1</v>
      </c>
      <c r="F8" s="6" t="n">
        <v>37948826</v>
      </c>
      <c r="G8" t="n">
        <v>24</v>
      </c>
      <c r="H8" t="n">
        <v>1</v>
      </c>
      <c r="I8" t="n">
        <v>1</v>
      </c>
      <c r="J8" t="n">
        <v>1</v>
      </c>
      <c r="K8" s="22" t="n">
        <v>0</v>
      </c>
      <c r="L8" s="22" t="n">
        <v>0</v>
      </c>
      <c r="M8">
        <f>MAX(0,H8-$K8)</f>
        <v/>
      </c>
      <c r="N8">
        <f>MAX(0,I8-$K8)</f>
        <v/>
      </c>
      <c r="O8">
        <f>MAX(0,J8-$K8)</f>
        <v/>
      </c>
      <c r="P8">
        <f>MAX(0,H8-$L8)</f>
        <v/>
      </c>
      <c r="Q8">
        <f>MAX(0,I8-$L8)</f>
        <v/>
      </c>
      <c r="R8">
        <f>MAX(0,J8-$L8)</f>
        <v/>
      </c>
      <c r="S8" s="6">
        <f>$F8*H8</f>
        <v/>
      </c>
      <c r="T8" s="6">
        <f>$F8*I8</f>
        <v/>
      </c>
      <c r="U8" s="6">
        <f>$F8*J8</f>
        <v/>
      </c>
      <c r="V8" s="6">
        <f>$F8*M8</f>
        <v/>
      </c>
      <c r="W8" s="6">
        <f>$F8*N8</f>
        <v/>
      </c>
      <c r="X8" s="6">
        <f>$F8*O8</f>
        <v/>
      </c>
      <c r="Y8" s="6">
        <f>$F8*P8</f>
        <v/>
      </c>
      <c r="Z8" s="6">
        <f>$F8*Q8</f>
        <v/>
      </c>
      <c r="AA8" s="6">
        <f>$F8*R8</f>
        <v/>
      </c>
      <c r="AB8" s="6">
        <f>$F8*$G8*$J8</f>
        <v/>
      </c>
      <c r="AC8" s="6">
        <f>$F8*$G8*MAX(0,$J8-$K8)</f>
        <v/>
      </c>
      <c r="AD8" s="6">
        <f>$F8*$G8*MAX(0,$J8-$L8)</f>
        <v/>
      </c>
    </row>
    <row r="9">
      <c r="A9" t="n">
        <v>4</v>
      </c>
      <c r="B9" t="inlineStr">
        <is>
          <t>Teknologi</t>
        </is>
      </c>
      <c r="C9" t="inlineStr">
        <is>
          <t>Engineering Manager</t>
        </is>
      </c>
      <c r="D9" t="inlineStr">
        <is>
          <t>Manajer</t>
        </is>
      </c>
      <c r="E9" t="n">
        <v>4</v>
      </c>
      <c r="F9" s="6" t="n">
        <v>34844901</v>
      </c>
      <c r="G9" t="n">
        <v>21</v>
      </c>
      <c r="H9" t="n">
        <v>0</v>
      </c>
      <c r="I9" t="n">
        <v>1</v>
      </c>
      <c r="J9" t="n">
        <v>1</v>
      </c>
      <c r="K9" s="22" t="n">
        <v>0</v>
      </c>
      <c r="L9" s="22" t="n">
        <v>0</v>
      </c>
      <c r="M9">
        <f>MAX(0,H9-$K9)</f>
        <v/>
      </c>
      <c r="N9">
        <f>MAX(0,I9-$K9)</f>
        <v/>
      </c>
      <c r="O9">
        <f>MAX(0,J9-$K9)</f>
        <v/>
      </c>
      <c r="P9">
        <f>MAX(0,H9-$L9)</f>
        <v/>
      </c>
      <c r="Q9">
        <f>MAX(0,I9-$L9)</f>
        <v/>
      </c>
      <c r="R9">
        <f>MAX(0,J9-$L9)</f>
        <v/>
      </c>
      <c r="S9" s="6">
        <f>$F9*H9</f>
        <v/>
      </c>
      <c r="T9" s="6">
        <f>$F9*I9</f>
        <v/>
      </c>
      <c r="U9" s="6">
        <f>$F9*J9</f>
        <v/>
      </c>
      <c r="V9" s="6">
        <f>$F9*M9</f>
        <v/>
      </c>
      <c r="W9" s="6">
        <f>$F9*N9</f>
        <v/>
      </c>
      <c r="X9" s="6">
        <f>$F9*O9</f>
        <v/>
      </c>
      <c r="Y9" s="6">
        <f>$F9*P9</f>
        <v/>
      </c>
      <c r="Z9" s="6">
        <f>$F9*Q9</f>
        <v/>
      </c>
      <c r="AA9" s="6">
        <f>$F9*R9</f>
        <v/>
      </c>
      <c r="AB9" s="6">
        <f>$F9*$G9*$J9</f>
        <v/>
      </c>
      <c r="AC9" s="6">
        <f>$F9*$G9*MAX(0,$J9-$K9)</f>
        <v/>
      </c>
      <c r="AD9" s="6">
        <f>$F9*$G9*MAX(0,$J9-$L9)</f>
        <v/>
      </c>
    </row>
    <row r="10">
      <c r="A10" t="n">
        <v>5</v>
      </c>
      <c r="B10" t="inlineStr">
        <is>
          <t>Teknologi</t>
        </is>
      </c>
      <c r="C10" t="inlineStr">
        <is>
          <t>Mobile Engineer (Senior)</t>
        </is>
      </c>
      <c r="D10" t="inlineStr">
        <is>
          <t>Senior</t>
        </is>
      </c>
      <c r="E10" t="n">
        <v>1</v>
      </c>
      <c r="F10" s="6" t="n">
        <v>25533126</v>
      </c>
      <c r="G10" t="n">
        <v>24</v>
      </c>
      <c r="H10" t="n">
        <v>1</v>
      </c>
      <c r="I10" t="n">
        <v>1</v>
      </c>
      <c r="J10" t="n">
        <v>1</v>
      </c>
      <c r="K10" s="22" t="n">
        <v>0</v>
      </c>
      <c r="L10" s="22" t="n">
        <v>0</v>
      </c>
      <c r="M10">
        <f>MAX(0,H10-$K10)</f>
        <v/>
      </c>
      <c r="N10">
        <f>MAX(0,I10-$K10)</f>
        <v/>
      </c>
      <c r="O10">
        <f>MAX(0,J10-$K10)</f>
        <v/>
      </c>
      <c r="P10">
        <f>MAX(0,H10-$L10)</f>
        <v/>
      </c>
      <c r="Q10">
        <f>MAX(0,I10-$L10)</f>
        <v/>
      </c>
      <c r="R10">
        <f>MAX(0,J10-$L10)</f>
        <v/>
      </c>
      <c r="S10" s="6">
        <f>$F10*H10</f>
        <v/>
      </c>
      <c r="T10" s="6">
        <f>$F10*I10</f>
        <v/>
      </c>
      <c r="U10" s="6">
        <f>$F10*J10</f>
        <v/>
      </c>
      <c r="V10" s="6">
        <f>$F10*M10</f>
        <v/>
      </c>
      <c r="W10" s="6">
        <f>$F10*N10</f>
        <v/>
      </c>
      <c r="X10" s="6">
        <f>$F10*O10</f>
        <v/>
      </c>
      <c r="Y10" s="6">
        <f>$F10*P10</f>
        <v/>
      </c>
      <c r="Z10" s="6">
        <f>$F10*Q10</f>
        <v/>
      </c>
      <c r="AA10" s="6">
        <f>$F10*R10</f>
        <v/>
      </c>
      <c r="AB10" s="6">
        <f>$F10*$G10*$J10</f>
        <v/>
      </c>
      <c r="AC10" s="6">
        <f>$F10*$G10*MAX(0,$J10-$K10)</f>
        <v/>
      </c>
      <c r="AD10" s="6">
        <f>$F10*$G10*MAX(0,$J10-$L10)</f>
        <v/>
      </c>
    </row>
    <row r="11">
      <c r="A11" t="n">
        <v>6</v>
      </c>
      <c r="B11" t="inlineStr">
        <is>
          <t>Teknologi</t>
        </is>
      </c>
      <c r="C11" t="inlineStr">
        <is>
          <t>Mobile Engineer (Mid)</t>
        </is>
      </c>
      <c r="D11" t="inlineStr">
        <is>
          <t>Mid</t>
        </is>
      </c>
      <c r="E11" t="n">
        <v>5</v>
      </c>
      <c r="F11" s="6" t="n">
        <v>15600566</v>
      </c>
      <c r="G11" t="n">
        <v>20</v>
      </c>
      <c r="H11" t="n">
        <v>0</v>
      </c>
      <c r="I11" t="n">
        <v>1</v>
      </c>
      <c r="J11" t="n">
        <v>1</v>
      </c>
      <c r="K11" s="22" t="n">
        <v>1</v>
      </c>
      <c r="L11" s="22" t="n">
        <v>1</v>
      </c>
      <c r="M11">
        <f>MAX(0,H11-$K11)</f>
        <v/>
      </c>
      <c r="N11">
        <f>MAX(0,I11-$K11)</f>
        <v/>
      </c>
      <c r="O11">
        <f>MAX(0,J11-$K11)</f>
        <v/>
      </c>
      <c r="P11">
        <f>MAX(0,H11-$L11)</f>
        <v/>
      </c>
      <c r="Q11">
        <f>MAX(0,I11-$L11)</f>
        <v/>
      </c>
      <c r="R11">
        <f>MAX(0,J11-$L11)</f>
        <v/>
      </c>
      <c r="S11" s="6">
        <f>$F11*H11</f>
        <v/>
      </c>
      <c r="T11" s="6">
        <f>$F11*I11</f>
        <v/>
      </c>
      <c r="U11" s="6">
        <f>$F11*J11</f>
        <v/>
      </c>
      <c r="V11" s="6">
        <f>$F11*M11</f>
        <v/>
      </c>
      <c r="W11" s="6">
        <f>$F11*N11</f>
        <v/>
      </c>
      <c r="X11" s="6">
        <f>$F11*O11</f>
        <v/>
      </c>
      <c r="Y11" s="6">
        <f>$F11*P11</f>
        <v/>
      </c>
      <c r="Z11" s="6">
        <f>$F11*Q11</f>
        <v/>
      </c>
      <c r="AA11" s="6">
        <f>$F11*R11</f>
        <v/>
      </c>
      <c r="AB11" s="6">
        <f>$F11*$G11*$J11</f>
        <v/>
      </c>
      <c r="AC11" s="6">
        <f>$F11*$G11*MAX(0,$J11-$K11)</f>
        <v/>
      </c>
      <c r="AD11" s="6">
        <f>$F11*$G11*MAX(0,$J11-$L11)</f>
        <v/>
      </c>
    </row>
    <row r="12">
      <c r="A12" t="n">
        <v>7</v>
      </c>
      <c r="B12" t="inlineStr">
        <is>
          <t>Teknologi</t>
        </is>
      </c>
      <c r="C12" t="inlineStr">
        <is>
          <t>Mobile Engineer (Mid) - gelombang 2</t>
        </is>
      </c>
      <c r="D12" t="inlineStr">
        <is>
          <t>Mid</t>
        </is>
      </c>
      <c r="E12" t="n">
        <v>14</v>
      </c>
      <c r="F12" s="6" t="n">
        <v>15600566</v>
      </c>
      <c r="G12" t="n">
        <v>11</v>
      </c>
      <c r="H12" t="n">
        <v>0</v>
      </c>
      <c r="I12" t="n">
        <v>0</v>
      </c>
      <c r="J12" t="n">
        <v>1</v>
      </c>
      <c r="K12" s="22" t="n">
        <v>1</v>
      </c>
      <c r="L12" s="22" t="n">
        <v>1</v>
      </c>
      <c r="M12">
        <f>MAX(0,H12-$K12)</f>
        <v/>
      </c>
      <c r="N12">
        <f>MAX(0,I12-$K12)</f>
        <v/>
      </c>
      <c r="O12">
        <f>MAX(0,J12-$K12)</f>
        <v/>
      </c>
      <c r="P12">
        <f>MAX(0,H12-$L12)</f>
        <v/>
      </c>
      <c r="Q12">
        <f>MAX(0,I12-$L12)</f>
        <v/>
      </c>
      <c r="R12">
        <f>MAX(0,J12-$L12)</f>
        <v/>
      </c>
      <c r="S12" s="6">
        <f>$F12*H12</f>
        <v/>
      </c>
      <c r="T12" s="6">
        <f>$F12*I12</f>
        <v/>
      </c>
      <c r="U12" s="6">
        <f>$F12*J12</f>
        <v/>
      </c>
      <c r="V12" s="6">
        <f>$F12*M12</f>
        <v/>
      </c>
      <c r="W12" s="6">
        <f>$F12*N12</f>
        <v/>
      </c>
      <c r="X12" s="6">
        <f>$F12*O12</f>
        <v/>
      </c>
      <c r="Y12" s="6">
        <f>$F12*P12</f>
        <v/>
      </c>
      <c r="Z12" s="6">
        <f>$F12*Q12</f>
        <v/>
      </c>
      <c r="AA12" s="6">
        <f>$F12*R12</f>
        <v/>
      </c>
      <c r="AB12" s="6">
        <f>$F12*$G12*$J12</f>
        <v/>
      </c>
      <c r="AC12" s="6">
        <f>$F12*$G12*MAX(0,$J12-$K12)</f>
        <v/>
      </c>
      <c r="AD12" s="6">
        <f>$F12*$G12*MAX(0,$J12-$L12)</f>
        <v/>
      </c>
    </row>
    <row r="13">
      <c r="A13" t="n">
        <v>8</v>
      </c>
      <c r="B13" t="inlineStr">
        <is>
          <t>Teknologi</t>
        </is>
      </c>
      <c r="C13" t="inlineStr">
        <is>
          <t>Backend Engineer (Senior)</t>
        </is>
      </c>
      <c r="D13" t="inlineStr">
        <is>
          <t>Senior</t>
        </is>
      </c>
      <c r="E13" t="n">
        <v>1</v>
      </c>
      <c r="F13" s="6" t="n">
        <v>25533126</v>
      </c>
      <c r="G13" t="n">
        <v>24</v>
      </c>
      <c r="H13" t="n">
        <v>1</v>
      </c>
      <c r="I13" t="n">
        <v>1</v>
      </c>
      <c r="J13" t="n">
        <v>1</v>
      </c>
      <c r="K13" s="22" t="n">
        <v>0</v>
      </c>
      <c r="L13" s="22" t="n">
        <v>0</v>
      </c>
      <c r="M13">
        <f>MAX(0,H13-$K13)</f>
        <v/>
      </c>
      <c r="N13">
        <f>MAX(0,I13-$K13)</f>
        <v/>
      </c>
      <c r="O13">
        <f>MAX(0,J13-$K13)</f>
        <v/>
      </c>
      <c r="P13">
        <f>MAX(0,H13-$L13)</f>
        <v/>
      </c>
      <c r="Q13">
        <f>MAX(0,I13-$L13)</f>
        <v/>
      </c>
      <c r="R13">
        <f>MAX(0,J13-$L13)</f>
        <v/>
      </c>
      <c r="S13" s="6">
        <f>$F13*H13</f>
        <v/>
      </c>
      <c r="T13" s="6">
        <f>$F13*I13</f>
        <v/>
      </c>
      <c r="U13" s="6">
        <f>$F13*J13</f>
        <v/>
      </c>
      <c r="V13" s="6">
        <f>$F13*M13</f>
        <v/>
      </c>
      <c r="W13" s="6">
        <f>$F13*N13</f>
        <v/>
      </c>
      <c r="X13" s="6">
        <f>$F13*O13</f>
        <v/>
      </c>
      <c r="Y13" s="6">
        <f>$F13*P13</f>
        <v/>
      </c>
      <c r="Z13" s="6">
        <f>$F13*Q13</f>
        <v/>
      </c>
      <c r="AA13" s="6">
        <f>$F13*R13</f>
        <v/>
      </c>
      <c r="AB13" s="6">
        <f>$F13*$G13*$J13</f>
        <v/>
      </c>
      <c r="AC13" s="6">
        <f>$F13*$G13*MAX(0,$J13-$K13)</f>
        <v/>
      </c>
      <c r="AD13" s="6">
        <f>$F13*$G13*MAX(0,$J13-$L13)</f>
        <v/>
      </c>
    </row>
    <row r="14">
      <c r="A14" t="n">
        <v>9</v>
      </c>
      <c r="B14" t="inlineStr">
        <is>
          <t>Teknologi</t>
        </is>
      </c>
      <c r="C14" t="inlineStr">
        <is>
          <t>Backend Engineer (Senior) - gelombang 2</t>
        </is>
      </c>
      <c r="D14" t="inlineStr">
        <is>
          <t>Senior</t>
        </is>
      </c>
      <c r="E14" t="n">
        <v>19</v>
      </c>
      <c r="F14" s="6" t="n">
        <v>25533126</v>
      </c>
      <c r="G14" t="n">
        <v>6</v>
      </c>
      <c r="H14" t="n">
        <v>0</v>
      </c>
      <c r="I14" t="n">
        <v>0</v>
      </c>
      <c r="J14" t="n">
        <v>1</v>
      </c>
      <c r="K14" s="22" t="n">
        <v>0</v>
      </c>
      <c r="L14" s="22" t="n">
        <v>1</v>
      </c>
      <c r="M14">
        <f>MAX(0,H14-$K14)</f>
        <v/>
      </c>
      <c r="N14">
        <f>MAX(0,I14-$K14)</f>
        <v/>
      </c>
      <c r="O14">
        <f>MAX(0,J14-$K14)</f>
        <v/>
      </c>
      <c r="P14">
        <f>MAX(0,H14-$L14)</f>
        <v/>
      </c>
      <c r="Q14">
        <f>MAX(0,I14-$L14)</f>
        <v/>
      </c>
      <c r="R14">
        <f>MAX(0,J14-$L14)</f>
        <v/>
      </c>
      <c r="S14" s="6">
        <f>$F14*H14</f>
        <v/>
      </c>
      <c r="T14" s="6">
        <f>$F14*I14</f>
        <v/>
      </c>
      <c r="U14" s="6">
        <f>$F14*J14</f>
        <v/>
      </c>
      <c r="V14" s="6">
        <f>$F14*M14</f>
        <v/>
      </c>
      <c r="W14" s="6">
        <f>$F14*N14</f>
        <v/>
      </c>
      <c r="X14" s="6">
        <f>$F14*O14</f>
        <v/>
      </c>
      <c r="Y14" s="6">
        <f>$F14*P14</f>
        <v/>
      </c>
      <c r="Z14" s="6">
        <f>$F14*Q14</f>
        <v/>
      </c>
      <c r="AA14" s="6">
        <f>$F14*R14</f>
        <v/>
      </c>
      <c r="AB14" s="6">
        <f>$F14*$G14*$J14</f>
        <v/>
      </c>
      <c r="AC14" s="6">
        <f>$F14*$G14*MAX(0,$J14-$K14)</f>
        <v/>
      </c>
      <c r="AD14" s="6">
        <f>$F14*$G14*MAX(0,$J14-$L14)</f>
        <v/>
      </c>
    </row>
    <row r="15">
      <c r="A15" t="n">
        <v>10</v>
      </c>
      <c r="B15" t="inlineStr">
        <is>
          <t>Teknologi</t>
        </is>
      </c>
      <c r="C15" t="inlineStr">
        <is>
          <t>Backend Engineer (Mid)</t>
        </is>
      </c>
      <c r="D15" t="inlineStr">
        <is>
          <t>Mid</t>
        </is>
      </c>
      <c r="E15" t="n">
        <v>4</v>
      </c>
      <c r="F15" s="6" t="n">
        <v>15600566</v>
      </c>
      <c r="G15" t="n">
        <v>21</v>
      </c>
      <c r="H15" t="n">
        <v>0</v>
      </c>
      <c r="I15" t="n">
        <v>1</v>
      </c>
      <c r="J15" t="n">
        <v>1</v>
      </c>
      <c r="K15" s="22" t="n">
        <v>0</v>
      </c>
      <c r="L15" s="22" t="n">
        <v>1</v>
      </c>
      <c r="M15">
        <f>MAX(0,H15-$K15)</f>
        <v/>
      </c>
      <c r="N15">
        <f>MAX(0,I15-$K15)</f>
        <v/>
      </c>
      <c r="O15">
        <f>MAX(0,J15-$K15)</f>
        <v/>
      </c>
      <c r="P15">
        <f>MAX(0,H15-$L15)</f>
        <v/>
      </c>
      <c r="Q15">
        <f>MAX(0,I15-$L15)</f>
        <v/>
      </c>
      <c r="R15">
        <f>MAX(0,J15-$L15)</f>
        <v/>
      </c>
      <c r="S15" s="6">
        <f>$F15*H15</f>
        <v/>
      </c>
      <c r="T15" s="6">
        <f>$F15*I15</f>
        <v/>
      </c>
      <c r="U15" s="6">
        <f>$F15*J15</f>
        <v/>
      </c>
      <c r="V15" s="6">
        <f>$F15*M15</f>
        <v/>
      </c>
      <c r="W15" s="6">
        <f>$F15*N15</f>
        <v/>
      </c>
      <c r="X15" s="6">
        <f>$F15*O15</f>
        <v/>
      </c>
      <c r="Y15" s="6">
        <f>$F15*P15</f>
        <v/>
      </c>
      <c r="Z15" s="6">
        <f>$F15*Q15</f>
        <v/>
      </c>
      <c r="AA15" s="6">
        <f>$F15*R15</f>
        <v/>
      </c>
      <c r="AB15" s="6">
        <f>$F15*$G15*$J15</f>
        <v/>
      </c>
      <c r="AC15" s="6">
        <f>$F15*$G15*MAX(0,$J15-$K15)</f>
        <v/>
      </c>
      <c r="AD15" s="6">
        <f>$F15*$G15*MAX(0,$J15-$L15)</f>
        <v/>
      </c>
    </row>
    <row r="16">
      <c r="A16" t="n">
        <v>11</v>
      </c>
      <c r="B16" t="inlineStr">
        <is>
          <t>Teknologi</t>
        </is>
      </c>
      <c r="C16" t="inlineStr">
        <is>
          <t>Backend Engineer (Mid) - gelombang 2</t>
        </is>
      </c>
      <c r="D16" t="inlineStr">
        <is>
          <t>Mid</t>
        </is>
      </c>
      <c r="E16" t="n">
        <v>13</v>
      </c>
      <c r="F16" s="6" t="n">
        <v>15600566</v>
      </c>
      <c r="G16" t="n">
        <v>12</v>
      </c>
      <c r="H16" t="n">
        <v>0</v>
      </c>
      <c r="I16" t="n">
        <v>0</v>
      </c>
      <c r="J16" t="n">
        <v>1</v>
      </c>
      <c r="K16" s="22" t="n">
        <v>1</v>
      </c>
      <c r="L16" s="22" t="n">
        <v>1</v>
      </c>
      <c r="M16">
        <f>MAX(0,H16-$K16)</f>
        <v/>
      </c>
      <c r="N16">
        <f>MAX(0,I16-$K16)</f>
        <v/>
      </c>
      <c r="O16">
        <f>MAX(0,J16-$K16)</f>
        <v/>
      </c>
      <c r="P16">
        <f>MAX(0,H16-$L16)</f>
        <v/>
      </c>
      <c r="Q16">
        <f>MAX(0,I16-$L16)</f>
        <v/>
      </c>
      <c r="R16">
        <f>MAX(0,J16-$L16)</f>
        <v/>
      </c>
      <c r="S16" s="6">
        <f>$F16*H16</f>
        <v/>
      </c>
      <c r="T16" s="6">
        <f>$F16*I16</f>
        <v/>
      </c>
      <c r="U16" s="6">
        <f>$F16*J16</f>
        <v/>
      </c>
      <c r="V16" s="6">
        <f>$F16*M16</f>
        <v/>
      </c>
      <c r="W16" s="6">
        <f>$F16*N16</f>
        <v/>
      </c>
      <c r="X16" s="6">
        <f>$F16*O16</f>
        <v/>
      </c>
      <c r="Y16" s="6">
        <f>$F16*P16</f>
        <v/>
      </c>
      <c r="Z16" s="6">
        <f>$F16*Q16</f>
        <v/>
      </c>
      <c r="AA16" s="6">
        <f>$F16*R16</f>
        <v/>
      </c>
      <c r="AB16" s="6">
        <f>$F16*$G16*$J16</f>
        <v/>
      </c>
      <c r="AC16" s="6">
        <f>$F16*$G16*MAX(0,$J16-$K16)</f>
        <v/>
      </c>
      <c r="AD16" s="6">
        <f>$F16*$G16*MAX(0,$J16-$L16)</f>
        <v/>
      </c>
    </row>
    <row r="17">
      <c r="A17" t="n">
        <v>12</v>
      </c>
      <c r="B17" t="inlineStr">
        <is>
          <t>Teknologi</t>
        </is>
      </c>
      <c r="C17" t="inlineStr">
        <is>
          <t>QA Engineer</t>
        </is>
      </c>
      <c r="D17" t="inlineStr">
        <is>
          <t>Mid</t>
        </is>
      </c>
      <c r="E17" t="n">
        <v>6</v>
      </c>
      <c r="F17" s="6" t="n">
        <v>13075700</v>
      </c>
      <c r="G17" t="n">
        <v>19</v>
      </c>
      <c r="H17" t="n">
        <v>0</v>
      </c>
      <c r="I17" t="n">
        <v>1</v>
      </c>
      <c r="J17" t="n">
        <v>1</v>
      </c>
      <c r="K17" s="22" t="n">
        <v>1</v>
      </c>
      <c r="L17" s="22" t="n">
        <v>1</v>
      </c>
      <c r="M17">
        <f>MAX(0,H17-$K17)</f>
        <v/>
      </c>
      <c r="N17">
        <f>MAX(0,I17-$K17)</f>
        <v/>
      </c>
      <c r="O17">
        <f>MAX(0,J17-$K17)</f>
        <v/>
      </c>
      <c r="P17">
        <f>MAX(0,H17-$L17)</f>
        <v/>
      </c>
      <c r="Q17">
        <f>MAX(0,I17-$L17)</f>
        <v/>
      </c>
      <c r="R17">
        <f>MAX(0,J17-$L17)</f>
        <v/>
      </c>
      <c r="S17" s="6">
        <f>$F17*H17</f>
        <v/>
      </c>
      <c r="T17" s="6">
        <f>$F17*I17</f>
        <v/>
      </c>
      <c r="U17" s="6">
        <f>$F17*J17</f>
        <v/>
      </c>
      <c r="V17" s="6">
        <f>$F17*M17</f>
        <v/>
      </c>
      <c r="W17" s="6">
        <f>$F17*N17</f>
        <v/>
      </c>
      <c r="X17" s="6">
        <f>$F17*O17</f>
        <v/>
      </c>
      <c r="Y17" s="6">
        <f>$F17*P17</f>
        <v/>
      </c>
      <c r="Z17" s="6">
        <f>$F17*Q17</f>
        <v/>
      </c>
      <c r="AA17" s="6">
        <f>$F17*R17</f>
        <v/>
      </c>
      <c r="AB17" s="6">
        <f>$F17*$G17*$J17</f>
        <v/>
      </c>
      <c r="AC17" s="6">
        <f>$F17*$G17*MAX(0,$J17-$K17)</f>
        <v/>
      </c>
      <c r="AD17" s="6">
        <f>$F17*$G17*MAX(0,$J17-$L17)</f>
        <v/>
      </c>
    </row>
    <row r="18">
      <c r="A18" t="n">
        <v>13</v>
      </c>
      <c r="B18" t="inlineStr">
        <is>
          <t>Teknologi</t>
        </is>
      </c>
      <c r="C18" t="inlineStr">
        <is>
          <t>QA Engineer - gelombang 2</t>
        </is>
      </c>
      <c r="D18" t="inlineStr">
        <is>
          <t>Mid</t>
        </is>
      </c>
      <c r="E18" t="n">
        <v>15</v>
      </c>
      <c r="F18" s="6" t="n">
        <v>13075700</v>
      </c>
      <c r="G18" t="n">
        <v>10</v>
      </c>
      <c r="H18" t="n">
        <v>0</v>
      </c>
      <c r="I18" t="n">
        <v>0</v>
      </c>
      <c r="J18" t="n">
        <v>1</v>
      </c>
      <c r="K18" s="22" t="n">
        <v>1</v>
      </c>
      <c r="L18" s="22" t="n">
        <v>1</v>
      </c>
      <c r="M18">
        <f>MAX(0,H18-$K18)</f>
        <v/>
      </c>
      <c r="N18">
        <f>MAX(0,I18-$K18)</f>
        <v/>
      </c>
      <c r="O18">
        <f>MAX(0,J18-$K18)</f>
        <v/>
      </c>
      <c r="P18">
        <f>MAX(0,H18-$L18)</f>
        <v/>
      </c>
      <c r="Q18">
        <f>MAX(0,I18-$L18)</f>
        <v/>
      </c>
      <c r="R18">
        <f>MAX(0,J18-$L18)</f>
        <v/>
      </c>
      <c r="S18" s="6">
        <f>$F18*H18</f>
        <v/>
      </c>
      <c r="T18" s="6">
        <f>$F18*I18</f>
        <v/>
      </c>
      <c r="U18" s="6">
        <f>$F18*J18</f>
        <v/>
      </c>
      <c r="V18" s="6">
        <f>$F18*M18</f>
        <v/>
      </c>
      <c r="W18" s="6">
        <f>$F18*N18</f>
        <v/>
      </c>
      <c r="X18" s="6">
        <f>$F18*O18</f>
        <v/>
      </c>
      <c r="Y18" s="6">
        <f>$F18*P18</f>
        <v/>
      </c>
      <c r="Z18" s="6">
        <f>$F18*Q18</f>
        <v/>
      </c>
      <c r="AA18" s="6">
        <f>$F18*R18</f>
        <v/>
      </c>
      <c r="AB18" s="6">
        <f>$F18*$G18*$J18</f>
        <v/>
      </c>
      <c r="AC18" s="6">
        <f>$F18*$G18*MAX(0,$J18-$K18)</f>
        <v/>
      </c>
      <c r="AD18" s="6">
        <f>$F18*$G18*MAX(0,$J18-$L18)</f>
        <v/>
      </c>
    </row>
    <row r="19">
      <c r="A19" t="n">
        <v>14</v>
      </c>
      <c r="B19" t="inlineStr">
        <is>
          <t>Teknologi</t>
        </is>
      </c>
      <c r="C19" t="inlineStr">
        <is>
          <t>Junior Software Engineer</t>
        </is>
      </c>
      <c r="D19" t="inlineStr">
        <is>
          <t>Junior</t>
        </is>
      </c>
      <c r="E19" t="n">
        <v>16</v>
      </c>
      <c r="F19" s="6" t="n">
        <v>9806775</v>
      </c>
      <c r="G19" t="n">
        <v>9</v>
      </c>
      <c r="H19" t="n">
        <v>0</v>
      </c>
      <c r="I19" t="n">
        <v>0</v>
      </c>
      <c r="J19" t="n">
        <v>1</v>
      </c>
      <c r="K19" s="22" t="n">
        <v>1</v>
      </c>
      <c r="L19" s="22" t="n">
        <v>1</v>
      </c>
      <c r="M19">
        <f>MAX(0,H19-$K19)</f>
        <v/>
      </c>
      <c r="N19">
        <f>MAX(0,I19-$K19)</f>
        <v/>
      </c>
      <c r="O19">
        <f>MAX(0,J19-$K19)</f>
        <v/>
      </c>
      <c r="P19">
        <f>MAX(0,H19-$L19)</f>
        <v/>
      </c>
      <c r="Q19">
        <f>MAX(0,I19-$L19)</f>
        <v/>
      </c>
      <c r="R19">
        <f>MAX(0,J19-$L19)</f>
        <v/>
      </c>
      <c r="S19" s="6">
        <f>$F19*H19</f>
        <v/>
      </c>
      <c r="T19" s="6">
        <f>$F19*I19</f>
        <v/>
      </c>
      <c r="U19" s="6">
        <f>$F19*J19</f>
        <v/>
      </c>
      <c r="V19" s="6">
        <f>$F19*M19</f>
        <v/>
      </c>
      <c r="W19" s="6">
        <f>$F19*N19</f>
        <v/>
      </c>
      <c r="X19" s="6">
        <f>$F19*O19</f>
        <v/>
      </c>
      <c r="Y19" s="6">
        <f>$F19*P19</f>
        <v/>
      </c>
      <c r="Z19" s="6">
        <f>$F19*Q19</f>
        <v/>
      </c>
      <c r="AA19" s="6">
        <f>$F19*R19</f>
        <v/>
      </c>
      <c r="AB19" s="6">
        <f>$F19*$G19*$J19</f>
        <v/>
      </c>
      <c r="AC19" s="6">
        <f>$F19*$G19*MAX(0,$J19-$K19)</f>
        <v/>
      </c>
      <c r="AD19" s="6">
        <f>$F19*$G19*MAX(0,$J19-$L19)</f>
        <v/>
      </c>
    </row>
    <row r="20">
      <c r="A20" t="n">
        <v>15</v>
      </c>
      <c r="B20" t="inlineStr">
        <is>
          <t>Teknologi</t>
        </is>
      </c>
      <c r="C20" t="inlineStr">
        <is>
          <t>Junior Software Engineer - Padang</t>
        </is>
      </c>
      <c r="D20" t="inlineStr">
        <is>
          <t>Junior</t>
        </is>
      </c>
      <c r="E20" t="n">
        <v>18</v>
      </c>
      <c r="F20" s="6" t="n">
        <v>9152990</v>
      </c>
      <c r="G20" t="n">
        <v>7</v>
      </c>
      <c r="H20" t="n">
        <v>0</v>
      </c>
      <c r="I20" t="n">
        <v>0</v>
      </c>
      <c r="J20" t="n">
        <v>1</v>
      </c>
      <c r="K20" s="22" t="n">
        <v>0</v>
      </c>
      <c r="L20" s="22" t="n">
        <v>1</v>
      </c>
      <c r="M20">
        <f>MAX(0,H20-$K20)</f>
        <v/>
      </c>
      <c r="N20">
        <f>MAX(0,I20-$K20)</f>
        <v/>
      </c>
      <c r="O20">
        <f>MAX(0,J20-$K20)</f>
        <v/>
      </c>
      <c r="P20">
        <f>MAX(0,H20-$L20)</f>
        <v/>
      </c>
      <c r="Q20">
        <f>MAX(0,I20-$L20)</f>
        <v/>
      </c>
      <c r="R20">
        <f>MAX(0,J20-$L20)</f>
        <v/>
      </c>
      <c r="S20" s="6">
        <f>$F20*H20</f>
        <v/>
      </c>
      <c r="T20" s="6">
        <f>$F20*I20</f>
        <v/>
      </c>
      <c r="U20" s="6">
        <f>$F20*J20</f>
        <v/>
      </c>
      <c r="V20" s="6">
        <f>$F20*M20</f>
        <v/>
      </c>
      <c r="W20" s="6">
        <f>$F20*N20</f>
        <v/>
      </c>
      <c r="X20" s="6">
        <f>$F20*O20</f>
        <v/>
      </c>
      <c r="Y20" s="6">
        <f>$F20*P20</f>
        <v/>
      </c>
      <c r="Z20" s="6">
        <f>$F20*Q20</f>
        <v/>
      </c>
      <c r="AA20" s="6">
        <f>$F20*R20</f>
        <v/>
      </c>
      <c r="AB20" s="6">
        <f>$F20*$G20*$J20</f>
        <v/>
      </c>
      <c r="AC20" s="6">
        <f>$F20*$G20*MAX(0,$J20-$K20)</f>
        <v/>
      </c>
      <c r="AD20" s="6">
        <f>$F20*$G20*MAX(0,$J20-$L20)</f>
        <v/>
      </c>
    </row>
    <row r="21">
      <c r="A21" t="n">
        <v>16</v>
      </c>
      <c r="B21" t="inlineStr">
        <is>
          <t>Teknologi</t>
        </is>
      </c>
      <c r="C21" t="inlineStr">
        <is>
          <t>Product Designer (UI/UX)</t>
        </is>
      </c>
      <c r="D21" t="inlineStr">
        <is>
          <t>Mid</t>
        </is>
      </c>
      <c r="E21" t="n">
        <v>2</v>
      </c>
      <c r="F21" s="6" t="n">
        <v>16842136</v>
      </c>
      <c r="G21" t="n">
        <v>23</v>
      </c>
      <c r="H21" t="n">
        <v>1</v>
      </c>
      <c r="I21" t="n">
        <v>1</v>
      </c>
      <c r="J21" t="n">
        <v>1</v>
      </c>
      <c r="K21" s="22" t="n">
        <v>0</v>
      </c>
      <c r="L21" s="22" t="n">
        <v>1</v>
      </c>
      <c r="M21">
        <f>MAX(0,H21-$K21)</f>
        <v/>
      </c>
      <c r="N21">
        <f>MAX(0,I21-$K21)</f>
        <v/>
      </c>
      <c r="O21">
        <f>MAX(0,J21-$K21)</f>
        <v/>
      </c>
      <c r="P21">
        <f>MAX(0,H21-$L21)</f>
        <v/>
      </c>
      <c r="Q21">
        <f>MAX(0,I21-$L21)</f>
        <v/>
      </c>
      <c r="R21">
        <f>MAX(0,J21-$L21)</f>
        <v/>
      </c>
      <c r="S21" s="6">
        <f>$F21*H21</f>
        <v/>
      </c>
      <c r="T21" s="6">
        <f>$F21*I21</f>
        <v/>
      </c>
      <c r="U21" s="6">
        <f>$F21*J21</f>
        <v/>
      </c>
      <c r="V21" s="6">
        <f>$F21*M21</f>
        <v/>
      </c>
      <c r="W21" s="6">
        <f>$F21*N21</f>
        <v/>
      </c>
      <c r="X21" s="6">
        <f>$F21*O21</f>
        <v/>
      </c>
      <c r="Y21" s="6">
        <f>$F21*P21</f>
        <v/>
      </c>
      <c r="Z21" s="6">
        <f>$F21*Q21</f>
        <v/>
      </c>
      <c r="AA21" s="6">
        <f>$F21*R21</f>
        <v/>
      </c>
      <c r="AB21" s="6">
        <f>$F21*$G21*$J21</f>
        <v/>
      </c>
      <c r="AC21" s="6">
        <f>$F21*$G21*MAX(0,$J21-$K21)</f>
        <v/>
      </c>
      <c r="AD21" s="6">
        <f>$F21*$G21*MAX(0,$J21-$L21)</f>
        <v/>
      </c>
    </row>
    <row r="22">
      <c r="A22" t="n">
        <v>17</v>
      </c>
      <c r="B22" t="inlineStr">
        <is>
          <t>Teknologi</t>
        </is>
      </c>
      <c r="C22" t="inlineStr">
        <is>
          <t>Product Designer (UI/UX) - gelombang 2</t>
        </is>
      </c>
      <c r="D22" t="inlineStr">
        <is>
          <t>Mid</t>
        </is>
      </c>
      <c r="E22" t="n">
        <v>17</v>
      </c>
      <c r="F22" s="6" t="n">
        <v>16842136</v>
      </c>
      <c r="G22" t="n">
        <v>8</v>
      </c>
      <c r="H22" t="n">
        <v>0</v>
      </c>
      <c r="I22" t="n">
        <v>0</v>
      </c>
      <c r="J22" t="n">
        <v>1</v>
      </c>
      <c r="K22" s="22" t="n">
        <v>1</v>
      </c>
      <c r="L22" s="22" t="n">
        <v>1</v>
      </c>
      <c r="M22">
        <f>MAX(0,H22-$K22)</f>
        <v/>
      </c>
      <c r="N22">
        <f>MAX(0,I22-$K22)</f>
        <v/>
      </c>
      <c r="O22">
        <f>MAX(0,J22-$K22)</f>
        <v/>
      </c>
      <c r="P22">
        <f>MAX(0,H22-$L22)</f>
        <v/>
      </c>
      <c r="Q22">
        <f>MAX(0,I22-$L22)</f>
        <v/>
      </c>
      <c r="R22">
        <f>MAX(0,J22-$L22)</f>
        <v/>
      </c>
      <c r="S22" s="6">
        <f>$F22*H22</f>
        <v/>
      </c>
      <c r="T22" s="6">
        <f>$F22*I22</f>
        <v/>
      </c>
      <c r="U22" s="6">
        <f>$F22*J22</f>
        <v/>
      </c>
      <c r="V22" s="6">
        <f>$F22*M22</f>
        <v/>
      </c>
      <c r="W22" s="6">
        <f>$F22*N22</f>
        <v/>
      </c>
      <c r="X22" s="6">
        <f>$F22*O22</f>
        <v/>
      </c>
      <c r="Y22" s="6">
        <f>$F22*P22</f>
        <v/>
      </c>
      <c r="Z22" s="6">
        <f>$F22*Q22</f>
        <v/>
      </c>
      <c r="AA22" s="6">
        <f>$F22*R22</f>
        <v/>
      </c>
      <c r="AB22" s="6">
        <f>$F22*$G22*$J22</f>
        <v/>
      </c>
      <c r="AC22" s="6">
        <f>$F22*$G22*MAX(0,$J22-$K22)</f>
        <v/>
      </c>
      <c r="AD22" s="6">
        <f>$F22*$G22*MAX(0,$J22-$L22)</f>
        <v/>
      </c>
    </row>
    <row r="23">
      <c r="A23" t="n">
        <v>18</v>
      </c>
      <c r="B23" t="inlineStr">
        <is>
          <t>Teknologi</t>
        </is>
      </c>
      <c r="C23" t="inlineStr">
        <is>
          <t>Data Analyst</t>
        </is>
      </c>
      <c r="D23" t="inlineStr">
        <is>
          <t>Mid</t>
        </is>
      </c>
      <c r="E23" t="n">
        <v>13</v>
      </c>
      <c r="F23" s="6" t="n">
        <v>14979781</v>
      </c>
      <c r="G23" t="n">
        <v>12</v>
      </c>
      <c r="H23" t="n">
        <v>0</v>
      </c>
      <c r="I23" t="n">
        <v>0</v>
      </c>
      <c r="J23" t="n">
        <v>1</v>
      </c>
      <c r="K23" s="22" t="n">
        <v>1</v>
      </c>
      <c r="L23" s="22" t="n">
        <v>1</v>
      </c>
      <c r="M23">
        <f>MAX(0,H23-$K23)</f>
        <v/>
      </c>
      <c r="N23">
        <f>MAX(0,I23-$K23)</f>
        <v/>
      </c>
      <c r="O23">
        <f>MAX(0,J23-$K23)</f>
        <v/>
      </c>
      <c r="P23">
        <f>MAX(0,H23-$L23)</f>
        <v/>
      </c>
      <c r="Q23">
        <f>MAX(0,I23-$L23)</f>
        <v/>
      </c>
      <c r="R23">
        <f>MAX(0,J23-$L23)</f>
        <v/>
      </c>
      <c r="S23" s="6">
        <f>$F23*H23</f>
        <v/>
      </c>
      <c r="T23" s="6">
        <f>$F23*I23</f>
        <v/>
      </c>
      <c r="U23" s="6">
        <f>$F23*J23</f>
        <v/>
      </c>
      <c r="V23" s="6">
        <f>$F23*M23</f>
        <v/>
      </c>
      <c r="W23" s="6">
        <f>$F23*N23</f>
        <v/>
      </c>
      <c r="X23" s="6">
        <f>$F23*O23</f>
        <v/>
      </c>
      <c r="Y23" s="6">
        <f>$F23*P23</f>
        <v/>
      </c>
      <c r="Z23" s="6">
        <f>$F23*Q23</f>
        <v/>
      </c>
      <c r="AA23" s="6">
        <f>$F23*R23</f>
        <v/>
      </c>
      <c r="AB23" s="6">
        <f>$F23*$G23*$J23</f>
        <v/>
      </c>
      <c r="AC23" s="6">
        <f>$F23*$G23*MAX(0,$J23-$K23)</f>
        <v/>
      </c>
      <c r="AD23" s="6">
        <f>$F23*$G23*MAX(0,$J23-$L23)</f>
        <v/>
      </c>
    </row>
    <row r="24">
      <c r="A24" t="n">
        <v>19</v>
      </c>
      <c r="B24" t="inlineStr">
        <is>
          <t>Operasi</t>
        </is>
      </c>
      <c r="C24" t="inlineStr">
        <is>
          <t>Direktur Operasi (COO)</t>
        </is>
      </c>
      <c r="D24" t="inlineStr">
        <is>
          <t>C-Level</t>
        </is>
      </c>
      <c r="E24" t="n">
        <v>1</v>
      </c>
      <c r="F24" s="6" t="n">
        <v>25533126</v>
      </c>
      <c r="G24" t="n">
        <v>24</v>
      </c>
      <c r="H24" t="n">
        <v>1</v>
      </c>
      <c r="I24" t="n">
        <v>1</v>
      </c>
      <c r="J24" t="n">
        <v>1</v>
      </c>
      <c r="K24" s="22" t="n">
        <v>0</v>
      </c>
      <c r="L24" s="22" t="n">
        <v>0</v>
      </c>
      <c r="M24">
        <f>MAX(0,H24-$K24)</f>
        <v/>
      </c>
      <c r="N24">
        <f>MAX(0,I24-$K24)</f>
        <v/>
      </c>
      <c r="O24">
        <f>MAX(0,J24-$K24)</f>
        <v/>
      </c>
      <c r="P24">
        <f>MAX(0,H24-$L24)</f>
        <v/>
      </c>
      <c r="Q24">
        <f>MAX(0,I24-$L24)</f>
        <v/>
      </c>
      <c r="R24">
        <f>MAX(0,J24-$L24)</f>
        <v/>
      </c>
      <c r="S24" s="6">
        <f>$F24*H24</f>
        <v/>
      </c>
      <c r="T24" s="6">
        <f>$F24*I24</f>
        <v/>
      </c>
      <c r="U24" s="6">
        <f>$F24*J24</f>
        <v/>
      </c>
      <c r="V24" s="6">
        <f>$F24*M24</f>
        <v/>
      </c>
      <c r="W24" s="6">
        <f>$F24*N24</f>
        <v/>
      </c>
      <c r="X24" s="6">
        <f>$F24*O24</f>
        <v/>
      </c>
      <c r="Y24" s="6">
        <f>$F24*P24</f>
        <v/>
      </c>
      <c r="Z24" s="6">
        <f>$F24*Q24</f>
        <v/>
      </c>
      <c r="AA24" s="6">
        <f>$F24*R24</f>
        <v/>
      </c>
      <c r="AB24" s="6">
        <f>$F24*$G24*$J24</f>
        <v/>
      </c>
      <c r="AC24" s="6">
        <f>$F24*$G24*MAX(0,$J24-$K24)</f>
        <v/>
      </c>
      <c r="AD24" s="6">
        <f>$F24*$G24*MAX(0,$J24-$L24)</f>
        <v/>
      </c>
    </row>
    <row r="25">
      <c r="A25" t="n">
        <v>20</v>
      </c>
      <c r="B25" t="inlineStr">
        <is>
          <t>Operasi</t>
        </is>
      </c>
      <c r="C25" t="inlineStr">
        <is>
          <t>City Manager Pekanbaru</t>
        </is>
      </c>
      <c r="D25" t="inlineStr">
        <is>
          <t>Manajer</t>
        </is>
      </c>
      <c r="E25" t="n">
        <v>2</v>
      </c>
      <c r="F25" s="6" t="n">
        <v>18137606</v>
      </c>
      <c r="G25" t="n">
        <v>23</v>
      </c>
      <c r="H25" t="n">
        <v>1</v>
      </c>
      <c r="I25" t="n">
        <v>1</v>
      </c>
      <c r="J25" t="n">
        <v>1</v>
      </c>
      <c r="K25" s="22" t="n">
        <v>0</v>
      </c>
      <c r="L25" s="22" t="n">
        <v>0</v>
      </c>
      <c r="M25">
        <f>MAX(0,H25-$K25)</f>
        <v/>
      </c>
      <c r="N25">
        <f>MAX(0,I25-$K25)</f>
        <v/>
      </c>
      <c r="O25">
        <f>MAX(0,J25-$K25)</f>
        <v/>
      </c>
      <c r="P25">
        <f>MAX(0,H25-$L25)</f>
        <v/>
      </c>
      <c r="Q25">
        <f>MAX(0,I25-$L25)</f>
        <v/>
      </c>
      <c r="R25">
        <f>MAX(0,J25-$L25)</f>
        <v/>
      </c>
      <c r="S25" s="6">
        <f>$F25*H25</f>
        <v/>
      </c>
      <c r="T25" s="6">
        <f>$F25*I25</f>
        <v/>
      </c>
      <c r="U25" s="6">
        <f>$F25*J25</f>
        <v/>
      </c>
      <c r="V25" s="6">
        <f>$F25*M25</f>
        <v/>
      </c>
      <c r="W25" s="6">
        <f>$F25*N25</f>
        <v/>
      </c>
      <c r="X25" s="6">
        <f>$F25*O25</f>
        <v/>
      </c>
      <c r="Y25" s="6">
        <f>$F25*P25</f>
        <v/>
      </c>
      <c r="Z25" s="6">
        <f>$F25*Q25</f>
        <v/>
      </c>
      <c r="AA25" s="6">
        <f>$F25*R25</f>
        <v/>
      </c>
      <c r="AB25" s="6">
        <f>$F25*$G25*$J25</f>
        <v/>
      </c>
      <c r="AC25" s="6">
        <f>$F25*$G25*MAX(0,$J25-$K25)</f>
        <v/>
      </c>
      <c r="AD25" s="6">
        <f>$F25*$G25*MAX(0,$J25-$L25)</f>
        <v/>
      </c>
    </row>
    <row r="26">
      <c r="A26" t="n">
        <v>21</v>
      </c>
      <c r="B26" t="inlineStr">
        <is>
          <t>Operasi</t>
        </is>
      </c>
      <c r="C26" t="inlineStr">
        <is>
          <t>Ops Supervisor Pekanbaru</t>
        </is>
      </c>
      <c r="D26" t="inlineStr">
        <is>
          <t>Supervisor</t>
        </is>
      </c>
      <c r="E26" t="n">
        <v>4</v>
      </c>
      <c r="F26" s="6" t="n">
        <v>9835650</v>
      </c>
      <c r="G26" t="n">
        <v>21</v>
      </c>
      <c r="H26" t="n">
        <v>0</v>
      </c>
      <c r="I26" t="n">
        <v>1</v>
      </c>
      <c r="J26" t="n">
        <v>1</v>
      </c>
      <c r="K26" s="22" t="n">
        <v>0</v>
      </c>
      <c r="L26" s="22" t="n">
        <v>0</v>
      </c>
      <c r="M26">
        <f>MAX(0,H26-$K26)</f>
        <v/>
      </c>
      <c r="N26">
        <f>MAX(0,I26-$K26)</f>
        <v/>
      </c>
      <c r="O26">
        <f>MAX(0,J26-$K26)</f>
        <v/>
      </c>
      <c r="P26">
        <f>MAX(0,H26-$L26)</f>
        <v/>
      </c>
      <c r="Q26">
        <f>MAX(0,I26-$L26)</f>
        <v/>
      </c>
      <c r="R26">
        <f>MAX(0,J26-$L26)</f>
        <v/>
      </c>
      <c r="S26" s="6">
        <f>$F26*H26</f>
        <v/>
      </c>
      <c r="T26" s="6">
        <f>$F26*I26</f>
        <v/>
      </c>
      <c r="U26" s="6">
        <f>$F26*J26</f>
        <v/>
      </c>
      <c r="V26" s="6">
        <f>$F26*M26</f>
        <v/>
      </c>
      <c r="W26" s="6">
        <f>$F26*N26</f>
        <v/>
      </c>
      <c r="X26" s="6">
        <f>$F26*O26</f>
        <v/>
      </c>
      <c r="Y26" s="6">
        <f>$F26*P26</f>
        <v/>
      </c>
      <c r="Z26" s="6">
        <f>$F26*Q26</f>
        <v/>
      </c>
      <c r="AA26" s="6">
        <f>$F26*R26</f>
        <v/>
      </c>
      <c r="AB26" s="6">
        <f>$F26*$G26*$J26</f>
        <v/>
      </c>
      <c r="AC26" s="6">
        <f>$F26*$G26*MAX(0,$J26-$K26)</f>
        <v/>
      </c>
      <c r="AD26" s="6">
        <f>$F26*$G26*MAX(0,$J26-$L26)</f>
        <v/>
      </c>
    </row>
    <row r="27">
      <c r="A27" t="n">
        <v>22</v>
      </c>
      <c r="B27" t="inlineStr">
        <is>
          <t>Operasi</t>
        </is>
      </c>
      <c r="C27" t="inlineStr">
        <is>
          <t>Partner Acquisition Pekanbaru</t>
        </is>
      </c>
      <c r="D27" t="inlineStr">
        <is>
          <t>Staf</t>
        </is>
      </c>
      <c r="E27" t="n">
        <v>4</v>
      </c>
      <c r="F27" s="6" t="n">
        <v>6884955</v>
      </c>
      <c r="G27" t="n">
        <v>21</v>
      </c>
      <c r="H27" t="n">
        <v>0</v>
      </c>
      <c r="I27" t="n">
        <v>2</v>
      </c>
      <c r="J27" t="n">
        <v>2</v>
      </c>
      <c r="K27" s="22" t="n">
        <v>0</v>
      </c>
      <c r="L27" s="22" t="n">
        <v>0</v>
      </c>
      <c r="M27">
        <f>MAX(0,H27-$K27)</f>
        <v/>
      </c>
      <c r="N27">
        <f>MAX(0,I27-$K27)</f>
        <v/>
      </c>
      <c r="O27">
        <f>MAX(0,J27-$K27)</f>
        <v/>
      </c>
      <c r="P27">
        <f>MAX(0,H27-$L27)</f>
        <v/>
      </c>
      <c r="Q27">
        <f>MAX(0,I27-$L27)</f>
        <v/>
      </c>
      <c r="R27">
        <f>MAX(0,J27-$L27)</f>
        <v/>
      </c>
      <c r="S27" s="6">
        <f>$F27*H27</f>
        <v/>
      </c>
      <c r="T27" s="6">
        <f>$F27*I27</f>
        <v/>
      </c>
      <c r="U27" s="6">
        <f>$F27*J27</f>
        <v/>
      </c>
      <c r="V27" s="6">
        <f>$F27*M27</f>
        <v/>
      </c>
      <c r="W27" s="6">
        <f>$F27*N27</f>
        <v/>
      </c>
      <c r="X27" s="6">
        <f>$F27*O27</f>
        <v/>
      </c>
      <c r="Y27" s="6">
        <f>$F27*P27</f>
        <v/>
      </c>
      <c r="Z27" s="6">
        <f>$F27*Q27</f>
        <v/>
      </c>
      <c r="AA27" s="6">
        <f>$F27*R27</f>
        <v/>
      </c>
      <c r="AB27" s="6">
        <f>$F27*$G27*$J27</f>
        <v/>
      </c>
      <c r="AC27" s="6">
        <f>$F27*$G27*MAX(0,$J27-$K27)</f>
        <v/>
      </c>
      <c r="AD27" s="6">
        <f>$F27*$G27*MAX(0,$J27-$L27)</f>
        <v/>
      </c>
    </row>
    <row r="28">
      <c r="A28" t="n">
        <v>23</v>
      </c>
      <c r="B28" t="inlineStr">
        <is>
          <t>Operasi</t>
        </is>
      </c>
      <c r="C28" t="inlineStr">
        <is>
          <t>Head of Customer Experience</t>
        </is>
      </c>
      <c r="D28" t="inlineStr">
        <is>
          <t>Head</t>
        </is>
      </c>
      <c r="E28" t="n">
        <v>4</v>
      </c>
      <c r="F28" s="6" t="n">
        <v>18083706</v>
      </c>
      <c r="G28" t="n">
        <v>21</v>
      </c>
      <c r="H28" t="n">
        <v>0</v>
      </c>
      <c r="I28" t="n">
        <v>1</v>
      </c>
      <c r="J28" t="n">
        <v>1</v>
      </c>
      <c r="K28" s="22" t="n">
        <v>0</v>
      </c>
      <c r="L28" s="22" t="n">
        <v>1</v>
      </c>
      <c r="M28">
        <f>MAX(0,H28-$K28)</f>
        <v/>
      </c>
      <c r="N28">
        <f>MAX(0,I28-$K28)</f>
        <v/>
      </c>
      <c r="O28">
        <f>MAX(0,J28-$K28)</f>
        <v/>
      </c>
      <c r="P28">
        <f>MAX(0,H28-$L28)</f>
        <v/>
      </c>
      <c r="Q28">
        <f>MAX(0,I28-$L28)</f>
        <v/>
      </c>
      <c r="R28">
        <f>MAX(0,J28-$L28)</f>
        <v/>
      </c>
      <c r="S28" s="6">
        <f>$F28*H28</f>
        <v/>
      </c>
      <c r="T28" s="6">
        <f>$F28*I28</f>
        <v/>
      </c>
      <c r="U28" s="6">
        <f>$F28*J28</f>
        <v/>
      </c>
      <c r="V28" s="6">
        <f>$F28*M28</f>
        <v/>
      </c>
      <c r="W28" s="6">
        <f>$F28*N28</f>
        <v/>
      </c>
      <c r="X28" s="6">
        <f>$F28*O28</f>
        <v/>
      </c>
      <c r="Y28" s="6">
        <f>$F28*P28</f>
        <v/>
      </c>
      <c r="Z28" s="6">
        <f>$F28*Q28</f>
        <v/>
      </c>
      <c r="AA28" s="6">
        <f>$F28*R28</f>
        <v/>
      </c>
      <c r="AB28" s="6">
        <f>$F28*$G28*$J28</f>
        <v/>
      </c>
      <c r="AC28" s="6">
        <f>$F28*$G28*MAX(0,$J28-$K28)</f>
        <v/>
      </c>
      <c r="AD28" s="6">
        <f>$F28*$G28*MAX(0,$J28-$L28)</f>
        <v/>
      </c>
    </row>
    <row r="29">
      <c r="A29" t="n">
        <v>24</v>
      </c>
      <c r="B29" t="inlineStr">
        <is>
          <t>Operasi</t>
        </is>
      </c>
      <c r="C29" t="inlineStr">
        <is>
          <t>CS Agent Pekanbaru (shift)</t>
        </is>
      </c>
      <c r="D29" t="inlineStr">
        <is>
          <t>Staf</t>
        </is>
      </c>
      <c r="E29" t="n">
        <v>5</v>
      </c>
      <c r="F29" s="6" t="n">
        <v>6210957.5</v>
      </c>
      <c r="G29" t="n">
        <v>20</v>
      </c>
      <c r="H29" t="n">
        <v>0</v>
      </c>
      <c r="I29" t="n">
        <v>3</v>
      </c>
      <c r="J29" t="n">
        <v>3</v>
      </c>
      <c r="K29" s="22" t="n">
        <v>1</v>
      </c>
      <c r="L29" s="22" t="n">
        <v>2</v>
      </c>
      <c r="M29">
        <f>MAX(0,H29-$K29)</f>
        <v/>
      </c>
      <c r="N29">
        <f>MAX(0,I29-$K29)</f>
        <v/>
      </c>
      <c r="O29">
        <f>MAX(0,J29-$K29)</f>
        <v/>
      </c>
      <c r="P29">
        <f>MAX(0,H29-$L29)</f>
        <v/>
      </c>
      <c r="Q29">
        <f>MAX(0,I29-$L29)</f>
        <v/>
      </c>
      <c r="R29">
        <f>MAX(0,J29-$L29)</f>
        <v/>
      </c>
      <c r="S29" s="6">
        <f>$F29*H29</f>
        <v/>
      </c>
      <c r="T29" s="6">
        <f>$F29*I29</f>
        <v/>
      </c>
      <c r="U29" s="6">
        <f>$F29*J29</f>
        <v/>
      </c>
      <c r="V29" s="6">
        <f>$F29*M29</f>
        <v/>
      </c>
      <c r="W29" s="6">
        <f>$F29*N29</f>
        <v/>
      </c>
      <c r="X29" s="6">
        <f>$F29*O29</f>
        <v/>
      </c>
      <c r="Y29" s="6">
        <f>$F29*P29</f>
        <v/>
      </c>
      <c r="Z29" s="6">
        <f>$F29*Q29</f>
        <v/>
      </c>
      <c r="AA29" s="6">
        <f>$F29*R29</f>
        <v/>
      </c>
      <c r="AB29" s="6">
        <f>$F29*$G29*$J29</f>
        <v/>
      </c>
      <c r="AC29" s="6">
        <f>$F29*$G29*MAX(0,$J29-$K29)</f>
        <v/>
      </c>
      <c r="AD29" s="6">
        <f>$F29*$G29*MAX(0,$J29-$L29)</f>
        <v/>
      </c>
    </row>
    <row r="30">
      <c r="A30" t="n">
        <v>25</v>
      </c>
      <c r="B30" t="inlineStr">
        <is>
          <t>Operasi</t>
        </is>
      </c>
      <c r="C30" t="inlineStr">
        <is>
          <t>Trust &amp; Safety Officer</t>
        </is>
      </c>
      <c r="D30" t="inlineStr">
        <is>
          <t>Staf Senior</t>
        </is>
      </c>
      <c r="E30" t="n">
        <v>6</v>
      </c>
      <c r="F30" s="6" t="n">
        <v>12421915</v>
      </c>
      <c r="G30" t="n">
        <v>19</v>
      </c>
      <c r="H30" t="n">
        <v>0</v>
      </c>
      <c r="I30" t="n">
        <v>1</v>
      </c>
      <c r="J30" t="n">
        <v>1</v>
      </c>
      <c r="K30" s="22" t="n">
        <v>0</v>
      </c>
      <c r="L30" s="22" t="n">
        <v>0</v>
      </c>
      <c r="M30">
        <f>MAX(0,H30-$K30)</f>
        <v/>
      </c>
      <c r="N30">
        <f>MAX(0,I30-$K30)</f>
        <v/>
      </c>
      <c r="O30">
        <f>MAX(0,J30-$K30)</f>
        <v/>
      </c>
      <c r="P30">
        <f>MAX(0,H30-$L30)</f>
        <v/>
      </c>
      <c r="Q30">
        <f>MAX(0,I30-$L30)</f>
        <v/>
      </c>
      <c r="R30">
        <f>MAX(0,J30-$L30)</f>
        <v/>
      </c>
      <c r="S30" s="6">
        <f>$F30*H30</f>
        <v/>
      </c>
      <c r="T30" s="6">
        <f>$F30*I30</f>
        <v/>
      </c>
      <c r="U30" s="6">
        <f>$F30*J30</f>
        <v/>
      </c>
      <c r="V30" s="6">
        <f>$F30*M30</f>
        <v/>
      </c>
      <c r="W30" s="6">
        <f>$F30*N30</f>
        <v/>
      </c>
      <c r="X30" s="6">
        <f>$F30*O30</f>
        <v/>
      </c>
      <c r="Y30" s="6">
        <f>$F30*P30</f>
        <v/>
      </c>
      <c r="Z30" s="6">
        <f>$F30*Q30</f>
        <v/>
      </c>
      <c r="AA30" s="6">
        <f>$F30*R30</f>
        <v/>
      </c>
      <c r="AB30" s="6">
        <f>$F30*$G30*$J30</f>
        <v/>
      </c>
      <c r="AC30" s="6">
        <f>$F30*$G30*MAX(0,$J30-$K30)</f>
        <v/>
      </c>
      <c r="AD30" s="6">
        <f>$F30*$G30*MAX(0,$J30-$L30)</f>
        <v/>
      </c>
    </row>
    <row r="31">
      <c r="A31" t="n">
        <v>26</v>
      </c>
      <c r="B31" t="inlineStr">
        <is>
          <t>Operasi</t>
        </is>
      </c>
      <c r="C31" t="inlineStr">
        <is>
          <t>City Manager Padang</t>
        </is>
      </c>
      <c r="D31" t="inlineStr">
        <is>
          <t>Manajer</t>
        </is>
      </c>
      <c r="E31" t="n">
        <v>13</v>
      </c>
      <c r="F31" s="6" t="n">
        <v>16269476</v>
      </c>
      <c r="G31" t="n">
        <v>12</v>
      </c>
      <c r="H31" t="n">
        <v>0</v>
      </c>
      <c r="I31" t="n">
        <v>0</v>
      </c>
      <c r="J31" t="n">
        <v>1</v>
      </c>
      <c r="K31" s="22" t="n">
        <v>0</v>
      </c>
      <c r="L31" s="22" t="n">
        <v>0</v>
      </c>
      <c r="M31">
        <f>MAX(0,H31-$K31)</f>
        <v/>
      </c>
      <c r="N31">
        <f>MAX(0,I31-$K31)</f>
        <v/>
      </c>
      <c r="O31">
        <f>MAX(0,J31-$K31)</f>
        <v/>
      </c>
      <c r="P31">
        <f>MAX(0,H31-$L31)</f>
        <v/>
      </c>
      <c r="Q31">
        <f>MAX(0,I31-$L31)</f>
        <v/>
      </c>
      <c r="R31">
        <f>MAX(0,J31-$L31)</f>
        <v/>
      </c>
      <c r="S31" s="6">
        <f>$F31*H31</f>
        <v/>
      </c>
      <c r="T31" s="6">
        <f>$F31*I31</f>
        <v/>
      </c>
      <c r="U31" s="6">
        <f>$F31*J31</f>
        <v/>
      </c>
      <c r="V31" s="6">
        <f>$F31*M31</f>
        <v/>
      </c>
      <c r="W31" s="6">
        <f>$F31*N31</f>
        <v/>
      </c>
      <c r="X31" s="6">
        <f>$F31*O31</f>
        <v/>
      </c>
      <c r="Y31" s="6">
        <f>$F31*P31</f>
        <v/>
      </c>
      <c r="Z31" s="6">
        <f>$F31*Q31</f>
        <v/>
      </c>
      <c r="AA31" s="6">
        <f>$F31*R31</f>
        <v/>
      </c>
      <c r="AB31" s="6">
        <f>$F31*$G31*$J31</f>
        <v/>
      </c>
      <c r="AC31" s="6">
        <f>$F31*$G31*MAX(0,$J31-$K31)</f>
        <v/>
      </c>
      <c r="AD31" s="6">
        <f>$F31*$G31*MAX(0,$J31-$L31)</f>
        <v/>
      </c>
    </row>
    <row r="32">
      <c r="A32" t="n">
        <v>27</v>
      </c>
      <c r="B32" t="inlineStr">
        <is>
          <t>Operasi</t>
        </is>
      </c>
      <c r="C32" t="inlineStr">
        <is>
          <t>Partner Acquisition Padang</t>
        </is>
      </c>
      <c r="D32" t="inlineStr">
        <is>
          <t>Staf</t>
        </is>
      </c>
      <c r="E32" t="n">
        <v>13</v>
      </c>
      <c r="F32" s="6" t="n">
        <v>5704677</v>
      </c>
      <c r="G32" t="n">
        <v>12</v>
      </c>
      <c r="H32" t="n">
        <v>0</v>
      </c>
      <c r="I32" t="n">
        <v>0</v>
      </c>
      <c r="J32" t="n">
        <v>1</v>
      </c>
      <c r="K32" s="22" t="n">
        <v>0</v>
      </c>
      <c r="L32" s="22" t="n">
        <v>0</v>
      </c>
      <c r="M32">
        <f>MAX(0,H32-$K32)</f>
        <v/>
      </c>
      <c r="N32">
        <f>MAX(0,I32-$K32)</f>
        <v/>
      </c>
      <c r="O32">
        <f>MAX(0,J32-$K32)</f>
        <v/>
      </c>
      <c r="P32">
        <f>MAX(0,H32-$L32)</f>
        <v/>
      </c>
      <c r="Q32">
        <f>MAX(0,I32-$L32)</f>
        <v/>
      </c>
      <c r="R32">
        <f>MAX(0,J32-$L32)</f>
        <v/>
      </c>
      <c r="S32" s="6">
        <f>$F32*H32</f>
        <v/>
      </c>
      <c r="T32" s="6">
        <f>$F32*I32</f>
        <v/>
      </c>
      <c r="U32" s="6">
        <f>$F32*J32</f>
        <v/>
      </c>
      <c r="V32" s="6">
        <f>$F32*M32</f>
        <v/>
      </c>
      <c r="W32" s="6">
        <f>$F32*N32</f>
        <v/>
      </c>
      <c r="X32" s="6">
        <f>$F32*O32</f>
        <v/>
      </c>
      <c r="Y32" s="6">
        <f>$F32*P32</f>
        <v/>
      </c>
      <c r="Z32" s="6">
        <f>$F32*Q32</f>
        <v/>
      </c>
      <c r="AA32" s="6">
        <f>$F32*R32</f>
        <v/>
      </c>
      <c r="AB32" s="6">
        <f>$F32*$G32*$J32</f>
        <v/>
      </c>
      <c r="AC32" s="6">
        <f>$F32*$G32*MAX(0,$J32-$K32)</f>
        <v/>
      </c>
      <c r="AD32" s="6">
        <f>$F32*$G32*MAX(0,$J32-$L32)</f>
        <v/>
      </c>
    </row>
    <row r="33">
      <c r="A33" t="n">
        <v>28</v>
      </c>
      <c r="B33" t="inlineStr">
        <is>
          <t>Operasi</t>
        </is>
      </c>
      <c r="C33" t="inlineStr">
        <is>
          <t>Ops Supervisor Padang</t>
        </is>
      </c>
      <c r="D33" t="inlineStr">
        <is>
          <t>Supervisor</t>
        </is>
      </c>
      <c r="E33" t="n">
        <v>14</v>
      </c>
      <c r="F33" s="6" t="n">
        <v>8524230</v>
      </c>
      <c r="G33" t="n">
        <v>11</v>
      </c>
      <c r="H33" t="n">
        <v>0</v>
      </c>
      <c r="I33" t="n">
        <v>0</v>
      </c>
      <c r="J33" t="n">
        <v>1</v>
      </c>
      <c r="K33" s="22" t="n">
        <v>0</v>
      </c>
      <c r="L33" s="22" t="n">
        <v>1</v>
      </c>
      <c r="M33">
        <f>MAX(0,H33-$K33)</f>
        <v/>
      </c>
      <c r="N33">
        <f>MAX(0,I33-$K33)</f>
        <v/>
      </c>
      <c r="O33">
        <f>MAX(0,J33-$K33)</f>
        <v/>
      </c>
      <c r="P33">
        <f>MAX(0,H33-$L33)</f>
        <v/>
      </c>
      <c r="Q33">
        <f>MAX(0,I33-$L33)</f>
        <v/>
      </c>
      <c r="R33">
        <f>MAX(0,J33-$L33)</f>
        <v/>
      </c>
      <c r="S33" s="6">
        <f>$F33*H33</f>
        <v/>
      </c>
      <c r="T33" s="6">
        <f>$F33*I33</f>
        <v/>
      </c>
      <c r="U33" s="6">
        <f>$F33*J33</f>
        <v/>
      </c>
      <c r="V33" s="6">
        <f>$F33*M33</f>
        <v/>
      </c>
      <c r="W33" s="6">
        <f>$F33*N33</f>
        <v/>
      </c>
      <c r="X33" s="6">
        <f>$F33*O33</f>
        <v/>
      </c>
      <c r="Y33" s="6">
        <f>$F33*P33</f>
        <v/>
      </c>
      <c r="Z33" s="6">
        <f>$F33*Q33</f>
        <v/>
      </c>
      <c r="AA33" s="6">
        <f>$F33*R33</f>
        <v/>
      </c>
      <c r="AB33" s="6">
        <f>$F33*$G33*$J33</f>
        <v/>
      </c>
      <c r="AC33" s="6">
        <f>$F33*$G33*MAX(0,$J33-$K33)</f>
        <v/>
      </c>
      <c r="AD33" s="6">
        <f>$F33*$G33*MAX(0,$J33-$L33)</f>
        <v/>
      </c>
    </row>
    <row r="34">
      <c r="A34" t="n">
        <v>29</v>
      </c>
      <c r="B34" t="inlineStr">
        <is>
          <t>Operasi</t>
        </is>
      </c>
      <c r="C34" t="inlineStr">
        <is>
          <t>CS Agent Padang (shift)</t>
        </is>
      </c>
      <c r="D34" t="inlineStr">
        <is>
          <t>Staf</t>
        </is>
      </c>
      <c r="E34" t="n">
        <v>14</v>
      </c>
      <c r="F34" s="6" t="n">
        <v>5034144.5</v>
      </c>
      <c r="G34" t="n">
        <v>11</v>
      </c>
      <c r="H34" t="n">
        <v>0</v>
      </c>
      <c r="I34" t="n">
        <v>0</v>
      </c>
      <c r="J34" t="n">
        <v>2</v>
      </c>
      <c r="K34" s="22" t="n">
        <v>1</v>
      </c>
      <c r="L34" s="22" t="n">
        <v>2</v>
      </c>
      <c r="M34">
        <f>MAX(0,H34-$K34)</f>
        <v/>
      </c>
      <c r="N34">
        <f>MAX(0,I34-$K34)</f>
        <v/>
      </c>
      <c r="O34">
        <f>MAX(0,J34-$K34)</f>
        <v/>
      </c>
      <c r="P34">
        <f>MAX(0,H34-$L34)</f>
        <v/>
      </c>
      <c r="Q34">
        <f>MAX(0,I34-$L34)</f>
        <v/>
      </c>
      <c r="R34">
        <f>MAX(0,J34-$L34)</f>
        <v/>
      </c>
      <c r="S34" s="6">
        <f>$F34*H34</f>
        <v/>
      </c>
      <c r="T34" s="6">
        <f>$F34*I34</f>
        <v/>
      </c>
      <c r="U34" s="6">
        <f>$F34*J34</f>
        <v/>
      </c>
      <c r="V34" s="6">
        <f>$F34*M34</f>
        <v/>
      </c>
      <c r="W34" s="6">
        <f>$F34*N34</f>
        <v/>
      </c>
      <c r="X34" s="6">
        <f>$F34*O34</f>
        <v/>
      </c>
      <c r="Y34" s="6">
        <f>$F34*P34</f>
        <v/>
      </c>
      <c r="Z34" s="6">
        <f>$F34*Q34</f>
        <v/>
      </c>
      <c r="AA34" s="6">
        <f>$F34*R34</f>
        <v/>
      </c>
      <c r="AB34" s="6">
        <f>$F34*$G34*$J34</f>
        <v/>
      </c>
      <c r="AC34" s="6">
        <f>$F34*$G34*MAX(0,$J34-$K34)</f>
        <v/>
      </c>
      <c r="AD34" s="6">
        <f>$F34*$G34*MAX(0,$J34-$L34)</f>
        <v/>
      </c>
    </row>
    <row r="35">
      <c r="A35" t="n">
        <v>30</v>
      </c>
      <c r="B35" t="inlineStr">
        <is>
          <t>Operasi</t>
        </is>
      </c>
      <c r="C35" t="inlineStr">
        <is>
          <t>Partner Acquisition Padang - gelombang 2</t>
        </is>
      </c>
      <c r="D35" t="inlineStr">
        <is>
          <t>Staf</t>
        </is>
      </c>
      <c r="E35" t="n">
        <v>15</v>
      </c>
      <c r="F35" s="6" t="n">
        <v>5704677</v>
      </c>
      <c r="G35" t="n">
        <v>10</v>
      </c>
      <c r="H35" t="n">
        <v>0</v>
      </c>
      <c r="I35" t="n">
        <v>0</v>
      </c>
      <c r="J35" t="n">
        <v>1</v>
      </c>
      <c r="K35" s="22" t="n">
        <v>0</v>
      </c>
      <c r="L35" s="22" t="n">
        <v>1</v>
      </c>
      <c r="M35">
        <f>MAX(0,H35-$K35)</f>
        <v/>
      </c>
      <c r="N35">
        <f>MAX(0,I35-$K35)</f>
        <v/>
      </c>
      <c r="O35">
        <f>MAX(0,J35-$K35)</f>
        <v/>
      </c>
      <c r="P35">
        <f>MAX(0,H35-$L35)</f>
        <v/>
      </c>
      <c r="Q35">
        <f>MAX(0,I35-$L35)</f>
        <v/>
      </c>
      <c r="R35">
        <f>MAX(0,J35-$L35)</f>
        <v/>
      </c>
      <c r="S35" s="6">
        <f>$F35*H35</f>
        <v/>
      </c>
      <c r="T35" s="6">
        <f>$F35*I35</f>
        <v/>
      </c>
      <c r="U35" s="6">
        <f>$F35*J35</f>
        <v/>
      </c>
      <c r="V35" s="6">
        <f>$F35*M35</f>
        <v/>
      </c>
      <c r="W35" s="6">
        <f>$F35*N35</f>
        <v/>
      </c>
      <c r="X35" s="6">
        <f>$F35*O35</f>
        <v/>
      </c>
      <c r="Y35" s="6">
        <f>$F35*P35</f>
        <v/>
      </c>
      <c r="Z35" s="6">
        <f>$F35*Q35</f>
        <v/>
      </c>
      <c r="AA35" s="6">
        <f>$F35*R35</f>
        <v/>
      </c>
      <c r="AB35" s="6">
        <f>$F35*$G35*$J35</f>
        <v/>
      </c>
      <c r="AC35" s="6">
        <f>$F35*$G35*MAX(0,$J35-$K35)</f>
        <v/>
      </c>
      <c r="AD35" s="6">
        <f>$F35*$G35*MAX(0,$J35-$L35)</f>
        <v/>
      </c>
    </row>
    <row r="36">
      <c r="A36" t="n">
        <v>31</v>
      </c>
      <c r="B36" t="inlineStr">
        <is>
          <t>Growth &amp; Partnership</t>
        </is>
      </c>
      <c r="C36" t="inlineStr">
        <is>
          <t>Head of Growth &amp; Partnership</t>
        </is>
      </c>
      <c r="D36" t="inlineStr">
        <is>
          <t>Head</t>
        </is>
      </c>
      <c r="E36" t="n">
        <v>4</v>
      </c>
      <c r="F36" s="6" t="n">
        <v>27395481</v>
      </c>
      <c r="G36" t="n">
        <v>21</v>
      </c>
      <c r="H36" t="n">
        <v>0</v>
      </c>
      <c r="I36" t="n">
        <v>1</v>
      </c>
      <c r="J36" t="n">
        <v>1</v>
      </c>
      <c r="K36" s="22" t="n">
        <v>0</v>
      </c>
      <c r="L36" s="22" t="n">
        <v>0</v>
      </c>
      <c r="M36">
        <f>MAX(0,H36-$K36)</f>
        <v/>
      </c>
      <c r="N36">
        <f>MAX(0,I36-$K36)</f>
        <v/>
      </c>
      <c r="O36">
        <f>MAX(0,J36-$K36)</f>
        <v/>
      </c>
      <c r="P36">
        <f>MAX(0,H36-$L36)</f>
        <v/>
      </c>
      <c r="Q36">
        <f>MAX(0,I36-$L36)</f>
        <v/>
      </c>
      <c r="R36">
        <f>MAX(0,J36-$L36)</f>
        <v/>
      </c>
      <c r="S36" s="6">
        <f>$F36*H36</f>
        <v/>
      </c>
      <c r="T36" s="6">
        <f>$F36*I36</f>
        <v/>
      </c>
      <c r="U36" s="6">
        <f>$F36*J36</f>
        <v/>
      </c>
      <c r="V36" s="6">
        <f>$F36*M36</f>
        <v/>
      </c>
      <c r="W36" s="6">
        <f>$F36*N36</f>
        <v/>
      </c>
      <c r="X36" s="6">
        <f>$F36*O36</f>
        <v/>
      </c>
      <c r="Y36" s="6">
        <f>$F36*P36</f>
        <v/>
      </c>
      <c r="Z36" s="6">
        <f>$F36*Q36</f>
        <v/>
      </c>
      <c r="AA36" s="6">
        <f>$F36*R36</f>
        <v/>
      </c>
      <c r="AB36" s="6">
        <f>$F36*$G36*$J36</f>
        <v/>
      </c>
      <c r="AC36" s="6">
        <f>$F36*$G36*MAX(0,$J36-$K36)</f>
        <v/>
      </c>
      <c r="AD36" s="6">
        <f>$F36*$G36*MAX(0,$J36-$L36)</f>
        <v/>
      </c>
    </row>
    <row r="37">
      <c r="A37" t="n">
        <v>32</v>
      </c>
      <c r="B37" t="inlineStr">
        <is>
          <t>Growth &amp; Partnership</t>
        </is>
      </c>
      <c r="C37" t="inlineStr">
        <is>
          <t>Digital Marketing Staff</t>
        </is>
      </c>
      <c r="D37" t="inlineStr">
        <is>
          <t>Staf</t>
        </is>
      </c>
      <c r="E37" t="n">
        <v>13</v>
      </c>
      <c r="F37" s="6" t="n">
        <v>9152990</v>
      </c>
      <c r="G37" t="n">
        <v>12</v>
      </c>
      <c r="H37" t="n">
        <v>0</v>
      </c>
      <c r="I37" t="n">
        <v>0</v>
      </c>
      <c r="J37" t="n">
        <v>1</v>
      </c>
      <c r="K37" s="22" t="n">
        <v>1</v>
      </c>
      <c r="L37" s="22" t="n">
        <v>1</v>
      </c>
      <c r="M37">
        <f>MAX(0,H37-$K37)</f>
        <v/>
      </c>
      <c r="N37">
        <f>MAX(0,I37-$K37)</f>
        <v/>
      </c>
      <c r="O37">
        <f>MAX(0,J37-$K37)</f>
        <v/>
      </c>
      <c r="P37">
        <f>MAX(0,H37-$L37)</f>
        <v/>
      </c>
      <c r="Q37">
        <f>MAX(0,I37-$L37)</f>
        <v/>
      </c>
      <c r="R37">
        <f>MAX(0,J37-$L37)</f>
        <v/>
      </c>
      <c r="S37" s="6">
        <f>$F37*H37</f>
        <v/>
      </c>
      <c r="T37" s="6">
        <f>$F37*I37</f>
        <v/>
      </c>
      <c r="U37" s="6">
        <f>$F37*J37</f>
        <v/>
      </c>
      <c r="V37" s="6">
        <f>$F37*M37</f>
        <v/>
      </c>
      <c r="W37" s="6">
        <f>$F37*N37</f>
        <v/>
      </c>
      <c r="X37" s="6">
        <f>$F37*O37</f>
        <v/>
      </c>
      <c r="Y37" s="6">
        <f>$F37*P37</f>
        <v/>
      </c>
      <c r="Z37" s="6">
        <f>$F37*Q37</f>
        <v/>
      </c>
      <c r="AA37" s="6">
        <f>$F37*R37</f>
        <v/>
      </c>
      <c r="AB37" s="6">
        <f>$F37*$G37*$J37</f>
        <v/>
      </c>
      <c r="AC37" s="6">
        <f>$F37*$G37*MAX(0,$J37-$K37)</f>
        <v/>
      </c>
      <c r="AD37" s="6">
        <f>$F37*$G37*MAX(0,$J37-$L37)</f>
        <v/>
      </c>
    </row>
    <row r="38">
      <c r="A38" t="n">
        <v>33</v>
      </c>
      <c r="B38" t="inlineStr">
        <is>
          <t>Growth &amp; Partnership</t>
        </is>
      </c>
      <c r="C38" t="inlineStr">
        <is>
          <t>Merchant Acquisition Officer</t>
        </is>
      </c>
      <c r="D38" t="inlineStr">
        <is>
          <t>Staf</t>
        </is>
      </c>
      <c r="E38" t="n">
        <v>13</v>
      </c>
      <c r="F38" s="6" t="n">
        <v>6884955</v>
      </c>
      <c r="G38" t="n">
        <v>12</v>
      </c>
      <c r="H38" t="n">
        <v>0</v>
      </c>
      <c r="I38" t="n">
        <v>0</v>
      </c>
      <c r="J38" t="n">
        <v>1</v>
      </c>
      <c r="K38" s="22" t="n">
        <v>0</v>
      </c>
      <c r="L38" s="22" t="n">
        <v>1</v>
      </c>
      <c r="M38">
        <f>MAX(0,H38-$K38)</f>
        <v/>
      </c>
      <c r="N38">
        <f>MAX(0,I38-$K38)</f>
        <v/>
      </c>
      <c r="O38">
        <f>MAX(0,J38-$K38)</f>
        <v/>
      </c>
      <c r="P38">
        <f>MAX(0,H38-$L38)</f>
        <v/>
      </c>
      <c r="Q38">
        <f>MAX(0,I38-$L38)</f>
        <v/>
      </c>
      <c r="R38">
        <f>MAX(0,J38-$L38)</f>
        <v/>
      </c>
      <c r="S38" s="6">
        <f>$F38*H38</f>
        <v/>
      </c>
      <c r="T38" s="6">
        <f>$F38*I38</f>
        <v/>
      </c>
      <c r="U38" s="6">
        <f>$F38*J38</f>
        <v/>
      </c>
      <c r="V38" s="6">
        <f>$F38*M38</f>
        <v/>
      </c>
      <c r="W38" s="6">
        <f>$F38*N38</f>
        <v/>
      </c>
      <c r="X38" s="6">
        <f>$F38*O38</f>
        <v/>
      </c>
      <c r="Y38" s="6">
        <f>$F38*P38</f>
        <v/>
      </c>
      <c r="Z38" s="6">
        <f>$F38*Q38</f>
        <v/>
      </c>
      <c r="AA38" s="6">
        <f>$F38*R38</f>
        <v/>
      </c>
      <c r="AB38" s="6">
        <f>$F38*$G38*$J38</f>
        <v/>
      </c>
      <c r="AC38" s="6">
        <f>$F38*$G38*MAX(0,$J38-$K38)</f>
        <v/>
      </c>
      <c r="AD38" s="6">
        <f>$F38*$G38*MAX(0,$J38-$L38)</f>
        <v/>
      </c>
    </row>
    <row r="39">
      <c r="A39" t="n">
        <v>34</v>
      </c>
      <c r="B39" t="inlineStr">
        <is>
          <t>Keuangan</t>
        </is>
      </c>
      <c r="C39" t="inlineStr">
        <is>
          <t>Head of Finance</t>
        </is>
      </c>
      <c r="D39" t="inlineStr">
        <is>
          <t>C-Level</t>
        </is>
      </c>
      <c r="E39" t="n">
        <v>2</v>
      </c>
      <c r="F39" s="6" t="n">
        <v>25533126</v>
      </c>
      <c r="G39" t="n">
        <v>23</v>
      </c>
      <c r="H39" t="n">
        <v>1</v>
      </c>
      <c r="I39" t="n">
        <v>1</v>
      </c>
      <c r="J39" t="n">
        <v>1</v>
      </c>
      <c r="K39" s="22" t="n">
        <v>0</v>
      </c>
      <c r="L39" s="22" t="n">
        <v>0</v>
      </c>
      <c r="M39">
        <f>MAX(0,H39-$K39)</f>
        <v/>
      </c>
      <c r="N39">
        <f>MAX(0,I39-$K39)</f>
        <v/>
      </c>
      <c r="O39">
        <f>MAX(0,J39-$K39)</f>
        <v/>
      </c>
      <c r="P39">
        <f>MAX(0,H39-$L39)</f>
        <v/>
      </c>
      <c r="Q39">
        <f>MAX(0,I39-$L39)</f>
        <v/>
      </c>
      <c r="R39">
        <f>MAX(0,J39-$L39)</f>
        <v/>
      </c>
      <c r="S39" s="6">
        <f>$F39*H39</f>
        <v/>
      </c>
      <c r="T39" s="6">
        <f>$F39*I39</f>
        <v/>
      </c>
      <c r="U39" s="6">
        <f>$F39*J39</f>
        <v/>
      </c>
      <c r="V39" s="6">
        <f>$F39*M39</f>
        <v/>
      </c>
      <c r="W39" s="6">
        <f>$F39*N39</f>
        <v/>
      </c>
      <c r="X39" s="6">
        <f>$F39*O39</f>
        <v/>
      </c>
      <c r="Y39" s="6">
        <f>$F39*P39</f>
        <v/>
      </c>
      <c r="Z39" s="6">
        <f>$F39*Q39</f>
        <v/>
      </c>
      <c r="AA39" s="6">
        <f>$F39*R39</f>
        <v/>
      </c>
      <c r="AB39" s="6">
        <f>$F39*$G39*$J39</f>
        <v/>
      </c>
      <c r="AC39" s="6">
        <f>$F39*$G39*MAX(0,$J39-$K39)</f>
        <v/>
      </c>
      <c r="AD39" s="6">
        <f>$F39*$G39*MAX(0,$J39-$L39)</f>
        <v/>
      </c>
    </row>
    <row r="40">
      <c r="A40" t="n">
        <v>35</v>
      </c>
      <c r="B40" t="inlineStr">
        <is>
          <t>Keuangan</t>
        </is>
      </c>
      <c r="C40" t="inlineStr">
        <is>
          <t>Finance &amp; Accounting Staff</t>
        </is>
      </c>
      <c r="D40" t="inlineStr">
        <is>
          <t>Staf</t>
        </is>
      </c>
      <c r="E40" t="n">
        <v>4</v>
      </c>
      <c r="F40" s="6" t="n">
        <v>8499205</v>
      </c>
      <c r="G40" t="n">
        <v>21</v>
      </c>
      <c r="H40" t="n">
        <v>0</v>
      </c>
      <c r="I40" t="n">
        <v>1</v>
      </c>
      <c r="J40" t="n">
        <v>1</v>
      </c>
      <c r="K40" s="22" t="n">
        <v>0</v>
      </c>
      <c r="L40" s="22" t="n">
        <v>0</v>
      </c>
      <c r="M40">
        <f>MAX(0,H40-$K40)</f>
        <v/>
      </c>
      <c r="N40">
        <f>MAX(0,I40-$K40)</f>
        <v/>
      </c>
      <c r="O40">
        <f>MAX(0,J40-$K40)</f>
        <v/>
      </c>
      <c r="P40">
        <f>MAX(0,H40-$L40)</f>
        <v/>
      </c>
      <c r="Q40">
        <f>MAX(0,I40-$L40)</f>
        <v/>
      </c>
      <c r="R40">
        <f>MAX(0,J40-$L40)</f>
        <v/>
      </c>
      <c r="S40" s="6">
        <f>$F40*H40</f>
        <v/>
      </c>
      <c r="T40" s="6">
        <f>$F40*I40</f>
        <v/>
      </c>
      <c r="U40" s="6">
        <f>$F40*J40</f>
        <v/>
      </c>
      <c r="V40" s="6">
        <f>$F40*M40</f>
        <v/>
      </c>
      <c r="W40" s="6">
        <f>$F40*N40</f>
        <v/>
      </c>
      <c r="X40" s="6">
        <f>$F40*O40</f>
        <v/>
      </c>
      <c r="Y40" s="6">
        <f>$F40*P40</f>
        <v/>
      </c>
      <c r="Z40" s="6">
        <f>$F40*Q40</f>
        <v/>
      </c>
      <c r="AA40" s="6">
        <f>$F40*R40</f>
        <v/>
      </c>
      <c r="AB40" s="6">
        <f>$F40*$G40*$J40</f>
        <v/>
      </c>
      <c r="AC40" s="6">
        <f>$F40*$G40*MAX(0,$J40-$K40)</f>
        <v/>
      </c>
      <c r="AD40" s="6">
        <f>$F40*$G40*MAX(0,$J40-$L40)</f>
        <v/>
      </c>
    </row>
    <row r="41">
      <c r="A41" t="n">
        <v>36</v>
      </c>
      <c r="B41" t="inlineStr">
        <is>
          <t>Keuangan</t>
        </is>
      </c>
      <c r="C41" t="inlineStr">
        <is>
          <t>Treasury/Settlement Officer</t>
        </is>
      </c>
      <c r="D41" t="inlineStr">
        <is>
          <t>Staf Senior</t>
        </is>
      </c>
      <c r="E41" t="n">
        <v>13</v>
      </c>
      <c r="F41" s="6" t="n">
        <v>10624006.25</v>
      </c>
      <c r="G41" t="n">
        <v>12</v>
      </c>
      <c r="H41" t="n">
        <v>0</v>
      </c>
      <c r="I41" t="n">
        <v>0</v>
      </c>
      <c r="J41" t="n">
        <v>1</v>
      </c>
      <c r="K41" s="22" t="n">
        <v>0</v>
      </c>
      <c r="L41" s="22" t="n">
        <v>1</v>
      </c>
      <c r="M41">
        <f>MAX(0,H41-$K41)</f>
        <v/>
      </c>
      <c r="N41">
        <f>MAX(0,I41-$K41)</f>
        <v/>
      </c>
      <c r="O41">
        <f>MAX(0,J41-$K41)</f>
        <v/>
      </c>
      <c r="P41">
        <f>MAX(0,H41-$L41)</f>
        <v/>
      </c>
      <c r="Q41">
        <f>MAX(0,I41-$L41)</f>
        <v/>
      </c>
      <c r="R41">
        <f>MAX(0,J41-$L41)</f>
        <v/>
      </c>
      <c r="S41" s="6">
        <f>$F41*H41</f>
        <v/>
      </c>
      <c r="T41" s="6">
        <f>$F41*I41</f>
        <v/>
      </c>
      <c r="U41" s="6">
        <f>$F41*J41</f>
        <v/>
      </c>
      <c r="V41" s="6">
        <f>$F41*M41</f>
        <v/>
      </c>
      <c r="W41" s="6">
        <f>$F41*N41</f>
        <v/>
      </c>
      <c r="X41" s="6">
        <f>$F41*O41</f>
        <v/>
      </c>
      <c r="Y41" s="6">
        <f>$F41*P41</f>
        <v/>
      </c>
      <c r="Z41" s="6">
        <f>$F41*Q41</f>
        <v/>
      </c>
      <c r="AA41" s="6">
        <f>$F41*R41</f>
        <v/>
      </c>
      <c r="AB41" s="6">
        <f>$F41*$G41*$J41</f>
        <v/>
      </c>
      <c r="AC41" s="6">
        <f>$F41*$G41*MAX(0,$J41-$K41)</f>
        <v/>
      </c>
      <c r="AD41" s="6">
        <f>$F41*$G41*MAX(0,$J41-$L41)</f>
        <v/>
      </c>
    </row>
    <row r="42">
      <c r="A42" t="n">
        <v>37</v>
      </c>
      <c r="B42" t="inlineStr">
        <is>
          <t>Keuangan</t>
        </is>
      </c>
      <c r="C42" t="inlineStr">
        <is>
          <t>Finance &amp; Accounting Staff - Padang</t>
        </is>
      </c>
      <c r="D42" t="inlineStr">
        <is>
          <t>Staf</t>
        </is>
      </c>
      <c r="E42" t="n">
        <v>16</v>
      </c>
      <c r="F42" s="6" t="n">
        <v>7191635</v>
      </c>
      <c r="G42" t="n">
        <v>9</v>
      </c>
      <c r="H42" t="n">
        <v>0</v>
      </c>
      <c r="I42" t="n">
        <v>0</v>
      </c>
      <c r="J42" t="n">
        <v>1</v>
      </c>
      <c r="K42" s="22" t="n">
        <v>1</v>
      </c>
      <c r="L42" s="22" t="n">
        <v>1</v>
      </c>
      <c r="M42">
        <f>MAX(0,H42-$K42)</f>
        <v/>
      </c>
      <c r="N42">
        <f>MAX(0,I42-$K42)</f>
        <v/>
      </c>
      <c r="O42">
        <f>MAX(0,J42-$K42)</f>
        <v/>
      </c>
      <c r="P42">
        <f>MAX(0,H42-$L42)</f>
        <v/>
      </c>
      <c r="Q42">
        <f>MAX(0,I42-$L42)</f>
        <v/>
      </c>
      <c r="R42">
        <f>MAX(0,J42-$L42)</f>
        <v/>
      </c>
      <c r="S42" s="6">
        <f>$F42*H42</f>
        <v/>
      </c>
      <c r="T42" s="6">
        <f>$F42*I42</f>
        <v/>
      </c>
      <c r="U42" s="6">
        <f>$F42*J42</f>
        <v/>
      </c>
      <c r="V42" s="6">
        <f>$F42*M42</f>
        <v/>
      </c>
      <c r="W42" s="6">
        <f>$F42*N42</f>
        <v/>
      </c>
      <c r="X42" s="6">
        <f>$F42*O42</f>
        <v/>
      </c>
      <c r="Y42" s="6">
        <f>$F42*P42</f>
        <v/>
      </c>
      <c r="Z42" s="6">
        <f>$F42*Q42</f>
        <v/>
      </c>
      <c r="AA42" s="6">
        <f>$F42*R42</f>
        <v/>
      </c>
      <c r="AB42" s="6">
        <f>$F42*$G42*$J42</f>
        <v/>
      </c>
      <c r="AC42" s="6">
        <f>$F42*$G42*MAX(0,$J42-$K42)</f>
        <v/>
      </c>
      <c r="AD42" s="6">
        <f>$F42*$G42*MAX(0,$J42-$L42)</f>
        <v/>
      </c>
    </row>
    <row r="43">
      <c r="A43" t="n">
        <v>38</v>
      </c>
      <c r="B43" t="inlineStr">
        <is>
          <t>Legal &amp; Kepatuhan</t>
        </is>
      </c>
      <c r="C43" t="inlineStr">
        <is>
          <t>Head of Legal &amp; Compliance (merangkap DPO)</t>
        </is>
      </c>
      <c r="D43" t="inlineStr">
        <is>
          <t>Head</t>
        </is>
      </c>
      <c r="E43" t="n">
        <v>4</v>
      </c>
      <c r="F43" s="6" t="n">
        <v>17462921</v>
      </c>
      <c r="G43" t="n">
        <v>21</v>
      </c>
      <c r="H43" t="n">
        <v>0</v>
      </c>
      <c r="I43" t="n">
        <v>1</v>
      </c>
      <c r="J43" t="n">
        <v>1</v>
      </c>
      <c r="K43" s="22" t="n">
        <v>0</v>
      </c>
      <c r="L43" s="22" t="n">
        <v>0</v>
      </c>
      <c r="M43">
        <f>MAX(0,H43-$K43)</f>
        <v/>
      </c>
      <c r="N43">
        <f>MAX(0,I43-$K43)</f>
        <v/>
      </c>
      <c r="O43">
        <f>MAX(0,J43-$K43)</f>
        <v/>
      </c>
      <c r="P43">
        <f>MAX(0,H43-$L43)</f>
        <v/>
      </c>
      <c r="Q43">
        <f>MAX(0,I43-$L43)</f>
        <v/>
      </c>
      <c r="R43">
        <f>MAX(0,J43-$L43)</f>
        <v/>
      </c>
      <c r="S43" s="6">
        <f>$F43*H43</f>
        <v/>
      </c>
      <c r="T43" s="6">
        <f>$F43*I43</f>
        <v/>
      </c>
      <c r="U43" s="6">
        <f>$F43*J43</f>
        <v/>
      </c>
      <c r="V43" s="6">
        <f>$F43*M43</f>
        <v/>
      </c>
      <c r="W43" s="6">
        <f>$F43*N43</f>
        <v/>
      </c>
      <c r="X43" s="6">
        <f>$F43*O43</f>
        <v/>
      </c>
      <c r="Y43" s="6">
        <f>$F43*P43</f>
        <v/>
      </c>
      <c r="Z43" s="6">
        <f>$F43*Q43</f>
        <v/>
      </c>
      <c r="AA43" s="6">
        <f>$F43*R43</f>
        <v/>
      </c>
      <c r="AB43" s="6">
        <f>$F43*$G43*$J43</f>
        <v/>
      </c>
      <c r="AC43" s="6">
        <f>$F43*$G43*MAX(0,$J43-$K43)</f>
        <v/>
      </c>
      <c r="AD43" s="6">
        <f>$F43*$G43*MAX(0,$J43-$L43)</f>
        <v/>
      </c>
    </row>
    <row r="44">
      <c r="C44" s="12" t="inlineStr">
        <is>
          <t>TOTAL</t>
        </is>
      </c>
      <c r="H44" s="13">
        <f>SUM(H6:H43)</f>
        <v/>
      </c>
      <c r="I44" s="13">
        <f>SUM(I6:I43)</f>
        <v/>
      </c>
      <c r="J44" s="13">
        <f>SUM(J6:J43)</f>
        <v/>
      </c>
      <c r="M44" s="13">
        <f>SUM(M6:M43)</f>
        <v/>
      </c>
      <c r="N44" s="13">
        <f>SUM(N6:N43)</f>
        <v/>
      </c>
      <c r="O44" s="13">
        <f>SUM(O6:O43)</f>
        <v/>
      </c>
      <c r="P44" s="13">
        <f>SUM(P6:P43)</f>
        <v/>
      </c>
      <c r="Q44" s="13">
        <f>SUM(Q6:Q43)</f>
        <v/>
      </c>
      <c r="R44" s="13">
        <f>SUM(R6:R43)</f>
        <v/>
      </c>
      <c r="S44" s="13">
        <f>SUM(S6:S43)</f>
        <v/>
      </c>
      <c r="T44" s="13">
        <f>SUM(T6:T43)</f>
        <v/>
      </c>
      <c r="U44" s="13">
        <f>SUM(U6:U43)</f>
        <v/>
      </c>
      <c r="V44" s="13">
        <f>SUM(V6:V43)</f>
        <v/>
      </c>
      <c r="W44" s="13">
        <f>SUM(W6:W43)</f>
        <v/>
      </c>
      <c r="X44" s="13">
        <f>SUM(X6:X43)</f>
        <v/>
      </c>
      <c r="Y44" s="13">
        <f>SUM(Y6:Y43)</f>
        <v/>
      </c>
      <c r="Z44" s="13">
        <f>SUM(Z6:Z43)</f>
        <v/>
      </c>
      <c r="AA44" s="13">
        <f>SUM(AA6:AA43)</f>
        <v/>
      </c>
      <c r="AB44" s="13">
        <f>SUM(AB6:AB43)</f>
        <v/>
      </c>
      <c r="AC44" s="13">
        <f>SUM(AC6:AC43)</f>
        <v/>
      </c>
      <c r="AD44" s="13">
        <f>SUM(AD6:AD43)</f>
        <v/>
      </c>
    </row>
    <row r="45">
      <c r="C45" s="21" t="inlineStr">
        <is>
          <t>UJI vs model lama (harus 0)</t>
        </is>
      </c>
      <c r="J45">
        <f>J44-42</f>
        <v/>
      </c>
      <c r="U45" s="23">
        <f>U44-636272061.75</f>
        <v/>
      </c>
      <c r="AB45" s="23">
        <f>AB44-11689208853</f>
        <v/>
      </c>
    </row>
    <row r="47">
      <c r="A47" s="3" t="inlineStr">
        <is>
          <t>PERBANDINGAN TIGA SKENARIO (run-rate per bulan pada akhir tiap fase)</t>
        </is>
      </c>
    </row>
    <row r="48">
      <c r="A48" s="5" t="inlineStr">
        <is>
          <t>Pos</t>
        </is>
      </c>
      <c r="B48" s="5" t="inlineStr"/>
      <c r="C48" s="5" t="inlineStr"/>
      <c r="D48" s="5" t="inlineStr"/>
      <c r="E48" s="5" t="inlineStr"/>
      <c r="F48" s="5" t="inlineStr">
        <is>
          <t>Fase 0 - A</t>
        </is>
      </c>
      <c r="G48" s="5" t="inlineStr">
        <is>
          <t>Fase 0 - B</t>
        </is>
      </c>
      <c r="H48" s="5" t="inlineStr">
        <is>
          <t>Fase 0 - C</t>
        </is>
      </c>
      <c r="I48" s="5" t="inlineStr">
        <is>
          <t>Fase 1 - A</t>
        </is>
      </c>
      <c r="J48" s="5" t="inlineStr">
        <is>
          <t>Fase 1 - B</t>
        </is>
      </c>
      <c r="K48" s="5" t="inlineStr">
        <is>
          <t>Fase 1 - C</t>
        </is>
      </c>
      <c r="L48" s="5" t="inlineStr">
        <is>
          <t>Fase 2 - A</t>
        </is>
      </c>
      <c r="M48" s="5" t="inlineStr">
        <is>
          <t>Fase 2 - B</t>
        </is>
      </c>
      <c r="N48" s="5" t="inlineStr">
        <is>
          <t>Fase 2 - C</t>
        </is>
      </c>
    </row>
    <row r="49">
      <c r="A49" s="12" t="inlineStr">
        <is>
          <t>Jumlah karyawan (headcount)</t>
        </is>
      </c>
      <c r="F49" s="24">
        <f>H44</f>
        <v/>
      </c>
      <c r="G49" s="24">
        <f>M44</f>
        <v/>
      </c>
      <c r="H49" s="24">
        <f>P44</f>
        <v/>
      </c>
      <c r="I49" s="24">
        <f>I44</f>
        <v/>
      </c>
      <c r="J49" s="24">
        <f>N44</f>
        <v/>
      </c>
      <c r="K49" s="24">
        <f>Q44</f>
        <v/>
      </c>
      <c r="L49" s="24">
        <f>J44</f>
        <v/>
      </c>
      <c r="M49" s="24">
        <f>O44</f>
        <v/>
      </c>
      <c r="N49" s="24">
        <f>R44</f>
        <v/>
      </c>
    </row>
    <row r="50">
      <c r="A50" t="inlineStr">
        <is>
          <t>Biaya SDM per bulan (gaji + iuran + THR), Rp</t>
        </is>
      </c>
      <c r="F50" s="6">
        <f>S44</f>
        <v/>
      </c>
      <c r="G50" s="6">
        <f>V44</f>
        <v/>
      </c>
      <c r="H50" s="6">
        <f>Y44</f>
        <v/>
      </c>
      <c r="I50" s="6">
        <f>T44</f>
        <v/>
      </c>
      <c r="J50" s="6">
        <f>W44</f>
        <v/>
      </c>
      <c r="K50" s="6">
        <f>Z44</f>
        <v/>
      </c>
      <c r="L50" s="6">
        <f>U44</f>
        <v/>
      </c>
      <c r="M50" s="6">
        <f>X44</f>
        <v/>
      </c>
      <c r="N50" s="6">
        <f>AA44</f>
        <v/>
      </c>
    </row>
    <row r="51">
      <c r="A51" t="inlineStr">
        <is>
          <t>Biaya non-gaji melekat SDM per bulan, Rp (kursi, lisensi dasar, asuransi, pelatihan)</t>
        </is>
      </c>
      <c r="F51" s="6">
        <f>F49*2150000.000000</f>
        <v/>
      </c>
      <c r="G51" s="6">
        <f>G49*2150000.000000</f>
        <v/>
      </c>
      <c r="H51" s="6">
        <f>H49*2150000.000000</f>
        <v/>
      </c>
      <c r="I51" s="6">
        <f>I49*2000000.000000</f>
        <v/>
      </c>
      <c r="J51" s="6">
        <f>J49*2000000.000000</f>
        <v/>
      </c>
      <c r="K51" s="6">
        <f>K49*2000000.000000</f>
        <v/>
      </c>
      <c r="L51" s="6">
        <f>L49*1864285.714286</f>
        <v/>
      </c>
      <c r="M51" s="6">
        <f>M49*1864285.714286</f>
        <v/>
      </c>
      <c r="N51" s="6">
        <f>N49*1864285.714286</f>
        <v/>
      </c>
    </row>
    <row r="52">
      <c r="A52" t="inlineStr">
        <is>
          <t>Biaya AI per bulan (tool + biaya tersembunyi berulang), Rp</t>
        </is>
      </c>
      <c r="F52" s="6" t="n">
        <v>0</v>
      </c>
      <c r="G52" s="6">
        <f>AI_B_F0</f>
        <v/>
      </c>
      <c r="H52" s="6">
        <f>AI_C_F0</f>
        <v/>
      </c>
      <c r="I52" s="6" t="n">
        <v>0</v>
      </c>
      <c r="J52" s="6">
        <f>AI_B_F1</f>
        <v/>
      </c>
      <c r="K52" s="6">
        <f>AI_C_F1</f>
        <v/>
      </c>
      <c r="L52" s="6" t="n">
        <v>0</v>
      </c>
      <c r="M52" s="6">
        <f>AI_B_F2</f>
        <v/>
      </c>
      <c r="N52" s="6">
        <f>AI_C_F2</f>
        <v/>
      </c>
    </row>
    <row r="53">
      <c r="A53" s="12" t="inlineStr">
        <is>
          <t>TOTAL BIAYA TERKAIT SDM + AI PER BULAN, Rp</t>
        </is>
      </c>
      <c r="F53" s="13">
        <f>F50+F51+F52</f>
        <v/>
      </c>
      <c r="G53" s="13">
        <f>G50+G51+G52</f>
        <v/>
      </c>
      <c r="H53" s="13">
        <f>H50+H51+H52</f>
        <v/>
      </c>
      <c r="I53" s="13">
        <f>I50+I51+I52</f>
        <v/>
      </c>
      <c r="J53" s="13">
        <f>J50+J51+J52</f>
        <v/>
      </c>
      <c r="K53" s="13">
        <f>K50+K51+K52</f>
        <v/>
      </c>
      <c r="L53" s="13">
        <f>L50+L51+L52</f>
        <v/>
      </c>
      <c r="M53" s="13">
        <f>M50+M51+M52</f>
        <v/>
      </c>
      <c r="N53" s="13">
        <f>N50+N51+N52</f>
        <v/>
      </c>
    </row>
    <row r="54">
      <c r="A54" t="inlineStr">
        <is>
          <t>Penghematan terhadap Skenario A per bulan, Rp (negatif = lebih mahal)</t>
        </is>
      </c>
      <c r="F54" s="6">
        <f>F53-F53</f>
        <v/>
      </c>
      <c r="G54" s="6">
        <f>F53-G53</f>
        <v/>
      </c>
      <c r="H54" s="6">
        <f>F53-H53</f>
        <v/>
      </c>
      <c r="I54" s="6">
        <f>I53-I53</f>
        <v/>
      </c>
      <c r="J54" s="6">
        <f>I53-J53</f>
        <v/>
      </c>
      <c r="K54" s="6">
        <f>I53-K53</f>
        <v/>
      </c>
      <c r="L54" s="6">
        <f>L53-L53</f>
        <v/>
      </c>
      <c r="M54" s="6">
        <f>L53-M53</f>
        <v/>
      </c>
      <c r="N54" s="6">
        <f>L53-N53</f>
        <v/>
      </c>
    </row>
    <row r="55">
      <c r="A55" t="inlineStr">
        <is>
          <t>Penghematan terhadap Skenario A, %</t>
        </is>
      </c>
      <c r="F55" s="7">
        <f>IF(F53=0,0,(F53-F53)/F53)</f>
        <v/>
      </c>
      <c r="G55" s="7">
        <f>IF(F53=0,0,(F53-G53)/F53)</f>
        <v/>
      </c>
      <c r="H55" s="7">
        <f>IF(F53=0,0,(F53-H53)/F53)</f>
        <v/>
      </c>
      <c r="I55" s="7">
        <f>IF(I53=0,0,(I53-I53)/I53)</f>
        <v/>
      </c>
      <c r="J55" s="7">
        <f>IF(I53=0,0,(I53-J53)/I53)</f>
        <v/>
      </c>
      <c r="K55" s="7">
        <f>IF(I53=0,0,(I53-K53)/I53)</f>
        <v/>
      </c>
      <c r="L55" s="7">
        <f>IF(L53=0,0,(L53-L53)/L53)</f>
        <v/>
      </c>
      <c r="M55" s="7">
        <f>IF(L53=0,0,(L53-M53)/L53)</f>
        <v/>
      </c>
      <c r="N55" s="7">
        <f>IF(L53=0,0,(L53-N53)/L53)</f>
        <v/>
      </c>
    </row>
    <row r="56">
      <c r="A56" t="inlineStr">
        <is>
          <t>Pengurangan headcount terhadap Skenario A (orang)</t>
        </is>
      </c>
      <c r="F56" s="6">
        <f>F49-F49</f>
        <v/>
      </c>
      <c r="G56" s="6">
        <f>F49-G49</f>
        <v/>
      </c>
      <c r="H56" s="6">
        <f>F49-H49</f>
        <v/>
      </c>
      <c r="I56" s="6">
        <f>I49-I49</f>
        <v/>
      </c>
      <c r="J56" s="6">
        <f>I49-J49</f>
        <v/>
      </c>
      <c r="K56" s="6">
        <f>I49-K49</f>
        <v/>
      </c>
      <c r="L56" s="6">
        <f>L49-L49</f>
        <v/>
      </c>
      <c r="M56" s="6">
        <f>L49-M49</f>
        <v/>
      </c>
      <c r="N56" s="6">
        <f>L49-N49</f>
        <v/>
      </c>
    </row>
    <row r="58">
      <c r="A58" s="3" t="inlineStr">
        <is>
          <t>Risiko utama tiap skenario</t>
        </is>
      </c>
    </row>
    <row r="59" ht="46" customHeight="1">
      <c r="A59" s="12" t="inlineStr">
        <is>
          <t>A - Semua manusia</t>
        </is>
      </c>
      <c r="B59" s="4" t="inlineStr">
        <is>
          <t>Biaya tetap tertinggi; runway terpendek. Perpres 27/2026 membatasi potongan roda dua 8% [S-25] sehingga pendapatan per order tertekan - struktur biaya ini paling rentan bila likuiditas pasar terlambat terbentuk. Tidak ada risiko baru dari otomasi.</t>
        </is>
      </c>
    </row>
    <row r="60" ht="46" customHeight="1">
      <c r="A60" s="12" t="inlineStr">
        <is>
          <t>B - Hibrida (REKOMENDASI)</t>
        </is>
      </c>
      <c r="B60" s="4" t="inlineStr">
        <is>
          <t>Ketergantungan pada 1 kontraktor pemelihara otomasi; kewajiban baru UU PDP (DPIA, Pasal 10, Pasal 56); mutu jawaban CS turun bila basis pengetahuan tidak dirawat. Pemisahan tugas keuangan TETAP utuh.</t>
        </is>
      </c>
    </row>
    <row r="61" ht="46" customHeight="1">
      <c r="A61" s="12" t="inlineStr">
        <is>
          <t>C - AI-maksimal</t>
        </is>
      </c>
      <c r="B61" s="4" t="inlineStr">
        <is>
          <t>MELANGGAR pemisahan tugas keuangan (Treasury/Settlement dihapus - DESAIN 6 &amp; SOP-07). Kanal darurat 24 jam tidak lagi terjamin (SOP-05). Backend Senior menjadi titik tunggal kegagalan pada modul dompet. Tidak layak diajukan ke uji tuntas investor.</t>
        </is>
      </c>
    </row>
  </sheetData>
  <mergeCells count="3">
    <mergeCell ref="B59:N59"/>
    <mergeCell ref="B60:N60"/>
    <mergeCell ref="B61:N6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AntarKita - Perbandingan Bulan 1-24: Skenario A / B / C</t>
        </is>
      </c>
    </row>
    <row r="2">
      <c r="A2" s="8" t="inlineStr">
        <is>
          <t>Aturan aktivasi posisi identik dengan model lama: orang(bulan m) = 0 bila m &lt; Bulan Mulai; selain itu = jumlah orang fase yang berlaku pada bulan m (Fase 0 = bulan 1-3, Fase 1 = bulan 4-12, Fase 2 = bulan 13-24), dikurangi kolom POTONG pada lembar 'Skenario A B C'.</t>
        </is>
      </c>
    </row>
    <row r="4">
      <c r="C4" s="12" t="inlineStr">
        <is>
          <t>BULAN KE-</t>
        </is>
      </c>
      <c r="D4" s="25" t="n">
        <v>1</v>
      </c>
      <c r="E4" s="25" t="n">
        <v>2</v>
      </c>
      <c r="F4" s="25" t="n">
        <v>3</v>
      </c>
      <c r="G4" s="25" t="n">
        <v>4</v>
      </c>
      <c r="H4" s="25" t="n">
        <v>5</v>
      </c>
      <c r="I4" s="25" t="n">
        <v>6</v>
      </c>
      <c r="J4" s="25" t="n">
        <v>7</v>
      </c>
      <c r="K4" s="25" t="n">
        <v>8</v>
      </c>
      <c r="L4" s="25" t="n">
        <v>9</v>
      </c>
      <c r="M4" s="25" t="n">
        <v>10</v>
      </c>
      <c r="N4" s="25" t="n">
        <v>11</v>
      </c>
      <c r="O4" s="25" t="n">
        <v>12</v>
      </c>
      <c r="P4" s="25" t="n">
        <v>13</v>
      </c>
      <c r="Q4" s="25" t="n">
        <v>14</v>
      </c>
      <c r="R4" s="25" t="n">
        <v>15</v>
      </c>
      <c r="S4" s="25" t="n">
        <v>16</v>
      </c>
      <c r="T4" s="25" t="n">
        <v>17</v>
      </c>
      <c r="U4" s="25" t="n">
        <v>18</v>
      </c>
      <c r="V4" s="25" t="n">
        <v>19</v>
      </c>
      <c r="W4" s="25" t="n">
        <v>20</v>
      </c>
      <c r="X4" s="25" t="n">
        <v>21</v>
      </c>
      <c r="Y4" s="25" t="n">
        <v>22</v>
      </c>
      <c r="Z4" s="25" t="n">
        <v>23</v>
      </c>
      <c r="AA4" s="25" t="n">
        <v>24</v>
      </c>
    </row>
    <row r="5">
      <c r="A5" s="12" t="inlineStr">
        <is>
          <t>Order selesai per hari (jalur pertumbuhan)</t>
        </is>
      </c>
      <c r="B5" t="inlineStr">
        <is>
          <t>[ASUMSI] jalur naik ke 600 pada bulan 12 dan 2.400 pada bulan 24 (target Bab 5)</t>
        </is>
      </c>
      <c r="D5" s="9" t="n">
        <v>0</v>
      </c>
      <c r="E5" s="9" t="n">
        <v>10</v>
      </c>
      <c r="F5" s="9" t="n">
        <v>30</v>
      </c>
      <c r="G5" s="9" t="n">
        <v>60</v>
      </c>
      <c r="H5" s="9" t="n">
        <v>100</v>
      </c>
      <c r="I5" s="9" t="n">
        <v>150</v>
      </c>
      <c r="J5" s="9" t="n">
        <v>210</v>
      </c>
      <c r="K5" s="9" t="n">
        <v>280</v>
      </c>
      <c r="L5" s="9" t="n">
        <v>350</v>
      </c>
      <c r="M5" s="9" t="n">
        <v>430</v>
      </c>
      <c r="N5" s="9" t="n">
        <v>510</v>
      </c>
      <c r="O5" s="9" t="n">
        <v>600</v>
      </c>
      <c r="P5" s="9" t="n">
        <v>700</v>
      </c>
      <c r="Q5" s="9" t="n">
        <v>820</v>
      </c>
      <c r="R5" s="9" t="n">
        <v>950</v>
      </c>
      <c r="S5" s="9" t="n">
        <v>1090</v>
      </c>
      <c r="T5" s="9" t="n">
        <v>1240</v>
      </c>
      <c r="U5" s="9" t="n">
        <v>1400</v>
      </c>
      <c r="V5" s="9" t="n">
        <v>1570</v>
      </c>
      <c r="W5" s="9" t="n">
        <v>1750</v>
      </c>
      <c r="X5" s="9" t="n">
        <v>1940</v>
      </c>
      <c r="Y5" s="9" t="n">
        <v>2100</v>
      </c>
      <c r="Z5" s="9" t="n">
        <v>2250</v>
      </c>
      <c r="AA5" s="9" t="n">
        <v>2400</v>
      </c>
    </row>
    <row r="6">
      <c r="A6" t="inlineStr">
        <is>
          <t>Order selesai per bulan</t>
        </is>
      </c>
      <c r="D6" s="6">
        <f>D5*Hari_Bulan</f>
        <v/>
      </c>
      <c r="E6" s="6">
        <f>E5*Hari_Bulan</f>
        <v/>
      </c>
      <c r="F6" s="6">
        <f>F5*Hari_Bulan</f>
        <v/>
      </c>
      <c r="G6" s="6">
        <f>G5*Hari_Bulan</f>
        <v/>
      </c>
      <c r="H6" s="6">
        <f>H5*Hari_Bulan</f>
        <v/>
      </c>
      <c r="I6" s="6">
        <f>I5*Hari_Bulan</f>
        <v/>
      </c>
      <c r="J6" s="6">
        <f>J5*Hari_Bulan</f>
        <v/>
      </c>
      <c r="K6" s="6">
        <f>K5*Hari_Bulan</f>
        <v/>
      </c>
      <c r="L6" s="6">
        <f>L5*Hari_Bulan</f>
        <v/>
      </c>
      <c r="M6" s="6">
        <f>M5*Hari_Bulan</f>
        <v/>
      </c>
      <c r="N6" s="6">
        <f>N5*Hari_Bulan</f>
        <v/>
      </c>
      <c r="O6" s="6">
        <f>O5*Hari_Bulan</f>
        <v/>
      </c>
      <c r="P6" s="6">
        <f>P5*Hari_Bulan</f>
        <v/>
      </c>
      <c r="Q6" s="6">
        <f>Q5*Hari_Bulan</f>
        <v/>
      </c>
      <c r="R6" s="6">
        <f>R5*Hari_Bulan</f>
        <v/>
      </c>
      <c r="S6" s="6">
        <f>S5*Hari_Bulan</f>
        <v/>
      </c>
      <c r="T6" s="6">
        <f>T5*Hari_Bulan</f>
        <v/>
      </c>
      <c r="U6" s="6">
        <f>U5*Hari_Bulan</f>
        <v/>
      </c>
      <c r="V6" s="6">
        <f>V5*Hari_Bulan</f>
        <v/>
      </c>
      <c r="W6" s="6">
        <f>W5*Hari_Bulan</f>
        <v/>
      </c>
      <c r="X6" s="6">
        <f>X5*Hari_Bulan</f>
        <v/>
      </c>
      <c r="Y6" s="6">
        <f>Y5*Hari_Bulan</f>
        <v/>
      </c>
      <c r="Z6" s="6">
        <f>Z5*Hari_Bulan</f>
        <v/>
      </c>
      <c r="AA6" s="6">
        <f>AA5*Hari_Bulan</f>
        <v/>
      </c>
    </row>
    <row r="7">
      <c r="A7" t="inlineStr">
        <is>
          <t>Tiket masuk per bulan</t>
        </is>
      </c>
      <c r="D7" s="6">
        <f>D6*Tiket_Per1000_Th1/1000</f>
        <v/>
      </c>
      <c r="E7" s="6">
        <f>E6*Tiket_Per1000_Th1/1000</f>
        <v/>
      </c>
      <c r="F7" s="6">
        <f>F6*Tiket_Per1000_Th1/1000</f>
        <v/>
      </c>
      <c r="G7" s="6">
        <f>G6*Tiket_Per1000_Th1/1000</f>
        <v/>
      </c>
      <c r="H7" s="6">
        <f>H6*Tiket_Per1000_Th1/1000</f>
        <v/>
      </c>
      <c r="I7" s="6">
        <f>I6*Tiket_Per1000_Th1/1000</f>
        <v/>
      </c>
      <c r="J7" s="6">
        <f>J6*Tiket_Per1000_Th1/1000</f>
        <v/>
      </c>
      <c r="K7" s="6">
        <f>K6*Tiket_Per1000_Th1/1000</f>
        <v/>
      </c>
      <c r="L7" s="6">
        <f>L6*Tiket_Per1000_Th1/1000</f>
        <v/>
      </c>
      <c r="M7" s="6">
        <f>M6*Tiket_Per1000_Th1/1000</f>
        <v/>
      </c>
      <c r="N7" s="6">
        <f>N6*Tiket_Per1000_Th1/1000</f>
        <v/>
      </c>
      <c r="O7" s="6">
        <f>O6*Tiket_Per1000_Th1/1000</f>
        <v/>
      </c>
      <c r="P7" s="6">
        <f>P6*Tiket_Per1000_Th2/1000</f>
        <v/>
      </c>
      <c r="Q7" s="6">
        <f>Q6*Tiket_Per1000_Th2/1000</f>
        <v/>
      </c>
      <c r="R7" s="6">
        <f>R6*Tiket_Per1000_Th2/1000</f>
        <v/>
      </c>
      <c r="S7" s="6">
        <f>S6*Tiket_Per1000_Th2/1000</f>
        <v/>
      </c>
      <c r="T7" s="6">
        <f>T6*Tiket_Per1000_Th2/1000</f>
        <v/>
      </c>
      <c r="U7" s="6">
        <f>U6*Tiket_Per1000_Th2/1000</f>
        <v/>
      </c>
      <c r="V7" s="6">
        <f>V6*Tiket_Per1000_Th2/1000</f>
        <v/>
      </c>
      <c r="W7" s="6">
        <f>W6*Tiket_Per1000_Th2/1000</f>
        <v/>
      </c>
      <c r="X7" s="6">
        <f>X6*Tiket_Per1000_Th2/1000</f>
        <v/>
      </c>
      <c r="Y7" s="6">
        <f>Y6*Tiket_Per1000_Th2/1000</f>
        <v/>
      </c>
      <c r="Z7" s="6">
        <f>Z6*Tiket_Per1000_Th2/1000</f>
        <v/>
      </c>
      <c r="AA7" s="6">
        <f>AA6*Tiket_Per1000_Th2/1000</f>
        <v/>
      </c>
    </row>
    <row r="9">
      <c r="A9" s="3" t="inlineStr">
        <is>
          <t>A. JUMLAH ORANG AKTIF PER BULAN - SKENARIO A (semua manusia)</t>
        </is>
      </c>
    </row>
    <row r="10">
      <c r="A10" t="inlineStr">
        <is>
          <t>Direktur Utama (CEO)</t>
        </is>
      </c>
      <c r="B10" s="6">
        <f>'Skenario A B C'!$F$6</f>
        <v/>
      </c>
      <c r="D10">
        <f>IF(1&lt;'Skenario A B C'!$E$6,0,MAX(0,'Skenario A B C'!$H$6-'Skenario A B C'!$AE$6))</f>
        <v/>
      </c>
      <c r="E10">
        <f>IF(2&lt;'Skenario A B C'!$E$6,0,MAX(0,'Skenario A B C'!$H$6-'Skenario A B C'!$AE$6))</f>
        <v/>
      </c>
      <c r="F10">
        <f>IF(3&lt;'Skenario A B C'!$E$6,0,MAX(0,'Skenario A B C'!$H$6-'Skenario A B C'!$AE$6))</f>
        <v/>
      </c>
      <c r="G10">
        <f>IF(4&lt;'Skenario A B C'!$E$6,0,MAX(0,'Skenario A B C'!$I$6-'Skenario A B C'!$AE$6))</f>
        <v/>
      </c>
      <c r="H10">
        <f>IF(5&lt;'Skenario A B C'!$E$6,0,MAX(0,'Skenario A B C'!$I$6-'Skenario A B C'!$AE$6))</f>
        <v/>
      </c>
      <c r="I10">
        <f>IF(6&lt;'Skenario A B C'!$E$6,0,MAX(0,'Skenario A B C'!$I$6-'Skenario A B C'!$AE$6))</f>
        <v/>
      </c>
      <c r="J10">
        <f>IF(7&lt;'Skenario A B C'!$E$6,0,MAX(0,'Skenario A B C'!$I$6-'Skenario A B C'!$AE$6))</f>
        <v/>
      </c>
      <c r="K10">
        <f>IF(8&lt;'Skenario A B C'!$E$6,0,MAX(0,'Skenario A B C'!$I$6-'Skenario A B C'!$AE$6))</f>
        <v/>
      </c>
      <c r="L10">
        <f>IF(9&lt;'Skenario A B C'!$E$6,0,MAX(0,'Skenario A B C'!$I$6-'Skenario A B C'!$AE$6))</f>
        <v/>
      </c>
      <c r="M10">
        <f>IF(10&lt;'Skenario A B C'!$E$6,0,MAX(0,'Skenario A B C'!$I$6-'Skenario A B C'!$AE$6))</f>
        <v/>
      </c>
      <c r="N10">
        <f>IF(11&lt;'Skenario A B C'!$E$6,0,MAX(0,'Skenario A B C'!$I$6-'Skenario A B C'!$AE$6))</f>
        <v/>
      </c>
      <c r="O10">
        <f>IF(12&lt;'Skenario A B C'!$E$6,0,MAX(0,'Skenario A B C'!$I$6-'Skenario A B C'!$AE$6))</f>
        <v/>
      </c>
      <c r="P10">
        <f>IF(13&lt;'Skenario A B C'!$E$6,0,MAX(0,'Skenario A B C'!$J$6-'Skenario A B C'!$AE$6))</f>
        <v/>
      </c>
      <c r="Q10">
        <f>IF(14&lt;'Skenario A B C'!$E$6,0,MAX(0,'Skenario A B C'!$J$6-'Skenario A B C'!$AE$6))</f>
        <v/>
      </c>
      <c r="R10">
        <f>IF(15&lt;'Skenario A B C'!$E$6,0,MAX(0,'Skenario A B C'!$J$6-'Skenario A B C'!$AE$6))</f>
        <v/>
      </c>
      <c r="S10">
        <f>IF(16&lt;'Skenario A B C'!$E$6,0,MAX(0,'Skenario A B C'!$J$6-'Skenario A B C'!$AE$6))</f>
        <v/>
      </c>
      <c r="T10">
        <f>IF(17&lt;'Skenario A B C'!$E$6,0,MAX(0,'Skenario A B C'!$J$6-'Skenario A B C'!$AE$6))</f>
        <v/>
      </c>
      <c r="U10">
        <f>IF(18&lt;'Skenario A B C'!$E$6,0,MAX(0,'Skenario A B C'!$J$6-'Skenario A B C'!$AE$6))</f>
        <v/>
      </c>
      <c r="V10">
        <f>IF(19&lt;'Skenario A B C'!$E$6,0,MAX(0,'Skenario A B C'!$J$6-'Skenario A B C'!$AE$6))</f>
        <v/>
      </c>
      <c r="W10">
        <f>IF(20&lt;'Skenario A B C'!$E$6,0,MAX(0,'Skenario A B C'!$J$6-'Skenario A B C'!$AE$6))</f>
        <v/>
      </c>
      <c r="X10">
        <f>IF(21&lt;'Skenario A B C'!$E$6,0,MAX(0,'Skenario A B C'!$J$6-'Skenario A B C'!$AE$6))</f>
        <v/>
      </c>
      <c r="Y10">
        <f>IF(22&lt;'Skenario A B C'!$E$6,0,MAX(0,'Skenario A B C'!$J$6-'Skenario A B C'!$AE$6))</f>
        <v/>
      </c>
      <c r="Z10">
        <f>IF(23&lt;'Skenario A B C'!$E$6,0,MAX(0,'Skenario A B C'!$J$6-'Skenario A B C'!$AE$6))</f>
        <v/>
      </c>
      <c r="AA10">
        <f>IF(24&lt;'Skenario A B C'!$E$6,0,MAX(0,'Skenario A B C'!$J$6-'Skenario A B C'!$AE$6))</f>
        <v/>
      </c>
    </row>
    <row r="11">
      <c r="A11" t="inlineStr">
        <is>
          <t>HR &amp; GA Generalist</t>
        </is>
      </c>
      <c r="B11" s="6">
        <f>'Skenario A B C'!$F$7</f>
        <v/>
      </c>
      <c r="D11">
        <f>IF(1&lt;'Skenario A B C'!$E$7,0,MAX(0,'Skenario A B C'!$H$7-'Skenario A B C'!$AE$7))</f>
        <v/>
      </c>
      <c r="E11">
        <f>IF(2&lt;'Skenario A B C'!$E$7,0,MAX(0,'Skenario A B C'!$H$7-'Skenario A B C'!$AE$7))</f>
        <v/>
      </c>
      <c r="F11">
        <f>IF(3&lt;'Skenario A B C'!$E$7,0,MAX(0,'Skenario A B C'!$H$7-'Skenario A B C'!$AE$7))</f>
        <v/>
      </c>
      <c r="G11">
        <f>IF(4&lt;'Skenario A B C'!$E$7,0,MAX(0,'Skenario A B C'!$I$7-'Skenario A B C'!$AE$7))</f>
        <v/>
      </c>
      <c r="H11">
        <f>IF(5&lt;'Skenario A B C'!$E$7,0,MAX(0,'Skenario A B C'!$I$7-'Skenario A B C'!$AE$7))</f>
        <v/>
      </c>
      <c r="I11">
        <f>IF(6&lt;'Skenario A B C'!$E$7,0,MAX(0,'Skenario A B C'!$I$7-'Skenario A B C'!$AE$7))</f>
        <v/>
      </c>
      <c r="J11">
        <f>IF(7&lt;'Skenario A B C'!$E$7,0,MAX(0,'Skenario A B C'!$I$7-'Skenario A B C'!$AE$7))</f>
        <v/>
      </c>
      <c r="K11">
        <f>IF(8&lt;'Skenario A B C'!$E$7,0,MAX(0,'Skenario A B C'!$I$7-'Skenario A B C'!$AE$7))</f>
        <v/>
      </c>
      <c r="L11">
        <f>IF(9&lt;'Skenario A B C'!$E$7,0,MAX(0,'Skenario A B C'!$I$7-'Skenario A B C'!$AE$7))</f>
        <v/>
      </c>
      <c r="M11">
        <f>IF(10&lt;'Skenario A B C'!$E$7,0,MAX(0,'Skenario A B C'!$I$7-'Skenario A B C'!$AE$7))</f>
        <v/>
      </c>
      <c r="N11">
        <f>IF(11&lt;'Skenario A B C'!$E$7,0,MAX(0,'Skenario A B C'!$I$7-'Skenario A B C'!$AE$7))</f>
        <v/>
      </c>
      <c r="O11">
        <f>IF(12&lt;'Skenario A B C'!$E$7,0,MAX(0,'Skenario A B C'!$I$7-'Skenario A B C'!$AE$7))</f>
        <v/>
      </c>
      <c r="P11">
        <f>IF(13&lt;'Skenario A B C'!$E$7,0,MAX(0,'Skenario A B C'!$J$7-'Skenario A B C'!$AE$7))</f>
        <v/>
      </c>
      <c r="Q11">
        <f>IF(14&lt;'Skenario A B C'!$E$7,0,MAX(0,'Skenario A B C'!$J$7-'Skenario A B C'!$AE$7))</f>
        <v/>
      </c>
      <c r="R11">
        <f>IF(15&lt;'Skenario A B C'!$E$7,0,MAX(0,'Skenario A B C'!$J$7-'Skenario A B C'!$AE$7))</f>
        <v/>
      </c>
      <c r="S11">
        <f>IF(16&lt;'Skenario A B C'!$E$7,0,MAX(0,'Skenario A B C'!$J$7-'Skenario A B C'!$AE$7))</f>
        <v/>
      </c>
      <c r="T11">
        <f>IF(17&lt;'Skenario A B C'!$E$7,0,MAX(0,'Skenario A B C'!$J$7-'Skenario A B C'!$AE$7))</f>
        <v/>
      </c>
      <c r="U11">
        <f>IF(18&lt;'Skenario A B C'!$E$7,0,MAX(0,'Skenario A B C'!$J$7-'Skenario A B C'!$AE$7))</f>
        <v/>
      </c>
      <c r="V11">
        <f>IF(19&lt;'Skenario A B C'!$E$7,0,MAX(0,'Skenario A B C'!$J$7-'Skenario A B C'!$AE$7))</f>
        <v/>
      </c>
      <c r="W11">
        <f>IF(20&lt;'Skenario A B C'!$E$7,0,MAX(0,'Skenario A B C'!$J$7-'Skenario A B C'!$AE$7))</f>
        <v/>
      </c>
      <c r="X11">
        <f>IF(21&lt;'Skenario A B C'!$E$7,0,MAX(0,'Skenario A B C'!$J$7-'Skenario A B C'!$AE$7))</f>
        <v/>
      </c>
      <c r="Y11">
        <f>IF(22&lt;'Skenario A B C'!$E$7,0,MAX(0,'Skenario A B C'!$J$7-'Skenario A B C'!$AE$7))</f>
        <v/>
      </c>
      <c r="Z11">
        <f>IF(23&lt;'Skenario A B C'!$E$7,0,MAX(0,'Skenario A B C'!$J$7-'Skenario A B C'!$AE$7))</f>
        <v/>
      </c>
      <c r="AA11">
        <f>IF(24&lt;'Skenario A B C'!$E$7,0,MAX(0,'Skenario A B C'!$J$7-'Skenario A B C'!$AE$7))</f>
        <v/>
      </c>
    </row>
    <row r="12">
      <c r="A12" t="inlineStr">
        <is>
          <t>Direktur Teknologi (CTO)</t>
        </is>
      </c>
      <c r="B12" s="6">
        <f>'Skenario A B C'!$F$8</f>
        <v/>
      </c>
      <c r="D12">
        <f>IF(1&lt;'Skenario A B C'!$E$8,0,MAX(0,'Skenario A B C'!$H$8-'Skenario A B C'!$AE$8))</f>
        <v/>
      </c>
      <c r="E12">
        <f>IF(2&lt;'Skenario A B C'!$E$8,0,MAX(0,'Skenario A B C'!$H$8-'Skenario A B C'!$AE$8))</f>
        <v/>
      </c>
      <c r="F12">
        <f>IF(3&lt;'Skenario A B C'!$E$8,0,MAX(0,'Skenario A B C'!$H$8-'Skenario A B C'!$AE$8))</f>
        <v/>
      </c>
      <c r="G12">
        <f>IF(4&lt;'Skenario A B C'!$E$8,0,MAX(0,'Skenario A B C'!$I$8-'Skenario A B C'!$AE$8))</f>
        <v/>
      </c>
      <c r="H12">
        <f>IF(5&lt;'Skenario A B C'!$E$8,0,MAX(0,'Skenario A B C'!$I$8-'Skenario A B C'!$AE$8))</f>
        <v/>
      </c>
      <c r="I12">
        <f>IF(6&lt;'Skenario A B C'!$E$8,0,MAX(0,'Skenario A B C'!$I$8-'Skenario A B C'!$AE$8))</f>
        <v/>
      </c>
      <c r="J12">
        <f>IF(7&lt;'Skenario A B C'!$E$8,0,MAX(0,'Skenario A B C'!$I$8-'Skenario A B C'!$AE$8))</f>
        <v/>
      </c>
      <c r="K12">
        <f>IF(8&lt;'Skenario A B C'!$E$8,0,MAX(0,'Skenario A B C'!$I$8-'Skenario A B C'!$AE$8))</f>
        <v/>
      </c>
      <c r="L12">
        <f>IF(9&lt;'Skenario A B C'!$E$8,0,MAX(0,'Skenario A B C'!$I$8-'Skenario A B C'!$AE$8))</f>
        <v/>
      </c>
      <c r="M12">
        <f>IF(10&lt;'Skenario A B C'!$E$8,0,MAX(0,'Skenario A B C'!$I$8-'Skenario A B C'!$AE$8))</f>
        <v/>
      </c>
      <c r="N12">
        <f>IF(11&lt;'Skenario A B C'!$E$8,0,MAX(0,'Skenario A B C'!$I$8-'Skenario A B C'!$AE$8))</f>
        <v/>
      </c>
      <c r="O12">
        <f>IF(12&lt;'Skenario A B C'!$E$8,0,MAX(0,'Skenario A B C'!$I$8-'Skenario A B C'!$AE$8))</f>
        <v/>
      </c>
      <c r="P12">
        <f>IF(13&lt;'Skenario A B C'!$E$8,0,MAX(0,'Skenario A B C'!$J$8-'Skenario A B C'!$AE$8))</f>
        <v/>
      </c>
      <c r="Q12">
        <f>IF(14&lt;'Skenario A B C'!$E$8,0,MAX(0,'Skenario A B C'!$J$8-'Skenario A B C'!$AE$8))</f>
        <v/>
      </c>
      <c r="R12">
        <f>IF(15&lt;'Skenario A B C'!$E$8,0,MAX(0,'Skenario A B C'!$J$8-'Skenario A B C'!$AE$8))</f>
        <v/>
      </c>
      <c r="S12">
        <f>IF(16&lt;'Skenario A B C'!$E$8,0,MAX(0,'Skenario A B C'!$J$8-'Skenario A B C'!$AE$8))</f>
        <v/>
      </c>
      <c r="T12">
        <f>IF(17&lt;'Skenario A B C'!$E$8,0,MAX(0,'Skenario A B C'!$J$8-'Skenario A B C'!$AE$8))</f>
        <v/>
      </c>
      <c r="U12">
        <f>IF(18&lt;'Skenario A B C'!$E$8,0,MAX(0,'Skenario A B C'!$J$8-'Skenario A B C'!$AE$8))</f>
        <v/>
      </c>
      <c r="V12">
        <f>IF(19&lt;'Skenario A B C'!$E$8,0,MAX(0,'Skenario A B C'!$J$8-'Skenario A B C'!$AE$8))</f>
        <v/>
      </c>
      <c r="W12">
        <f>IF(20&lt;'Skenario A B C'!$E$8,0,MAX(0,'Skenario A B C'!$J$8-'Skenario A B C'!$AE$8))</f>
        <v/>
      </c>
      <c r="X12">
        <f>IF(21&lt;'Skenario A B C'!$E$8,0,MAX(0,'Skenario A B C'!$J$8-'Skenario A B C'!$AE$8))</f>
        <v/>
      </c>
      <c r="Y12">
        <f>IF(22&lt;'Skenario A B C'!$E$8,0,MAX(0,'Skenario A B C'!$J$8-'Skenario A B C'!$AE$8))</f>
        <v/>
      </c>
      <c r="Z12">
        <f>IF(23&lt;'Skenario A B C'!$E$8,0,MAX(0,'Skenario A B C'!$J$8-'Skenario A B C'!$AE$8))</f>
        <v/>
      </c>
      <c r="AA12">
        <f>IF(24&lt;'Skenario A B C'!$E$8,0,MAX(0,'Skenario A B C'!$J$8-'Skenario A B C'!$AE$8))</f>
        <v/>
      </c>
    </row>
    <row r="13">
      <c r="A13" t="inlineStr">
        <is>
          <t>Engineering Manager</t>
        </is>
      </c>
      <c r="B13" s="6">
        <f>'Skenario A B C'!$F$9</f>
        <v/>
      </c>
      <c r="D13">
        <f>IF(1&lt;'Skenario A B C'!$E$9,0,MAX(0,'Skenario A B C'!$H$9-'Skenario A B C'!$AE$9))</f>
        <v/>
      </c>
      <c r="E13">
        <f>IF(2&lt;'Skenario A B C'!$E$9,0,MAX(0,'Skenario A B C'!$H$9-'Skenario A B C'!$AE$9))</f>
        <v/>
      </c>
      <c r="F13">
        <f>IF(3&lt;'Skenario A B C'!$E$9,0,MAX(0,'Skenario A B C'!$H$9-'Skenario A B C'!$AE$9))</f>
        <v/>
      </c>
      <c r="G13">
        <f>IF(4&lt;'Skenario A B C'!$E$9,0,MAX(0,'Skenario A B C'!$I$9-'Skenario A B C'!$AE$9))</f>
        <v/>
      </c>
      <c r="H13">
        <f>IF(5&lt;'Skenario A B C'!$E$9,0,MAX(0,'Skenario A B C'!$I$9-'Skenario A B C'!$AE$9))</f>
        <v/>
      </c>
      <c r="I13">
        <f>IF(6&lt;'Skenario A B C'!$E$9,0,MAX(0,'Skenario A B C'!$I$9-'Skenario A B C'!$AE$9))</f>
        <v/>
      </c>
      <c r="J13">
        <f>IF(7&lt;'Skenario A B C'!$E$9,0,MAX(0,'Skenario A B C'!$I$9-'Skenario A B C'!$AE$9))</f>
        <v/>
      </c>
      <c r="K13">
        <f>IF(8&lt;'Skenario A B C'!$E$9,0,MAX(0,'Skenario A B C'!$I$9-'Skenario A B C'!$AE$9))</f>
        <v/>
      </c>
      <c r="L13">
        <f>IF(9&lt;'Skenario A B C'!$E$9,0,MAX(0,'Skenario A B C'!$I$9-'Skenario A B C'!$AE$9))</f>
        <v/>
      </c>
      <c r="M13">
        <f>IF(10&lt;'Skenario A B C'!$E$9,0,MAX(0,'Skenario A B C'!$I$9-'Skenario A B C'!$AE$9))</f>
        <v/>
      </c>
      <c r="N13">
        <f>IF(11&lt;'Skenario A B C'!$E$9,0,MAX(0,'Skenario A B C'!$I$9-'Skenario A B C'!$AE$9))</f>
        <v/>
      </c>
      <c r="O13">
        <f>IF(12&lt;'Skenario A B C'!$E$9,0,MAX(0,'Skenario A B C'!$I$9-'Skenario A B C'!$AE$9))</f>
        <v/>
      </c>
      <c r="P13">
        <f>IF(13&lt;'Skenario A B C'!$E$9,0,MAX(0,'Skenario A B C'!$J$9-'Skenario A B C'!$AE$9))</f>
        <v/>
      </c>
      <c r="Q13">
        <f>IF(14&lt;'Skenario A B C'!$E$9,0,MAX(0,'Skenario A B C'!$J$9-'Skenario A B C'!$AE$9))</f>
        <v/>
      </c>
      <c r="R13">
        <f>IF(15&lt;'Skenario A B C'!$E$9,0,MAX(0,'Skenario A B C'!$J$9-'Skenario A B C'!$AE$9))</f>
        <v/>
      </c>
      <c r="S13">
        <f>IF(16&lt;'Skenario A B C'!$E$9,0,MAX(0,'Skenario A B C'!$J$9-'Skenario A B C'!$AE$9))</f>
        <v/>
      </c>
      <c r="T13">
        <f>IF(17&lt;'Skenario A B C'!$E$9,0,MAX(0,'Skenario A B C'!$J$9-'Skenario A B C'!$AE$9))</f>
        <v/>
      </c>
      <c r="U13">
        <f>IF(18&lt;'Skenario A B C'!$E$9,0,MAX(0,'Skenario A B C'!$J$9-'Skenario A B C'!$AE$9))</f>
        <v/>
      </c>
      <c r="V13">
        <f>IF(19&lt;'Skenario A B C'!$E$9,0,MAX(0,'Skenario A B C'!$J$9-'Skenario A B C'!$AE$9))</f>
        <v/>
      </c>
      <c r="W13">
        <f>IF(20&lt;'Skenario A B C'!$E$9,0,MAX(0,'Skenario A B C'!$J$9-'Skenario A B C'!$AE$9))</f>
        <v/>
      </c>
      <c r="X13">
        <f>IF(21&lt;'Skenario A B C'!$E$9,0,MAX(0,'Skenario A B C'!$J$9-'Skenario A B C'!$AE$9))</f>
        <v/>
      </c>
      <c r="Y13">
        <f>IF(22&lt;'Skenario A B C'!$E$9,0,MAX(0,'Skenario A B C'!$J$9-'Skenario A B C'!$AE$9))</f>
        <v/>
      </c>
      <c r="Z13">
        <f>IF(23&lt;'Skenario A B C'!$E$9,0,MAX(0,'Skenario A B C'!$J$9-'Skenario A B C'!$AE$9))</f>
        <v/>
      </c>
      <c r="AA13">
        <f>IF(24&lt;'Skenario A B C'!$E$9,0,MAX(0,'Skenario A B C'!$J$9-'Skenario A B C'!$AE$9))</f>
        <v/>
      </c>
    </row>
    <row r="14">
      <c r="A14" t="inlineStr">
        <is>
          <t>Mobile Engineer (Senior)</t>
        </is>
      </c>
      <c r="B14" s="6">
        <f>'Skenario A B C'!$F$10</f>
        <v/>
      </c>
      <c r="D14">
        <f>IF(1&lt;'Skenario A B C'!$E$10,0,MAX(0,'Skenario A B C'!$H$10-'Skenario A B C'!$AE$10))</f>
        <v/>
      </c>
      <c r="E14">
        <f>IF(2&lt;'Skenario A B C'!$E$10,0,MAX(0,'Skenario A B C'!$H$10-'Skenario A B C'!$AE$10))</f>
        <v/>
      </c>
      <c r="F14">
        <f>IF(3&lt;'Skenario A B C'!$E$10,0,MAX(0,'Skenario A B C'!$H$10-'Skenario A B C'!$AE$10))</f>
        <v/>
      </c>
      <c r="G14">
        <f>IF(4&lt;'Skenario A B C'!$E$10,0,MAX(0,'Skenario A B C'!$I$10-'Skenario A B C'!$AE$10))</f>
        <v/>
      </c>
      <c r="H14">
        <f>IF(5&lt;'Skenario A B C'!$E$10,0,MAX(0,'Skenario A B C'!$I$10-'Skenario A B C'!$AE$10))</f>
        <v/>
      </c>
      <c r="I14">
        <f>IF(6&lt;'Skenario A B C'!$E$10,0,MAX(0,'Skenario A B C'!$I$10-'Skenario A B C'!$AE$10))</f>
        <v/>
      </c>
      <c r="J14">
        <f>IF(7&lt;'Skenario A B C'!$E$10,0,MAX(0,'Skenario A B C'!$I$10-'Skenario A B C'!$AE$10))</f>
        <v/>
      </c>
      <c r="K14">
        <f>IF(8&lt;'Skenario A B C'!$E$10,0,MAX(0,'Skenario A B C'!$I$10-'Skenario A B C'!$AE$10))</f>
        <v/>
      </c>
      <c r="L14">
        <f>IF(9&lt;'Skenario A B C'!$E$10,0,MAX(0,'Skenario A B C'!$I$10-'Skenario A B C'!$AE$10))</f>
        <v/>
      </c>
      <c r="M14">
        <f>IF(10&lt;'Skenario A B C'!$E$10,0,MAX(0,'Skenario A B C'!$I$10-'Skenario A B C'!$AE$10))</f>
        <v/>
      </c>
      <c r="N14">
        <f>IF(11&lt;'Skenario A B C'!$E$10,0,MAX(0,'Skenario A B C'!$I$10-'Skenario A B C'!$AE$10))</f>
        <v/>
      </c>
      <c r="O14">
        <f>IF(12&lt;'Skenario A B C'!$E$10,0,MAX(0,'Skenario A B C'!$I$10-'Skenario A B C'!$AE$10))</f>
        <v/>
      </c>
      <c r="P14">
        <f>IF(13&lt;'Skenario A B C'!$E$10,0,MAX(0,'Skenario A B C'!$J$10-'Skenario A B C'!$AE$10))</f>
        <v/>
      </c>
      <c r="Q14">
        <f>IF(14&lt;'Skenario A B C'!$E$10,0,MAX(0,'Skenario A B C'!$J$10-'Skenario A B C'!$AE$10))</f>
        <v/>
      </c>
      <c r="R14">
        <f>IF(15&lt;'Skenario A B C'!$E$10,0,MAX(0,'Skenario A B C'!$J$10-'Skenario A B C'!$AE$10))</f>
        <v/>
      </c>
      <c r="S14">
        <f>IF(16&lt;'Skenario A B C'!$E$10,0,MAX(0,'Skenario A B C'!$J$10-'Skenario A B C'!$AE$10))</f>
        <v/>
      </c>
      <c r="T14">
        <f>IF(17&lt;'Skenario A B C'!$E$10,0,MAX(0,'Skenario A B C'!$J$10-'Skenario A B C'!$AE$10))</f>
        <v/>
      </c>
      <c r="U14">
        <f>IF(18&lt;'Skenario A B C'!$E$10,0,MAX(0,'Skenario A B C'!$J$10-'Skenario A B C'!$AE$10))</f>
        <v/>
      </c>
      <c r="V14">
        <f>IF(19&lt;'Skenario A B C'!$E$10,0,MAX(0,'Skenario A B C'!$J$10-'Skenario A B C'!$AE$10))</f>
        <v/>
      </c>
      <c r="W14">
        <f>IF(20&lt;'Skenario A B C'!$E$10,0,MAX(0,'Skenario A B C'!$J$10-'Skenario A B C'!$AE$10))</f>
        <v/>
      </c>
      <c r="X14">
        <f>IF(21&lt;'Skenario A B C'!$E$10,0,MAX(0,'Skenario A B C'!$J$10-'Skenario A B C'!$AE$10))</f>
        <v/>
      </c>
      <c r="Y14">
        <f>IF(22&lt;'Skenario A B C'!$E$10,0,MAX(0,'Skenario A B C'!$J$10-'Skenario A B C'!$AE$10))</f>
        <v/>
      </c>
      <c r="Z14">
        <f>IF(23&lt;'Skenario A B C'!$E$10,0,MAX(0,'Skenario A B C'!$J$10-'Skenario A B C'!$AE$10))</f>
        <v/>
      </c>
      <c r="AA14">
        <f>IF(24&lt;'Skenario A B C'!$E$10,0,MAX(0,'Skenario A B C'!$J$10-'Skenario A B C'!$AE$10))</f>
        <v/>
      </c>
    </row>
    <row r="15">
      <c r="A15" t="inlineStr">
        <is>
          <t>Mobile Engineer (Mid)</t>
        </is>
      </c>
      <c r="B15" s="6">
        <f>'Skenario A B C'!$F$11</f>
        <v/>
      </c>
      <c r="D15">
        <f>IF(1&lt;'Skenario A B C'!$E$11,0,MAX(0,'Skenario A B C'!$H$11-'Skenario A B C'!$AE$11))</f>
        <v/>
      </c>
      <c r="E15">
        <f>IF(2&lt;'Skenario A B C'!$E$11,0,MAX(0,'Skenario A B C'!$H$11-'Skenario A B C'!$AE$11))</f>
        <v/>
      </c>
      <c r="F15">
        <f>IF(3&lt;'Skenario A B C'!$E$11,0,MAX(0,'Skenario A B C'!$H$11-'Skenario A B C'!$AE$11))</f>
        <v/>
      </c>
      <c r="G15">
        <f>IF(4&lt;'Skenario A B C'!$E$11,0,MAX(0,'Skenario A B C'!$I$11-'Skenario A B C'!$AE$11))</f>
        <v/>
      </c>
      <c r="H15">
        <f>IF(5&lt;'Skenario A B C'!$E$11,0,MAX(0,'Skenario A B C'!$I$11-'Skenario A B C'!$AE$11))</f>
        <v/>
      </c>
      <c r="I15">
        <f>IF(6&lt;'Skenario A B C'!$E$11,0,MAX(0,'Skenario A B C'!$I$11-'Skenario A B C'!$AE$11))</f>
        <v/>
      </c>
      <c r="J15">
        <f>IF(7&lt;'Skenario A B C'!$E$11,0,MAX(0,'Skenario A B C'!$I$11-'Skenario A B C'!$AE$11))</f>
        <v/>
      </c>
      <c r="K15">
        <f>IF(8&lt;'Skenario A B C'!$E$11,0,MAX(0,'Skenario A B C'!$I$11-'Skenario A B C'!$AE$11))</f>
        <v/>
      </c>
      <c r="L15">
        <f>IF(9&lt;'Skenario A B C'!$E$11,0,MAX(0,'Skenario A B C'!$I$11-'Skenario A B C'!$AE$11))</f>
        <v/>
      </c>
      <c r="M15">
        <f>IF(10&lt;'Skenario A B C'!$E$11,0,MAX(0,'Skenario A B C'!$I$11-'Skenario A B C'!$AE$11))</f>
        <v/>
      </c>
      <c r="N15">
        <f>IF(11&lt;'Skenario A B C'!$E$11,0,MAX(0,'Skenario A B C'!$I$11-'Skenario A B C'!$AE$11))</f>
        <v/>
      </c>
      <c r="O15">
        <f>IF(12&lt;'Skenario A B C'!$E$11,0,MAX(0,'Skenario A B C'!$I$11-'Skenario A B C'!$AE$11))</f>
        <v/>
      </c>
      <c r="P15">
        <f>IF(13&lt;'Skenario A B C'!$E$11,0,MAX(0,'Skenario A B C'!$J$11-'Skenario A B C'!$AE$11))</f>
        <v/>
      </c>
      <c r="Q15">
        <f>IF(14&lt;'Skenario A B C'!$E$11,0,MAX(0,'Skenario A B C'!$J$11-'Skenario A B C'!$AE$11))</f>
        <v/>
      </c>
      <c r="R15">
        <f>IF(15&lt;'Skenario A B C'!$E$11,0,MAX(0,'Skenario A B C'!$J$11-'Skenario A B C'!$AE$11))</f>
        <v/>
      </c>
      <c r="S15">
        <f>IF(16&lt;'Skenario A B C'!$E$11,0,MAX(0,'Skenario A B C'!$J$11-'Skenario A B C'!$AE$11))</f>
        <v/>
      </c>
      <c r="T15">
        <f>IF(17&lt;'Skenario A B C'!$E$11,0,MAX(0,'Skenario A B C'!$J$11-'Skenario A B C'!$AE$11))</f>
        <v/>
      </c>
      <c r="U15">
        <f>IF(18&lt;'Skenario A B C'!$E$11,0,MAX(0,'Skenario A B C'!$J$11-'Skenario A B C'!$AE$11))</f>
        <v/>
      </c>
      <c r="V15">
        <f>IF(19&lt;'Skenario A B C'!$E$11,0,MAX(0,'Skenario A B C'!$J$11-'Skenario A B C'!$AE$11))</f>
        <v/>
      </c>
      <c r="W15">
        <f>IF(20&lt;'Skenario A B C'!$E$11,0,MAX(0,'Skenario A B C'!$J$11-'Skenario A B C'!$AE$11))</f>
        <v/>
      </c>
      <c r="X15">
        <f>IF(21&lt;'Skenario A B C'!$E$11,0,MAX(0,'Skenario A B C'!$J$11-'Skenario A B C'!$AE$11))</f>
        <v/>
      </c>
      <c r="Y15">
        <f>IF(22&lt;'Skenario A B C'!$E$11,0,MAX(0,'Skenario A B C'!$J$11-'Skenario A B C'!$AE$11))</f>
        <v/>
      </c>
      <c r="Z15">
        <f>IF(23&lt;'Skenario A B C'!$E$11,0,MAX(0,'Skenario A B C'!$J$11-'Skenario A B C'!$AE$11))</f>
        <v/>
      </c>
      <c r="AA15">
        <f>IF(24&lt;'Skenario A B C'!$E$11,0,MAX(0,'Skenario A B C'!$J$11-'Skenario A B C'!$AE$11))</f>
        <v/>
      </c>
    </row>
    <row r="16">
      <c r="A16" t="inlineStr">
        <is>
          <t>Mobile Engineer (Mid) - gelombang 2</t>
        </is>
      </c>
      <c r="B16" s="6">
        <f>'Skenario A B C'!$F$12</f>
        <v/>
      </c>
      <c r="D16">
        <f>IF(1&lt;'Skenario A B C'!$E$12,0,MAX(0,'Skenario A B C'!$H$12-'Skenario A B C'!$AE$12))</f>
        <v/>
      </c>
      <c r="E16">
        <f>IF(2&lt;'Skenario A B C'!$E$12,0,MAX(0,'Skenario A B C'!$H$12-'Skenario A B C'!$AE$12))</f>
        <v/>
      </c>
      <c r="F16">
        <f>IF(3&lt;'Skenario A B C'!$E$12,0,MAX(0,'Skenario A B C'!$H$12-'Skenario A B C'!$AE$12))</f>
        <v/>
      </c>
      <c r="G16">
        <f>IF(4&lt;'Skenario A B C'!$E$12,0,MAX(0,'Skenario A B C'!$I$12-'Skenario A B C'!$AE$12))</f>
        <v/>
      </c>
      <c r="H16">
        <f>IF(5&lt;'Skenario A B C'!$E$12,0,MAX(0,'Skenario A B C'!$I$12-'Skenario A B C'!$AE$12))</f>
        <v/>
      </c>
      <c r="I16">
        <f>IF(6&lt;'Skenario A B C'!$E$12,0,MAX(0,'Skenario A B C'!$I$12-'Skenario A B C'!$AE$12))</f>
        <v/>
      </c>
      <c r="J16">
        <f>IF(7&lt;'Skenario A B C'!$E$12,0,MAX(0,'Skenario A B C'!$I$12-'Skenario A B C'!$AE$12))</f>
        <v/>
      </c>
      <c r="K16">
        <f>IF(8&lt;'Skenario A B C'!$E$12,0,MAX(0,'Skenario A B C'!$I$12-'Skenario A B C'!$AE$12))</f>
        <v/>
      </c>
      <c r="L16">
        <f>IF(9&lt;'Skenario A B C'!$E$12,0,MAX(0,'Skenario A B C'!$I$12-'Skenario A B C'!$AE$12))</f>
        <v/>
      </c>
      <c r="M16">
        <f>IF(10&lt;'Skenario A B C'!$E$12,0,MAX(0,'Skenario A B C'!$I$12-'Skenario A B C'!$AE$12))</f>
        <v/>
      </c>
      <c r="N16">
        <f>IF(11&lt;'Skenario A B C'!$E$12,0,MAX(0,'Skenario A B C'!$I$12-'Skenario A B C'!$AE$12))</f>
        <v/>
      </c>
      <c r="O16">
        <f>IF(12&lt;'Skenario A B C'!$E$12,0,MAX(0,'Skenario A B C'!$I$12-'Skenario A B C'!$AE$12))</f>
        <v/>
      </c>
      <c r="P16">
        <f>IF(13&lt;'Skenario A B C'!$E$12,0,MAX(0,'Skenario A B C'!$J$12-'Skenario A B C'!$AE$12))</f>
        <v/>
      </c>
      <c r="Q16">
        <f>IF(14&lt;'Skenario A B C'!$E$12,0,MAX(0,'Skenario A B C'!$J$12-'Skenario A B C'!$AE$12))</f>
        <v/>
      </c>
      <c r="R16">
        <f>IF(15&lt;'Skenario A B C'!$E$12,0,MAX(0,'Skenario A B C'!$J$12-'Skenario A B C'!$AE$12))</f>
        <v/>
      </c>
      <c r="S16">
        <f>IF(16&lt;'Skenario A B C'!$E$12,0,MAX(0,'Skenario A B C'!$J$12-'Skenario A B C'!$AE$12))</f>
        <v/>
      </c>
      <c r="T16">
        <f>IF(17&lt;'Skenario A B C'!$E$12,0,MAX(0,'Skenario A B C'!$J$12-'Skenario A B C'!$AE$12))</f>
        <v/>
      </c>
      <c r="U16">
        <f>IF(18&lt;'Skenario A B C'!$E$12,0,MAX(0,'Skenario A B C'!$J$12-'Skenario A B C'!$AE$12))</f>
        <v/>
      </c>
      <c r="V16">
        <f>IF(19&lt;'Skenario A B C'!$E$12,0,MAX(0,'Skenario A B C'!$J$12-'Skenario A B C'!$AE$12))</f>
        <v/>
      </c>
      <c r="W16">
        <f>IF(20&lt;'Skenario A B C'!$E$12,0,MAX(0,'Skenario A B C'!$J$12-'Skenario A B C'!$AE$12))</f>
        <v/>
      </c>
      <c r="X16">
        <f>IF(21&lt;'Skenario A B C'!$E$12,0,MAX(0,'Skenario A B C'!$J$12-'Skenario A B C'!$AE$12))</f>
        <v/>
      </c>
      <c r="Y16">
        <f>IF(22&lt;'Skenario A B C'!$E$12,0,MAX(0,'Skenario A B C'!$J$12-'Skenario A B C'!$AE$12))</f>
        <v/>
      </c>
      <c r="Z16">
        <f>IF(23&lt;'Skenario A B C'!$E$12,0,MAX(0,'Skenario A B C'!$J$12-'Skenario A B C'!$AE$12))</f>
        <v/>
      </c>
      <c r="AA16">
        <f>IF(24&lt;'Skenario A B C'!$E$12,0,MAX(0,'Skenario A B C'!$J$12-'Skenario A B C'!$AE$12))</f>
        <v/>
      </c>
    </row>
    <row r="17">
      <c r="A17" t="inlineStr">
        <is>
          <t>Backend Engineer (Senior)</t>
        </is>
      </c>
      <c r="B17" s="6">
        <f>'Skenario A B C'!$F$13</f>
        <v/>
      </c>
      <c r="D17">
        <f>IF(1&lt;'Skenario A B C'!$E$13,0,MAX(0,'Skenario A B C'!$H$13-'Skenario A B C'!$AE$13))</f>
        <v/>
      </c>
      <c r="E17">
        <f>IF(2&lt;'Skenario A B C'!$E$13,0,MAX(0,'Skenario A B C'!$H$13-'Skenario A B C'!$AE$13))</f>
        <v/>
      </c>
      <c r="F17">
        <f>IF(3&lt;'Skenario A B C'!$E$13,0,MAX(0,'Skenario A B C'!$H$13-'Skenario A B C'!$AE$13))</f>
        <v/>
      </c>
      <c r="G17">
        <f>IF(4&lt;'Skenario A B C'!$E$13,0,MAX(0,'Skenario A B C'!$I$13-'Skenario A B C'!$AE$13))</f>
        <v/>
      </c>
      <c r="H17">
        <f>IF(5&lt;'Skenario A B C'!$E$13,0,MAX(0,'Skenario A B C'!$I$13-'Skenario A B C'!$AE$13))</f>
        <v/>
      </c>
      <c r="I17">
        <f>IF(6&lt;'Skenario A B C'!$E$13,0,MAX(0,'Skenario A B C'!$I$13-'Skenario A B C'!$AE$13))</f>
        <v/>
      </c>
      <c r="J17">
        <f>IF(7&lt;'Skenario A B C'!$E$13,0,MAX(0,'Skenario A B C'!$I$13-'Skenario A B C'!$AE$13))</f>
        <v/>
      </c>
      <c r="K17">
        <f>IF(8&lt;'Skenario A B C'!$E$13,0,MAX(0,'Skenario A B C'!$I$13-'Skenario A B C'!$AE$13))</f>
        <v/>
      </c>
      <c r="L17">
        <f>IF(9&lt;'Skenario A B C'!$E$13,0,MAX(0,'Skenario A B C'!$I$13-'Skenario A B C'!$AE$13))</f>
        <v/>
      </c>
      <c r="M17">
        <f>IF(10&lt;'Skenario A B C'!$E$13,0,MAX(0,'Skenario A B C'!$I$13-'Skenario A B C'!$AE$13))</f>
        <v/>
      </c>
      <c r="N17">
        <f>IF(11&lt;'Skenario A B C'!$E$13,0,MAX(0,'Skenario A B C'!$I$13-'Skenario A B C'!$AE$13))</f>
        <v/>
      </c>
      <c r="O17">
        <f>IF(12&lt;'Skenario A B C'!$E$13,0,MAX(0,'Skenario A B C'!$I$13-'Skenario A B C'!$AE$13))</f>
        <v/>
      </c>
      <c r="P17">
        <f>IF(13&lt;'Skenario A B C'!$E$13,0,MAX(0,'Skenario A B C'!$J$13-'Skenario A B C'!$AE$13))</f>
        <v/>
      </c>
      <c r="Q17">
        <f>IF(14&lt;'Skenario A B C'!$E$13,0,MAX(0,'Skenario A B C'!$J$13-'Skenario A B C'!$AE$13))</f>
        <v/>
      </c>
      <c r="R17">
        <f>IF(15&lt;'Skenario A B C'!$E$13,0,MAX(0,'Skenario A B C'!$J$13-'Skenario A B C'!$AE$13))</f>
        <v/>
      </c>
      <c r="S17">
        <f>IF(16&lt;'Skenario A B C'!$E$13,0,MAX(0,'Skenario A B C'!$J$13-'Skenario A B C'!$AE$13))</f>
        <v/>
      </c>
      <c r="T17">
        <f>IF(17&lt;'Skenario A B C'!$E$13,0,MAX(0,'Skenario A B C'!$J$13-'Skenario A B C'!$AE$13))</f>
        <v/>
      </c>
      <c r="U17">
        <f>IF(18&lt;'Skenario A B C'!$E$13,0,MAX(0,'Skenario A B C'!$J$13-'Skenario A B C'!$AE$13))</f>
        <v/>
      </c>
      <c r="V17">
        <f>IF(19&lt;'Skenario A B C'!$E$13,0,MAX(0,'Skenario A B C'!$J$13-'Skenario A B C'!$AE$13))</f>
        <v/>
      </c>
      <c r="W17">
        <f>IF(20&lt;'Skenario A B C'!$E$13,0,MAX(0,'Skenario A B C'!$J$13-'Skenario A B C'!$AE$13))</f>
        <v/>
      </c>
      <c r="X17">
        <f>IF(21&lt;'Skenario A B C'!$E$13,0,MAX(0,'Skenario A B C'!$J$13-'Skenario A B C'!$AE$13))</f>
        <v/>
      </c>
      <c r="Y17">
        <f>IF(22&lt;'Skenario A B C'!$E$13,0,MAX(0,'Skenario A B C'!$J$13-'Skenario A B C'!$AE$13))</f>
        <v/>
      </c>
      <c r="Z17">
        <f>IF(23&lt;'Skenario A B C'!$E$13,0,MAX(0,'Skenario A B C'!$J$13-'Skenario A B C'!$AE$13))</f>
        <v/>
      </c>
      <c r="AA17">
        <f>IF(24&lt;'Skenario A B C'!$E$13,0,MAX(0,'Skenario A B C'!$J$13-'Skenario A B C'!$AE$13))</f>
        <v/>
      </c>
    </row>
    <row r="18">
      <c r="A18" t="inlineStr">
        <is>
          <t>Backend Engineer (Senior) - gelombang 2</t>
        </is>
      </c>
      <c r="B18" s="6">
        <f>'Skenario A B C'!$F$14</f>
        <v/>
      </c>
      <c r="D18">
        <f>IF(1&lt;'Skenario A B C'!$E$14,0,MAX(0,'Skenario A B C'!$H$14-'Skenario A B C'!$AE$14))</f>
        <v/>
      </c>
      <c r="E18">
        <f>IF(2&lt;'Skenario A B C'!$E$14,0,MAX(0,'Skenario A B C'!$H$14-'Skenario A B C'!$AE$14))</f>
        <v/>
      </c>
      <c r="F18">
        <f>IF(3&lt;'Skenario A B C'!$E$14,0,MAX(0,'Skenario A B C'!$H$14-'Skenario A B C'!$AE$14))</f>
        <v/>
      </c>
      <c r="G18">
        <f>IF(4&lt;'Skenario A B C'!$E$14,0,MAX(0,'Skenario A B C'!$I$14-'Skenario A B C'!$AE$14))</f>
        <v/>
      </c>
      <c r="H18">
        <f>IF(5&lt;'Skenario A B C'!$E$14,0,MAX(0,'Skenario A B C'!$I$14-'Skenario A B C'!$AE$14))</f>
        <v/>
      </c>
      <c r="I18">
        <f>IF(6&lt;'Skenario A B C'!$E$14,0,MAX(0,'Skenario A B C'!$I$14-'Skenario A B C'!$AE$14))</f>
        <v/>
      </c>
      <c r="J18">
        <f>IF(7&lt;'Skenario A B C'!$E$14,0,MAX(0,'Skenario A B C'!$I$14-'Skenario A B C'!$AE$14))</f>
        <v/>
      </c>
      <c r="K18">
        <f>IF(8&lt;'Skenario A B C'!$E$14,0,MAX(0,'Skenario A B C'!$I$14-'Skenario A B C'!$AE$14))</f>
        <v/>
      </c>
      <c r="L18">
        <f>IF(9&lt;'Skenario A B C'!$E$14,0,MAX(0,'Skenario A B C'!$I$14-'Skenario A B C'!$AE$14))</f>
        <v/>
      </c>
      <c r="M18">
        <f>IF(10&lt;'Skenario A B C'!$E$14,0,MAX(0,'Skenario A B C'!$I$14-'Skenario A B C'!$AE$14))</f>
        <v/>
      </c>
      <c r="N18">
        <f>IF(11&lt;'Skenario A B C'!$E$14,0,MAX(0,'Skenario A B C'!$I$14-'Skenario A B C'!$AE$14))</f>
        <v/>
      </c>
      <c r="O18">
        <f>IF(12&lt;'Skenario A B C'!$E$14,0,MAX(0,'Skenario A B C'!$I$14-'Skenario A B C'!$AE$14))</f>
        <v/>
      </c>
      <c r="P18">
        <f>IF(13&lt;'Skenario A B C'!$E$14,0,MAX(0,'Skenario A B C'!$J$14-'Skenario A B C'!$AE$14))</f>
        <v/>
      </c>
      <c r="Q18">
        <f>IF(14&lt;'Skenario A B C'!$E$14,0,MAX(0,'Skenario A B C'!$J$14-'Skenario A B C'!$AE$14))</f>
        <v/>
      </c>
      <c r="R18">
        <f>IF(15&lt;'Skenario A B C'!$E$14,0,MAX(0,'Skenario A B C'!$J$14-'Skenario A B C'!$AE$14))</f>
        <v/>
      </c>
      <c r="S18">
        <f>IF(16&lt;'Skenario A B C'!$E$14,0,MAX(0,'Skenario A B C'!$J$14-'Skenario A B C'!$AE$14))</f>
        <v/>
      </c>
      <c r="T18">
        <f>IF(17&lt;'Skenario A B C'!$E$14,0,MAX(0,'Skenario A B C'!$J$14-'Skenario A B C'!$AE$14))</f>
        <v/>
      </c>
      <c r="U18">
        <f>IF(18&lt;'Skenario A B C'!$E$14,0,MAX(0,'Skenario A B C'!$J$14-'Skenario A B C'!$AE$14))</f>
        <v/>
      </c>
      <c r="V18">
        <f>IF(19&lt;'Skenario A B C'!$E$14,0,MAX(0,'Skenario A B C'!$J$14-'Skenario A B C'!$AE$14))</f>
        <v/>
      </c>
      <c r="W18">
        <f>IF(20&lt;'Skenario A B C'!$E$14,0,MAX(0,'Skenario A B C'!$J$14-'Skenario A B C'!$AE$14))</f>
        <v/>
      </c>
      <c r="X18">
        <f>IF(21&lt;'Skenario A B C'!$E$14,0,MAX(0,'Skenario A B C'!$J$14-'Skenario A B C'!$AE$14))</f>
        <v/>
      </c>
      <c r="Y18">
        <f>IF(22&lt;'Skenario A B C'!$E$14,0,MAX(0,'Skenario A B C'!$J$14-'Skenario A B C'!$AE$14))</f>
        <v/>
      </c>
      <c r="Z18">
        <f>IF(23&lt;'Skenario A B C'!$E$14,0,MAX(0,'Skenario A B C'!$J$14-'Skenario A B C'!$AE$14))</f>
        <v/>
      </c>
      <c r="AA18">
        <f>IF(24&lt;'Skenario A B C'!$E$14,0,MAX(0,'Skenario A B C'!$J$14-'Skenario A B C'!$AE$14))</f>
        <v/>
      </c>
    </row>
    <row r="19">
      <c r="A19" t="inlineStr">
        <is>
          <t>Backend Engineer (Mid)</t>
        </is>
      </c>
      <c r="B19" s="6">
        <f>'Skenario A B C'!$F$15</f>
        <v/>
      </c>
      <c r="D19">
        <f>IF(1&lt;'Skenario A B C'!$E$15,0,MAX(0,'Skenario A B C'!$H$15-'Skenario A B C'!$AE$15))</f>
        <v/>
      </c>
      <c r="E19">
        <f>IF(2&lt;'Skenario A B C'!$E$15,0,MAX(0,'Skenario A B C'!$H$15-'Skenario A B C'!$AE$15))</f>
        <v/>
      </c>
      <c r="F19">
        <f>IF(3&lt;'Skenario A B C'!$E$15,0,MAX(0,'Skenario A B C'!$H$15-'Skenario A B C'!$AE$15))</f>
        <v/>
      </c>
      <c r="G19">
        <f>IF(4&lt;'Skenario A B C'!$E$15,0,MAX(0,'Skenario A B C'!$I$15-'Skenario A B C'!$AE$15))</f>
        <v/>
      </c>
      <c r="H19">
        <f>IF(5&lt;'Skenario A B C'!$E$15,0,MAX(0,'Skenario A B C'!$I$15-'Skenario A B C'!$AE$15))</f>
        <v/>
      </c>
      <c r="I19">
        <f>IF(6&lt;'Skenario A B C'!$E$15,0,MAX(0,'Skenario A B C'!$I$15-'Skenario A B C'!$AE$15))</f>
        <v/>
      </c>
      <c r="J19">
        <f>IF(7&lt;'Skenario A B C'!$E$15,0,MAX(0,'Skenario A B C'!$I$15-'Skenario A B C'!$AE$15))</f>
        <v/>
      </c>
      <c r="K19">
        <f>IF(8&lt;'Skenario A B C'!$E$15,0,MAX(0,'Skenario A B C'!$I$15-'Skenario A B C'!$AE$15))</f>
        <v/>
      </c>
      <c r="L19">
        <f>IF(9&lt;'Skenario A B C'!$E$15,0,MAX(0,'Skenario A B C'!$I$15-'Skenario A B C'!$AE$15))</f>
        <v/>
      </c>
      <c r="M19">
        <f>IF(10&lt;'Skenario A B C'!$E$15,0,MAX(0,'Skenario A B C'!$I$15-'Skenario A B C'!$AE$15))</f>
        <v/>
      </c>
      <c r="N19">
        <f>IF(11&lt;'Skenario A B C'!$E$15,0,MAX(0,'Skenario A B C'!$I$15-'Skenario A B C'!$AE$15))</f>
        <v/>
      </c>
      <c r="O19">
        <f>IF(12&lt;'Skenario A B C'!$E$15,0,MAX(0,'Skenario A B C'!$I$15-'Skenario A B C'!$AE$15))</f>
        <v/>
      </c>
      <c r="P19">
        <f>IF(13&lt;'Skenario A B C'!$E$15,0,MAX(0,'Skenario A B C'!$J$15-'Skenario A B C'!$AE$15))</f>
        <v/>
      </c>
      <c r="Q19">
        <f>IF(14&lt;'Skenario A B C'!$E$15,0,MAX(0,'Skenario A B C'!$J$15-'Skenario A B C'!$AE$15))</f>
        <v/>
      </c>
      <c r="R19">
        <f>IF(15&lt;'Skenario A B C'!$E$15,0,MAX(0,'Skenario A B C'!$J$15-'Skenario A B C'!$AE$15))</f>
        <v/>
      </c>
      <c r="S19">
        <f>IF(16&lt;'Skenario A B C'!$E$15,0,MAX(0,'Skenario A B C'!$J$15-'Skenario A B C'!$AE$15))</f>
        <v/>
      </c>
      <c r="T19">
        <f>IF(17&lt;'Skenario A B C'!$E$15,0,MAX(0,'Skenario A B C'!$J$15-'Skenario A B C'!$AE$15))</f>
        <v/>
      </c>
      <c r="U19">
        <f>IF(18&lt;'Skenario A B C'!$E$15,0,MAX(0,'Skenario A B C'!$J$15-'Skenario A B C'!$AE$15))</f>
        <v/>
      </c>
      <c r="V19">
        <f>IF(19&lt;'Skenario A B C'!$E$15,0,MAX(0,'Skenario A B C'!$J$15-'Skenario A B C'!$AE$15))</f>
        <v/>
      </c>
      <c r="W19">
        <f>IF(20&lt;'Skenario A B C'!$E$15,0,MAX(0,'Skenario A B C'!$J$15-'Skenario A B C'!$AE$15))</f>
        <v/>
      </c>
      <c r="X19">
        <f>IF(21&lt;'Skenario A B C'!$E$15,0,MAX(0,'Skenario A B C'!$J$15-'Skenario A B C'!$AE$15))</f>
        <v/>
      </c>
      <c r="Y19">
        <f>IF(22&lt;'Skenario A B C'!$E$15,0,MAX(0,'Skenario A B C'!$J$15-'Skenario A B C'!$AE$15))</f>
        <v/>
      </c>
      <c r="Z19">
        <f>IF(23&lt;'Skenario A B C'!$E$15,0,MAX(0,'Skenario A B C'!$J$15-'Skenario A B C'!$AE$15))</f>
        <v/>
      </c>
      <c r="AA19">
        <f>IF(24&lt;'Skenario A B C'!$E$15,0,MAX(0,'Skenario A B C'!$J$15-'Skenario A B C'!$AE$15))</f>
        <v/>
      </c>
    </row>
    <row r="20">
      <c r="A20" t="inlineStr">
        <is>
          <t>Backend Engineer (Mid) - gelombang 2</t>
        </is>
      </c>
      <c r="B20" s="6">
        <f>'Skenario A B C'!$F$16</f>
        <v/>
      </c>
      <c r="D20">
        <f>IF(1&lt;'Skenario A B C'!$E$16,0,MAX(0,'Skenario A B C'!$H$16-'Skenario A B C'!$AE$16))</f>
        <v/>
      </c>
      <c r="E20">
        <f>IF(2&lt;'Skenario A B C'!$E$16,0,MAX(0,'Skenario A B C'!$H$16-'Skenario A B C'!$AE$16))</f>
        <v/>
      </c>
      <c r="F20">
        <f>IF(3&lt;'Skenario A B C'!$E$16,0,MAX(0,'Skenario A B C'!$H$16-'Skenario A B C'!$AE$16))</f>
        <v/>
      </c>
      <c r="G20">
        <f>IF(4&lt;'Skenario A B C'!$E$16,0,MAX(0,'Skenario A B C'!$I$16-'Skenario A B C'!$AE$16))</f>
        <v/>
      </c>
      <c r="H20">
        <f>IF(5&lt;'Skenario A B C'!$E$16,0,MAX(0,'Skenario A B C'!$I$16-'Skenario A B C'!$AE$16))</f>
        <v/>
      </c>
      <c r="I20">
        <f>IF(6&lt;'Skenario A B C'!$E$16,0,MAX(0,'Skenario A B C'!$I$16-'Skenario A B C'!$AE$16))</f>
        <v/>
      </c>
      <c r="J20">
        <f>IF(7&lt;'Skenario A B C'!$E$16,0,MAX(0,'Skenario A B C'!$I$16-'Skenario A B C'!$AE$16))</f>
        <v/>
      </c>
      <c r="K20">
        <f>IF(8&lt;'Skenario A B C'!$E$16,0,MAX(0,'Skenario A B C'!$I$16-'Skenario A B C'!$AE$16))</f>
        <v/>
      </c>
      <c r="L20">
        <f>IF(9&lt;'Skenario A B C'!$E$16,0,MAX(0,'Skenario A B C'!$I$16-'Skenario A B C'!$AE$16))</f>
        <v/>
      </c>
      <c r="M20">
        <f>IF(10&lt;'Skenario A B C'!$E$16,0,MAX(0,'Skenario A B C'!$I$16-'Skenario A B C'!$AE$16))</f>
        <v/>
      </c>
      <c r="N20">
        <f>IF(11&lt;'Skenario A B C'!$E$16,0,MAX(0,'Skenario A B C'!$I$16-'Skenario A B C'!$AE$16))</f>
        <v/>
      </c>
      <c r="O20">
        <f>IF(12&lt;'Skenario A B C'!$E$16,0,MAX(0,'Skenario A B C'!$I$16-'Skenario A B C'!$AE$16))</f>
        <v/>
      </c>
      <c r="P20">
        <f>IF(13&lt;'Skenario A B C'!$E$16,0,MAX(0,'Skenario A B C'!$J$16-'Skenario A B C'!$AE$16))</f>
        <v/>
      </c>
      <c r="Q20">
        <f>IF(14&lt;'Skenario A B C'!$E$16,0,MAX(0,'Skenario A B C'!$J$16-'Skenario A B C'!$AE$16))</f>
        <v/>
      </c>
      <c r="R20">
        <f>IF(15&lt;'Skenario A B C'!$E$16,0,MAX(0,'Skenario A B C'!$J$16-'Skenario A B C'!$AE$16))</f>
        <v/>
      </c>
      <c r="S20">
        <f>IF(16&lt;'Skenario A B C'!$E$16,0,MAX(0,'Skenario A B C'!$J$16-'Skenario A B C'!$AE$16))</f>
        <v/>
      </c>
      <c r="T20">
        <f>IF(17&lt;'Skenario A B C'!$E$16,0,MAX(0,'Skenario A B C'!$J$16-'Skenario A B C'!$AE$16))</f>
        <v/>
      </c>
      <c r="U20">
        <f>IF(18&lt;'Skenario A B C'!$E$16,0,MAX(0,'Skenario A B C'!$J$16-'Skenario A B C'!$AE$16))</f>
        <v/>
      </c>
      <c r="V20">
        <f>IF(19&lt;'Skenario A B C'!$E$16,0,MAX(0,'Skenario A B C'!$J$16-'Skenario A B C'!$AE$16))</f>
        <v/>
      </c>
      <c r="W20">
        <f>IF(20&lt;'Skenario A B C'!$E$16,0,MAX(0,'Skenario A B C'!$J$16-'Skenario A B C'!$AE$16))</f>
        <v/>
      </c>
      <c r="X20">
        <f>IF(21&lt;'Skenario A B C'!$E$16,0,MAX(0,'Skenario A B C'!$J$16-'Skenario A B C'!$AE$16))</f>
        <v/>
      </c>
      <c r="Y20">
        <f>IF(22&lt;'Skenario A B C'!$E$16,0,MAX(0,'Skenario A B C'!$J$16-'Skenario A B C'!$AE$16))</f>
        <v/>
      </c>
      <c r="Z20">
        <f>IF(23&lt;'Skenario A B C'!$E$16,0,MAX(0,'Skenario A B C'!$J$16-'Skenario A B C'!$AE$16))</f>
        <v/>
      </c>
      <c r="AA20">
        <f>IF(24&lt;'Skenario A B C'!$E$16,0,MAX(0,'Skenario A B C'!$J$16-'Skenario A B C'!$AE$16))</f>
        <v/>
      </c>
    </row>
    <row r="21">
      <c r="A21" t="inlineStr">
        <is>
          <t>QA Engineer</t>
        </is>
      </c>
      <c r="B21" s="6">
        <f>'Skenario A B C'!$F$17</f>
        <v/>
      </c>
      <c r="D21">
        <f>IF(1&lt;'Skenario A B C'!$E$17,0,MAX(0,'Skenario A B C'!$H$17-'Skenario A B C'!$AE$17))</f>
        <v/>
      </c>
      <c r="E21">
        <f>IF(2&lt;'Skenario A B C'!$E$17,0,MAX(0,'Skenario A B C'!$H$17-'Skenario A B C'!$AE$17))</f>
        <v/>
      </c>
      <c r="F21">
        <f>IF(3&lt;'Skenario A B C'!$E$17,0,MAX(0,'Skenario A B C'!$H$17-'Skenario A B C'!$AE$17))</f>
        <v/>
      </c>
      <c r="G21">
        <f>IF(4&lt;'Skenario A B C'!$E$17,0,MAX(0,'Skenario A B C'!$I$17-'Skenario A B C'!$AE$17))</f>
        <v/>
      </c>
      <c r="H21">
        <f>IF(5&lt;'Skenario A B C'!$E$17,0,MAX(0,'Skenario A B C'!$I$17-'Skenario A B C'!$AE$17))</f>
        <v/>
      </c>
      <c r="I21">
        <f>IF(6&lt;'Skenario A B C'!$E$17,0,MAX(0,'Skenario A B C'!$I$17-'Skenario A B C'!$AE$17))</f>
        <v/>
      </c>
      <c r="J21">
        <f>IF(7&lt;'Skenario A B C'!$E$17,0,MAX(0,'Skenario A B C'!$I$17-'Skenario A B C'!$AE$17))</f>
        <v/>
      </c>
      <c r="K21">
        <f>IF(8&lt;'Skenario A B C'!$E$17,0,MAX(0,'Skenario A B C'!$I$17-'Skenario A B C'!$AE$17))</f>
        <v/>
      </c>
      <c r="L21">
        <f>IF(9&lt;'Skenario A B C'!$E$17,0,MAX(0,'Skenario A B C'!$I$17-'Skenario A B C'!$AE$17))</f>
        <v/>
      </c>
      <c r="M21">
        <f>IF(10&lt;'Skenario A B C'!$E$17,0,MAX(0,'Skenario A B C'!$I$17-'Skenario A B C'!$AE$17))</f>
        <v/>
      </c>
      <c r="N21">
        <f>IF(11&lt;'Skenario A B C'!$E$17,0,MAX(0,'Skenario A B C'!$I$17-'Skenario A B C'!$AE$17))</f>
        <v/>
      </c>
      <c r="O21">
        <f>IF(12&lt;'Skenario A B C'!$E$17,0,MAX(0,'Skenario A B C'!$I$17-'Skenario A B C'!$AE$17))</f>
        <v/>
      </c>
      <c r="P21">
        <f>IF(13&lt;'Skenario A B C'!$E$17,0,MAX(0,'Skenario A B C'!$J$17-'Skenario A B C'!$AE$17))</f>
        <v/>
      </c>
      <c r="Q21">
        <f>IF(14&lt;'Skenario A B C'!$E$17,0,MAX(0,'Skenario A B C'!$J$17-'Skenario A B C'!$AE$17))</f>
        <v/>
      </c>
      <c r="R21">
        <f>IF(15&lt;'Skenario A B C'!$E$17,0,MAX(0,'Skenario A B C'!$J$17-'Skenario A B C'!$AE$17))</f>
        <v/>
      </c>
      <c r="S21">
        <f>IF(16&lt;'Skenario A B C'!$E$17,0,MAX(0,'Skenario A B C'!$J$17-'Skenario A B C'!$AE$17))</f>
        <v/>
      </c>
      <c r="T21">
        <f>IF(17&lt;'Skenario A B C'!$E$17,0,MAX(0,'Skenario A B C'!$J$17-'Skenario A B C'!$AE$17))</f>
        <v/>
      </c>
      <c r="U21">
        <f>IF(18&lt;'Skenario A B C'!$E$17,0,MAX(0,'Skenario A B C'!$J$17-'Skenario A B C'!$AE$17))</f>
        <v/>
      </c>
      <c r="V21">
        <f>IF(19&lt;'Skenario A B C'!$E$17,0,MAX(0,'Skenario A B C'!$J$17-'Skenario A B C'!$AE$17))</f>
        <v/>
      </c>
      <c r="W21">
        <f>IF(20&lt;'Skenario A B C'!$E$17,0,MAX(0,'Skenario A B C'!$J$17-'Skenario A B C'!$AE$17))</f>
        <v/>
      </c>
      <c r="X21">
        <f>IF(21&lt;'Skenario A B C'!$E$17,0,MAX(0,'Skenario A B C'!$J$17-'Skenario A B C'!$AE$17))</f>
        <v/>
      </c>
      <c r="Y21">
        <f>IF(22&lt;'Skenario A B C'!$E$17,0,MAX(0,'Skenario A B C'!$J$17-'Skenario A B C'!$AE$17))</f>
        <v/>
      </c>
      <c r="Z21">
        <f>IF(23&lt;'Skenario A B C'!$E$17,0,MAX(0,'Skenario A B C'!$J$17-'Skenario A B C'!$AE$17))</f>
        <v/>
      </c>
      <c r="AA21">
        <f>IF(24&lt;'Skenario A B C'!$E$17,0,MAX(0,'Skenario A B C'!$J$17-'Skenario A B C'!$AE$17))</f>
        <v/>
      </c>
    </row>
    <row r="22">
      <c r="A22" t="inlineStr">
        <is>
          <t>QA Engineer - gelombang 2</t>
        </is>
      </c>
      <c r="B22" s="6">
        <f>'Skenario A B C'!$F$18</f>
        <v/>
      </c>
      <c r="D22">
        <f>IF(1&lt;'Skenario A B C'!$E$18,0,MAX(0,'Skenario A B C'!$H$18-'Skenario A B C'!$AE$18))</f>
        <v/>
      </c>
      <c r="E22">
        <f>IF(2&lt;'Skenario A B C'!$E$18,0,MAX(0,'Skenario A B C'!$H$18-'Skenario A B C'!$AE$18))</f>
        <v/>
      </c>
      <c r="F22">
        <f>IF(3&lt;'Skenario A B C'!$E$18,0,MAX(0,'Skenario A B C'!$H$18-'Skenario A B C'!$AE$18))</f>
        <v/>
      </c>
      <c r="G22">
        <f>IF(4&lt;'Skenario A B C'!$E$18,0,MAX(0,'Skenario A B C'!$I$18-'Skenario A B C'!$AE$18))</f>
        <v/>
      </c>
      <c r="H22">
        <f>IF(5&lt;'Skenario A B C'!$E$18,0,MAX(0,'Skenario A B C'!$I$18-'Skenario A B C'!$AE$18))</f>
        <v/>
      </c>
      <c r="I22">
        <f>IF(6&lt;'Skenario A B C'!$E$18,0,MAX(0,'Skenario A B C'!$I$18-'Skenario A B C'!$AE$18))</f>
        <v/>
      </c>
      <c r="J22">
        <f>IF(7&lt;'Skenario A B C'!$E$18,0,MAX(0,'Skenario A B C'!$I$18-'Skenario A B C'!$AE$18))</f>
        <v/>
      </c>
      <c r="K22">
        <f>IF(8&lt;'Skenario A B C'!$E$18,0,MAX(0,'Skenario A B C'!$I$18-'Skenario A B C'!$AE$18))</f>
        <v/>
      </c>
      <c r="L22">
        <f>IF(9&lt;'Skenario A B C'!$E$18,0,MAX(0,'Skenario A B C'!$I$18-'Skenario A B C'!$AE$18))</f>
        <v/>
      </c>
      <c r="M22">
        <f>IF(10&lt;'Skenario A B C'!$E$18,0,MAX(0,'Skenario A B C'!$I$18-'Skenario A B C'!$AE$18))</f>
        <v/>
      </c>
      <c r="N22">
        <f>IF(11&lt;'Skenario A B C'!$E$18,0,MAX(0,'Skenario A B C'!$I$18-'Skenario A B C'!$AE$18))</f>
        <v/>
      </c>
      <c r="O22">
        <f>IF(12&lt;'Skenario A B C'!$E$18,0,MAX(0,'Skenario A B C'!$I$18-'Skenario A B C'!$AE$18))</f>
        <v/>
      </c>
      <c r="P22">
        <f>IF(13&lt;'Skenario A B C'!$E$18,0,MAX(0,'Skenario A B C'!$J$18-'Skenario A B C'!$AE$18))</f>
        <v/>
      </c>
      <c r="Q22">
        <f>IF(14&lt;'Skenario A B C'!$E$18,0,MAX(0,'Skenario A B C'!$J$18-'Skenario A B C'!$AE$18))</f>
        <v/>
      </c>
      <c r="R22">
        <f>IF(15&lt;'Skenario A B C'!$E$18,0,MAX(0,'Skenario A B C'!$J$18-'Skenario A B C'!$AE$18))</f>
        <v/>
      </c>
      <c r="S22">
        <f>IF(16&lt;'Skenario A B C'!$E$18,0,MAX(0,'Skenario A B C'!$J$18-'Skenario A B C'!$AE$18))</f>
        <v/>
      </c>
      <c r="T22">
        <f>IF(17&lt;'Skenario A B C'!$E$18,0,MAX(0,'Skenario A B C'!$J$18-'Skenario A B C'!$AE$18))</f>
        <v/>
      </c>
      <c r="U22">
        <f>IF(18&lt;'Skenario A B C'!$E$18,0,MAX(0,'Skenario A B C'!$J$18-'Skenario A B C'!$AE$18))</f>
        <v/>
      </c>
      <c r="V22">
        <f>IF(19&lt;'Skenario A B C'!$E$18,0,MAX(0,'Skenario A B C'!$J$18-'Skenario A B C'!$AE$18))</f>
        <v/>
      </c>
      <c r="W22">
        <f>IF(20&lt;'Skenario A B C'!$E$18,0,MAX(0,'Skenario A B C'!$J$18-'Skenario A B C'!$AE$18))</f>
        <v/>
      </c>
      <c r="X22">
        <f>IF(21&lt;'Skenario A B C'!$E$18,0,MAX(0,'Skenario A B C'!$J$18-'Skenario A B C'!$AE$18))</f>
        <v/>
      </c>
      <c r="Y22">
        <f>IF(22&lt;'Skenario A B C'!$E$18,0,MAX(0,'Skenario A B C'!$J$18-'Skenario A B C'!$AE$18))</f>
        <v/>
      </c>
      <c r="Z22">
        <f>IF(23&lt;'Skenario A B C'!$E$18,0,MAX(0,'Skenario A B C'!$J$18-'Skenario A B C'!$AE$18))</f>
        <v/>
      </c>
      <c r="AA22">
        <f>IF(24&lt;'Skenario A B C'!$E$18,0,MAX(0,'Skenario A B C'!$J$18-'Skenario A B C'!$AE$18))</f>
        <v/>
      </c>
    </row>
    <row r="23">
      <c r="A23" t="inlineStr">
        <is>
          <t>Junior Software Engineer</t>
        </is>
      </c>
      <c r="B23" s="6">
        <f>'Skenario A B C'!$F$19</f>
        <v/>
      </c>
      <c r="D23">
        <f>IF(1&lt;'Skenario A B C'!$E$19,0,MAX(0,'Skenario A B C'!$H$19-'Skenario A B C'!$AE$19))</f>
        <v/>
      </c>
      <c r="E23">
        <f>IF(2&lt;'Skenario A B C'!$E$19,0,MAX(0,'Skenario A B C'!$H$19-'Skenario A B C'!$AE$19))</f>
        <v/>
      </c>
      <c r="F23">
        <f>IF(3&lt;'Skenario A B C'!$E$19,0,MAX(0,'Skenario A B C'!$H$19-'Skenario A B C'!$AE$19))</f>
        <v/>
      </c>
      <c r="G23">
        <f>IF(4&lt;'Skenario A B C'!$E$19,0,MAX(0,'Skenario A B C'!$I$19-'Skenario A B C'!$AE$19))</f>
        <v/>
      </c>
      <c r="H23">
        <f>IF(5&lt;'Skenario A B C'!$E$19,0,MAX(0,'Skenario A B C'!$I$19-'Skenario A B C'!$AE$19))</f>
        <v/>
      </c>
      <c r="I23">
        <f>IF(6&lt;'Skenario A B C'!$E$19,0,MAX(0,'Skenario A B C'!$I$19-'Skenario A B C'!$AE$19))</f>
        <v/>
      </c>
      <c r="J23">
        <f>IF(7&lt;'Skenario A B C'!$E$19,0,MAX(0,'Skenario A B C'!$I$19-'Skenario A B C'!$AE$19))</f>
        <v/>
      </c>
      <c r="K23">
        <f>IF(8&lt;'Skenario A B C'!$E$19,0,MAX(0,'Skenario A B C'!$I$19-'Skenario A B C'!$AE$19))</f>
        <v/>
      </c>
      <c r="L23">
        <f>IF(9&lt;'Skenario A B C'!$E$19,0,MAX(0,'Skenario A B C'!$I$19-'Skenario A B C'!$AE$19))</f>
        <v/>
      </c>
      <c r="M23">
        <f>IF(10&lt;'Skenario A B C'!$E$19,0,MAX(0,'Skenario A B C'!$I$19-'Skenario A B C'!$AE$19))</f>
        <v/>
      </c>
      <c r="N23">
        <f>IF(11&lt;'Skenario A B C'!$E$19,0,MAX(0,'Skenario A B C'!$I$19-'Skenario A B C'!$AE$19))</f>
        <v/>
      </c>
      <c r="O23">
        <f>IF(12&lt;'Skenario A B C'!$E$19,0,MAX(0,'Skenario A B C'!$I$19-'Skenario A B C'!$AE$19))</f>
        <v/>
      </c>
      <c r="P23">
        <f>IF(13&lt;'Skenario A B C'!$E$19,0,MAX(0,'Skenario A B C'!$J$19-'Skenario A B C'!$AE$19))</f>
        <v/>
      </c>
      <c r="Q23">
        <f>IF(14&lt;'Skenario A B C'!$E$19,0,MAX(0,'Skenario A B C'!$J$19-'Skenario A B C'!$AE$19))</f>
        <v/>
      </c>
      <c r="R23">
        <f>IF(15&lt;'Skenario A B C'!$E$19,0,MAX(0,'Skenario A B C'!$J$19-'Skenario A B C'!$AE$19))</f>
        <v/>
      </c>
      <c r="S23">
        <f>IF(16&lt;'Skenario A B C'!$E$19,0,MAX(0,'Skenario A B C'!$J$19-'Skenario A B C'!$AE$19))</f>
        <v/>
      </c>
      <c r="T23">
        <f>IF(17&lt;'Skenario A B C'!$E$19,0,MAX(0,'Skenario A B C'!$J$19-'Skenario A B C'!$AE$19))</f>
        <v/>
      </c>
      <c r="U23">
        <f>IF(18&lt;'Skenario A B C'!$E$19,0,MAX(0,'Skenario A B C'!$J$19-'Skenario A B C'!$AE$19))</f>
        <v/>
      </c>
      <c r="V23">
        <f>IF(19&lt;'Skenario A B C'!$E$19,0,MAX(0,'Skenario A B C'!$J$19-'Skenario A B C'!$AE$19))</f>
        <v/>
      </c>
      <c r="W23">
        <f>IF(20&lt;'Skenario A B C'!$E$19,0,MAX(0,'Skenario A B C'!$J$19-'Skenario A B C'!$AE$19))</f>
        <v/>
      </c>
      <c r="X23">
        <f>IF(21&lt;'Skenario A B C'!$E$19,0,MAX(0,'Skenario A B C'!$J$19-'Skenario A B C'!$AE$19))</f>
        <v/>
      </c>
      <c r="Y23">
        <f>IF(22&lt;'Skenario A B C'!$E$19,0,MAX(0,'Skenario A B C'!$J$19-'Skenario A B C'!$AE$19))</f>
        <v/>
      </c>
      <c r="Z23">
        <f>IF(23&lt;'Skenario A B C'!$E$19,0,MAX(0,'Skenario A B C'!$J$19-'Skenario A B C'!$AE$19))</f>
        <v/>
      </c>
      <c r="AA23">
        <f>IF(24&lt;'Skenario A B C'!$E$19,0,MAX(0,'Skenario A B C'!$J$19-'Skenario A B C'!$AE$19))</f>
        <v/>
      </c>
    </row>
    <row r="24">
      <c r="A24" t="inlineStr">
        <is>
          <t>Junior Software Engineer - Padang</t>
        </is>
      </c>
      <c r="B24" s="6">
        <f>'Skenario A B C'!$F$20</f>
        <v/>
      </c>
      <c r="D24">
        <f>IF(1&lt;'Skenario A B C'!$E$20,0,MAX(0,'Skenario A B C'!$H$20-'Skenario A B C'!$AE$20))</f>
        <v/>
      </c>
      <c r="E24">
        <f>IF(2&lt;'Skenario A B C'!$E$20,0,MAX(0,'Skenario A B C'!$H$20-'Skenario A B C'!$AE$20))</f>
        <v/>
      </c>
      <c r="F24">
        <f>IF(3&lt;'Skenario A B C'!$E$20,0,MAX(0,'Skenario A B C'!$H$20-'Skenario A B C'!$AE$20))</f>
        <v/>
      </c>
      <c r="G24">
        <f>IF(4&lt;'Skenario A B C'!$E$20,0,MAX(0,'Skenario A B C'!$I$20-'Skenario A B C'!$AE$20))</f>
        <v/>
      </c>
      <c r="H24">
        <f>IF(5&lt;'Skenario A B C'!$E$20,0,MAX(0,'Skenario A B C'!$I$20-'Skenario A B C'!$AE$20))</f>
        <v/>
      </c>
      <c r="I24">
        <f>IF(6&lt;'Skenario A B C'!$E$20,0,MAX(0,'Skenario A B C'!$I$20-'Skenario A B C'!$AE$20))</f>
        <v/>
      </c>
      <c r="J24">
        <f>IF(7&lt;'Skenario A B C'!$E$20,0,MAX(0,'Skenario A B C'!$I$20-'Skenario A B C'!$AE$20))</f>
        <v/>
      </c>
      <c r="K24">
        <f>IF(8&lt;'Skenario A B C'!$E$20,0,MAX(0,'Skenario A B C'!$I$20-'Skenario A B C'!$AE$20))</f>
        <v/>
      </c>
      <c r="L24">
        <f>IF(9&lt;'Skenario A B C'!$E$20,0,MAX(0,'Skenario A B C'!$I$20-'Skenario A B C'!$AE$20))</f>
        <v/>
      </c>
      <c r="M24">
        <f>IF(10&lt;'Skenario A B C'!$E$20,0,MAX(0,'Skenario A B C'!$I$20-'Skenario A B C'!$AE$20))</f>
        <v/>
      </c>
      <c r="N24">
        <f>IF(11&lt;'Skenario A B C'!$E$20,0,MAX(0,'Skenario A B C'!$I$20-'Skenario A B C'!$AE$20))</f>
        <v/>
      </c>
      <c r="O24">
        <f>IF(12&lt;'Skenario A B C'!$E$20,0,MAX(0,'Skenario A B C'!$I$20-'Skenario A B C'!$AE$20))</f>
        <v/>
      </c>
      <c r="P24">
        <f>IF(13&lt;'Skenario A B C'!$E$20,0,MAX(0,'Skenario A B C'!$J$20-'Skenario A B C'!$AE$20))</f>
        <v/>
      </c>
      <c r="Q24">
        <f>IF(14&lt;'Skenario A B C'!$E$20,0,MAX(0,'Skenario A B C'!$J$20-'Skenario A B C'!$AE$20))</f>
        <v/>
      </c>
      <c r="R24">
        <f>IF(15&lt;'Skenario A B C'!$E$20,0,MAX(0,'Skenario A B C'!$J$20-'Skenario A B C'!$AE$20))</f>
        <v/>
      </c>
      <c r="S24">
        <f>IF(16&lt;'Skenario A B C'!$E$20,0,MAX(0,'Skenario A B C'!$J$20-'Skenario A B C'!$AE$20))</f>
        <v/>
      </c>
      <c r="T24">
        <f>IF(17&lt;'Skenario A B C'!$E$20,0,MAX(0,'Skenario A B C'!$J$20-'Skenario A B C'!$AE$20))</f>
        <v/>
      </c>
      <c r="U24">
        <f>IF(18&lt;'Skenario A B C'!$E$20,0,MAX(0,'Skenario A B C'!$J$20-'Skenario A B C'!$AE$20))</f>
        <v/>
      </c>
      <c r="V24">
        <f>IF(19&lt;'Skenario A B C'!$E$20,0,MAX(0,'Skenario A B C'!$J$20-'Skenario A B C'!$AE$20))</f>
        <v/>
      </c>
      <c r="W24">
        <f>IF(20&lt;'Skenario A B C'!$E$20,0,MAX(0,'Skenario A B C'!$J$20-'Skenario A B C'!$AE$20))</f>
        <v/>
      </c>
      <c r="X24">
        <f>IF(21&lt;'Skenario A B C'!$E$20,0,MAX(0,'Skenario A B C'!$J$20-'Skenario A B C'!$AE$20))</f>
        <v/>
      </c>
      <c r="Y24">
        <f>IF(22&lt;'Skenario A B C'!$E$20,0,MAX(0,'Skenario A B C'!$J$20-'Skenario A B C'!$AE$20))</f>
        <v/>
      </c>
      <c r="Z24">
        <f>IF(23&lt;'Skenario A B C'!$E$20,0,MAX(0,'Skenario A B C'!$J$20-'Skenario A B C'!$AE$20))</f>
        <v/>
      </c>
      <c r="AA24">
        <f>IF(24&lt;'Skenario A B C'!$E$20,0,MAX(0,'Skenario A B C'!$J$20-'Skenario A B C'!$AE$20))</f>
        <v/>
      </c>
    </row>
    <row r="25">
      <c r="A25" t="inlineStr">
        <is>
          <t>Product Designer (UI/UX)</t>
        </is>
      </c>
      <c r="B25" s="6">
        <f>'Skenario A B C'!$F$21</f>
        <v/>
      </c>
      <c r="D25">
        <f>IF(1&lt;'Skenario A B C'!$E$21,0,MAX(0,'Skenario A B C'!$H$21-'Skenario A B C'!$AE$21))</f>
        <v/>
      </c>
      <c r="E25">
        <f>IF(2&lt;'Skenario A B C'!$E$21,0,MAX(0,'Skenario A B C'!$H$21-'Skenario A B C'!$AE$21))</f>
        <v/>
      </c>
      <c r="F25">
        <f>IF(3&lt;'Skenario A B C'!$E$21,0,MAX(0,'Skenario A B C'!$H$21-'Skenario A B C'!$AE$21))</f>
        <v/>
      </c>
      <c r="G25">
        <f>IF(4&lt;'Skenario A B C'!$E$21,0,MAX(0,'Skenario A B C'!$I$21-'Skenario A B C'!$AE$21))</f>
        <v/>
      </c>
      <c r="H25">
        <f>IF(5&lt;'Skenario A B C'!$E$21,0,MAX(0,'Skenario A B C'!$I$21-'Skenario A B C'!$AE$21))</f>
        <v/>
      </c>
      <c r="I25">
        <f>IF(6&lt;'Skenario A B C'!$E$21,0,MAX(0,'Skenario A B C'!$I$21-'Skenario A B C'!$AE$21))</f>
        <v/>
      </c>
      <c r="J25">
        <f>IF(7&lt;'Skenario A B C'!$E$21,0,MAX(0,'Skenario A B C'!$I$21-'Skenario A B C'!$AE$21))</f>
        <v/>
      </c>
      <c r="K25">
        <f>IF(8&lt;'Skenario A B C'!$E$21,0,MAX(0,'Skenario A B C'!$I$21-'Skenario A B C'!$AE$21))</f>
        <v/>
      </c>
      <c r="L25">
        <f>IF(9&lt;'Skenario A B C'!$E$21,0,MAX(0,'Skenario A B C'!$I$21-'Skenario A B C'!$AE$21))</f>
        <v/>
      </c>
      <c r="M25">
        <f>IF(10&lt;'Skenario A B C'!$E$21,0,MAX(0,'Skenario A B C'!$I$21-'Skenario A B C'!$AE$21))</f>
        <v/>
      </c>
      <c r="N25">
        <f>IF(11&lt;'Skenario A B C'!$E$21,0,MAX(0,'Skenario A B C'!$I$21-'Skenario A B C'!$AE$21))</f>
        <v/>
      </c>
      <c r="O25">
        <f>IF(12&lt;'Skenario A B C'!$E$21,0,MAX(0,'Skenario A B C'!$I$21-'Skenario A B C'!$AE$21))</f>
        <v/>
      </c>
      <c r="P25">
        <f>IF(13&lt;'Skenario A B C'!$E$21,0,MAX(0,'Skenario A B C'!$J$21-'Skenario A B C'!$AE$21))</f>
        <v/>
      </c>
      <c r="Q25">
        <f>IF(14&lt;'Skenario A B C'!$E$21,0,MAX(0,'Skenario A B C'!$J$21-'Skenario A B C'!$AE$21))</f>
        <v/>
      </c>
      <c r="R25">
        <f>IF(15&lt;'Skenario A B C'!$E$21,0,MAX(0,'Skenario A B C'!$J$21-'Skenario A B C'!$AE$21))</f>
        <v/>
      </c>
      <c r="S25">
        <f>IF(16&lt;'Skenario A B C'!$E$21,0,MAX(0,'Skenario A B C'!$J$21-'Skenario A B C'!$AE$21))</f>
        <v/>
      </c>
      <c r="T25">
        <f>IF(17&lt;'Skenario A B C'!$E$21,0,MAX(0,'Skenario A B C'!$J$21-'Skenario A B C'!$AE$21))</f>
        <v/>
      </c>
      <c r="U25">
        <f>IF(18&lt;'Skenario A B C'!$E$21,0,MAX(0,'Skenario A B C'!$J$21-'Skenario A B C'!$AE$21))</f>
        <v/>
      </c>
      <c r="V25">
        <f>IF(19&lt;'Skenario A B C'!$E$21,0,MAX(0,'Skenario A B C'!$J$21-'Skenario A B C'!$AE$21))</f>
        <v/>
      </c>
      <c r="W25">
        <f>IF(20&lt;'Skenario A B C'!$E$21,0,MAX(0,'Skenario A B C'!$J$21-'Skenario A B C'!$AE$21))</f>
        <v/>
      </c>
      <c r="X25">
        <f>IF(21&lt;'Skenario A B C'!$E$21,0,MAX(0,'Skenario A B C'!$J$21-'Skenario A B C'!$AE$21))</f>
        <v/>
      </c>
      <c r="Y25">
        <f>IF(22&lt;'Skenario A B C'!$E$21,0,MAX(0,'Skenario A B C'!$J$21-'Skenario A B C'!$AE$21))</f>
        <v/>
      </c>
      <c r="Z25">
        <f>IF(23&lt;'Skenario A B C'!$E$21,0,MAX(0,'Skenario A B C'!$J$21-'Skenario A B C'!$AE$21))</f>
        <v/>
      </c>
      <c r="AA25">
        <f>IF(24&lt;'Skenario A B C'!$E$21,0,MAX(0,'Skenario A B C'!$J$21-'Skenario A B C'!$AE$21))</f>
        <v/>
      </c>
    </row>
    <row r="26">
      <c r="A26" t="inlineStr">
        <is>
          <t>Product Designer (UI/UX) - gelombang 2</t>
        </is>
      </c>
      <c r="B26" s="6">
        <f>'Skenario A B C'!$F$22</f>
        <v/>
      </c>
      <c r="D26">
        <f>IF(1&lt;'Skenario A B C'!$E$22,0,MAX(0,'Skenario A B C'!$H$22-'Skenario A B C'!$AE$22))</f>
        <v/>
      </c>
      <c r="E26">
        <f>IF(2&lt;'Skenario A B C'!$E$22,0,MAX(0,'Skenario A B C'!$H$22-'Skenario A B C'!$AE$22))</f>
        <v/>
      </c>
      <c r="F26">
        <f>IF(3&lt;'Skenario A B C'!$E$22,0,MAX(0,'Skenario A B C'!$H$22-'Skenario A B C'!$AE$22))</f>
        <v/>
      </c>
      <c r="G26">
        <f>IF(4&lt;'Skenario A B C'!$E$22,0,MAX(0,'Skenario A B C'!$I$22-'Skenario A B C'!$AE$22))</f>
        <v/>
      </c>
      <c r="H26">
        <f>IF(5&lt;'Skenario A B C'!$E$22,0,MAX(0,'Skenario A B C'!$I$22-'Skenario A B C'!$AE$22))</f>
        <v/>
      </c>
      <c r="I26">
        <f>IF(6&lt;'Skenario A B C'!$E$22,0,MAX(0,'Skenario A B C'!$I$22-'Skenario A B C'!$AE$22))</f>
        <v/>
      </c>
      <c r="J26">
        <f>IF(7&lt;'Skenario A B C'!$E$22,0,MAX(0,'Skenario A B C'!$I$22-'Skenario A B C'!$AE$22))</f>
        <v/>
      </c>
      <c r="K26">
        <f>IF(8&lt;'Skenario A B C'!$E$22,0,MAX(0,'Skenario A B C'!$I$22-'Skenario A B C'!$AE$22))</f>
        <v/>
      </c>
      <c r="L26">
        <f>IF(9&lt;'Skenario A B C'!$E$22,0,MAX(0,'Skenario A B C'!$I$22-'Skenario A B C'!$AE$22))</f>
        <v/>
      </c>
      <c r="M26">
        <f>IF(10&lt;'Skenario A B C'!$E$22,0,MAX(0,'Skenario A B C'!$I$22-'Skenario A B C'!$AE$22))</f>
        <v/>
      </c>
      <c r="N26">
        <f>IF(11&lt;'Skenario A B C'!$E$22,0,MAX(0,'Skenario A B C'!$I$22-'Skenario A B C'!$AE$22))</f>
        <v/>
      </c>
      <c r="O26">
        <f>IF(12&lt;'Skenario A B C'!$E$22,0,MAX(0,'Skenario A B C'!$I$22-'Skenario A B C'!$AE$22))</f>
        <v/>
      </c>
      <c r="P26">
        <f>IF(13&lt;'Skenario A B C'!$E$22,0,MAX(0,'Skenario A B C'!$J$22-'Skenario A B C'!$AE$22))</f>
        <v/>
      </c>
      <c r="Q26">
        <f>IF(14&lt;'Skenario A B C'!$E$22,0,MAX(0,'Skenario A B C'!$J$22-'Skenario A B C'!$AE$22))</f>
        <v/>
      </c>
      <c r="R26">
        <f>IF(15&lt;'Skenario A B C'!$E$22,0,MAX(0,'Skenario A B C'!$J$22-'Skenario A B C'!$AE$22))</f>
        <v/>
      </c>
      <c r="S26">
        <f>IF(16&lt;'Skenario A B C'!$E$22,0,MAX(0,'Skenario A B C'!$J$22-'Skenario A B C'!$AE$22))</f>
        <v/>
      </c>
      <c r="T26">
        <f>IF(17&lt;'Skenario A B C'!$E$22,0,MAX(0,'Skenario A B C'!$J$22-'Skenario A B C'!$AE$22))</f>
        <v/>
      </c>
      <c r="U26">
        <f>IF(18&lt;'Skenario A B C'!$E$22,0,MAX(0,'Skenario A B C'!$J$22-'Skenario A B C'!$AE$22))</f>
        <v/>
      </c>
      <c r="V26">
        <f>IF(19&lt;'Skenario A B C'!$E$22,0,MAX(0,'Skenario A B C'!$J$22-'Skenario A B C'!$AE$22))</f>
        <v/>
      </c>
      <c r="W26">
        <f>IF(20&lt;'Skenario A B C'!$E$22,0,MAX(0,'Skenario A B C'!$J$22-'Skenario A B C'!$AE$22))</f>
        <v/>
      </c>
      <c r="X26">
        <f>IF(21&lt;'Skenario A B C'!$E$22,0,MAX(0,'Skenario A B C'!$J$22-'Skenario A B C'!$AE$22))</f>
        <v/>
      </c>
      <c r="Y26">
        <f>IF(22&lt;'Skenario A B C'!$E$22,0,MAX(0,'Skenario A B C'!$J$22-'Skenario A B C'!$AE$22))</f>
        <v/>
      </c>
      <c r="Z26">
        <f>IF(23&lt;'Skenario A B C'!$E$22,0,MAX(0,'Skenario A B C'!$J$22-'Skenario A B C'!$AE$22))</f>
        <v/>
      </c>
      <c r="AA26">
        <f>IF(24&lt;'Skenario A B C'!$E$22,0,MAX(0,'Skenario A B C'!$J$22-'Skenario A B C'!$AE$22))</f>
        <v/>
      </c>
    </row>
    <row r="27">
      <c r="A27" t="inlineStr">
        <is>
          <t>Data Analyst</t>
        </is>
      </c>
      <c r="B27" s="6">
        <f>'Skenario A B C'!$F$23</f>
        <v/>
      </c>
      <c r="D27">
        <f>IF(1&lt;'Skenario A B C'!$E$23,0,MAX(0,'Skenario A B C'!$H$23-'Skenario A B C'!$AE$23))</f>
        <v/>
      </c>
      <c r="E27">
        <f>IF(2&lt;'Skenario A B C'!$E$23,0,MAX(0,'Skenario A B C'!$H$23-'Skenario A B C'!$AE$23))</f>
        <v/>
      </c>
      <c r="F27">
        <f>IF(3&lt;'Skenario A B C'!$E$23,0,MAX(0,'Skenario A B C'!$H$23-'Skenario A B C'!$AE$23))</f>
        <v/>
      </c>
      <c r="G27">
        <f>IF(4&lt;'Skenario A B C'!$E$23,0,MAX(0,'Skenario A B C'!$I$23-'Skenario A B C'!$AE$23))</f>
        <v/>
      </c>
      <c r="H27">
        <f>IF(5&lt;'Skenario A B C'!$E$23,0,MAX(0,'Skenario A B C'!$I$23-'Skenario A B C'!$AE$23))</f>
        <v/>
      </c>
      <c r="I27">
        <f>IF(6&lt;'Skenario A B C'!$E$23,0,MAX(0,'Skenario A B C'!$I$23-'Skenario A B C'!$AE$23))</f>
        <v/>
      </c>
      <c r="J27">
        <f>IF(7&lt;'Skenario A B C'!$E$23,0,MAX(0,'Skenario A B C'!$I$23-'Skenario A B C'!$AE$23))</f>
        <v/>
      </c>
      <c r="K27">
        <f>IF(8&lt;'Skenario A B C'!$E$23,0,MAX(0,'Skenario A B C'!$I$23-'Skenario A B C'!$AE$23))</f>
        <v/>
      </c>
      <c r="L27">
        <f>IF(9&lt;'Skenario A B C'!$E$23,0,MAX(0,'Skenario A B C'!$I$23-'Skenario A B C'!$AE$23))</f>
        <v/>
      </c>
      <c r="M27">
        <f>IF(10&lt;'Skenario A B C'!$E$23,0,MAX(0,'Skenario A B C'!$I$23-'Skenario A B C'!$AE$23))</f>
        <v/>
      </c>
      <c r="N27">
        <f>IF(11&lt;'Skenario A B C'!$E$23,0,MAX(0,'Skenario A B C'!$I$23-'Skenario A B C'!$AE$23))</f>
        <v/>
      </c>
      <c r="O27">
        <f>IF(12&lt;'Skenario A B C'!$E$23,0,MAX(0,'Skenario A B C'!$I$23-'Skenario A B C'!$AE$23))</f>
        <v/>
      </c>
      <c r="P27">
        <f>IF(13&lt;'Skenario A B C'!$E$23,0,MAX(0,'Skenario A B C'!$J$23-'Skenario A B C'!$AE$23))</f>
        <v/>
      </c>
      <c r="Q27">
        <f>IF(14&lt;'Skenario A B C'!$E$23,0,MAX(0,'Skenario A B C'!$J$23-'Skenario A B C'!$AE$23))</f>
        <v/>
      </c>
      <c r="R27">
        <f>IF(15&lt;'Skenario A B C'!$E$23,0,MAX(0,'Skenario A B C'!$J$23-'Skenario A B C'!$AE$23))</f>
        <v/>
      </c>
      <c r="S27">
        <f>IF(16&lt;'Skenario A B C'!$E$23,0,MAX(0,'Skenario A B C'!$J$23-'Skenario A B C'!$AE$23))</f>
        <v/>
      </c>
      <c r="T27">
        <f>IF(17&lt;'Skenario A B C'!$E$23,0,MAX(0,'Skenario A B C'!$J$23-'Skenario A B C'!$AE$23))</f>
        <v/>
      </c>
      <c r="U27">
        <f>IF(18&lt;'Skenario A B C'!$E$23,0,MAX(0,'Skenario A B C'!$J$23-'Skenario A B C'!$AE$23))</f>
        <v/>
      </c>
      <c r="V27">
        <f>IF(19&lt;'Skenario A B C'!$E$23,0,MAX(0,'Skenario A B C'!$J$23-'Skenario A B C'!$AE$23))</f>
        <v/>
      </c>
      <c r="W27">
        <f>IF(20&lt;'Skenario A B C'!$E$23,0,MAX(0,'Skenario A B C'!$J$23-'Skenario A B C'!$AE$23))</f>
        <v/>
      </c>
      <c r="X27">
        <f>IF(21&lt;'Skenario A B C'!$E$23,0,MAX(0,'Skenario A B C'!$J$23-'Skenario A B C'!$AE$23))</f>
        <v/>
      </c>
      <c r="Y27">
        <f>IF(22&lt;'Skenario A B C'!$E$23,0,MAX(0,'Skenario A B C'!$J$23-'Skenario A B C'!$AE$23))</f>
        <v/>
      </c>
      <c r="Z27">
        <f>IF(23&lt;'Skenario A B C'!$E$23,0,MAX(0,'Skenario A B C'!$J$23-'Skenario A B C'!$AE$23))</f>
        <v/>
      </c>
      <c r="AA27">
        <f>IF(24&lt;'Skenario A B C'!$E$23,0,MAX(0,'Skenario A B C'!$J$23-'Skenario A B C'!$AE$23))</f>
        <v/>
      </c>
    </row>
    <row r="28">
      <c r="A28" t="inlineStr">
        <is>
          <t>Direktur Operasi (COO)</t>
        </is>
      </c>
      <c r="B28" s="6">
        <f>'Skenario A B C'!$F$24</f>
        <v/>
      </c>
      <c r="D28">
        <f>IF(1&lt;'Skenario A B C'!$E$24,0,MAX(0,'Skenario A B C'!$H$24-'Skenario A B C'!$AE$24))</f>
        <v/>
      </c>
      <c r="E28">
        <f>IF(2&lt;'Skenario A B C'!$E$24,0,MAX(0,'Skenario A B C'!$H$24-'Skenario A B C'!$AE$24))</f>
        <v/>
      </c>
      <c r="F28">
        <f>IF(3&lt;'Skenario A B C'!$E$24,0,MAX(0,'Skenario A B C'!$H$24-'Skenario A B C'!$AE$24))</f>
        <v/>
      </c>
      <c r="G28">
        <f>IF(4&lt;'Skenario A B C'!$E$24,0,MAX(0,'Skenario A B C'!$I$24-'Skenario A B C'!$AE$24))</f>
        <v/>
      </c>
      <c r="H28">
        <f>IF(5&lt;'Skenario A B C'!$E$24,0,MAX(0,'Skenario A B C'!$I$24-'Skenario A B C'!$AE$24))</f>
        <v/>
      </c>
      <c r="I28">
        <f>IF(6&lt;'Skenario A B C'!$E$24,0,MAX(0,'Skenario A B C'!$I$24-'Skenario A B C'!$AE$24))</f>
        <v/>
      </c>
      <c r="J28">
        <f>IF(7&lt;'Skenario A B C'!$E$24,0,MAX(0,'Skenario A B C'!$I$24-'Skenario A B C'!$AE$24))</f>
        <v/>
      </c>
      <c r="K28">
        <f>IF(8&lt;'Skenario A B C'!$E$24,0,MAX(0,'Skenario A B C'!$I$24-'Skenario A B C'!$AE$24))</f>
        <v/>
      </c>
      <c r="L28">
        <f>IF(9&lt;'Skenario A B C'!$E$24,0,MAX(0,'Skenario A B C'!$I$24-'Skenario A B C'!$AE$24))</f>
        <v/>
      </c>
      <c r="M28">
        <f>IF(10&lt;'Skenario A B C'!$E$24,0,MAX(0,'Skenario A B C'!$I$24-'Skenario A B C'!$AE$24))</f>
        <v/>
      </c>
      <c r="N28">
        <f>IF(11&lt;'Skenario A B C'!$E$24,0,MAX(0,'Skenario A B C'!$I$24-'Skenario A B C'!$AE$24))</f>
        <v/>
      </c>
      <c r="O28">
        <f>IF(12&lt;'Skenario A B C'!$E$24,0,MAX(0,'Skenario A B C'!$I$24-'Skenario A B C'!$AE$24))</f>
        <v/>
      </c>
      <c r="P28">
        <f>IF(13&lt;'Skenario A B C'!$E$24,0,MAX(0,'Skenario A B C'!$J$24-'Skenario A B C'!$AE$24))</f>
        <v/>
      </c>
      <c r="Q28">
        <f>IF(14&lt;'Skenario A B C'!$E$24,0,MAX(0,'Skenario A B C'!$J$24-'Skenario A B C'!$AE$24))</f>
        <v/>
      </c>
      <c r="R28">
        <f>IF(15&lt;'Skenario A B C'!$E$24,0,MAX(0,'Skenario A B C'!$J$24-'Skenario A B C'!$AE$24))</f>
        <v/>
      </c>
      <c r="S28">
        <f>IF(16&lt;'Skenario A B C'!$E$24,0,MAX(0,'Skenario A B C'!$J$24-'Skenario A B C'!$AE$24))</f>
        <v/>
      </c>
      <c r="T28">
        <f>IF(17&lt;'Skenario A B C'!$E$24,0,MAX(0,'Skenario A B C'!$J$24-'Skenario A B C'!$AE$24))</f>
        <v/>
      </c>
      <c r="U28">
        <f>IF(18&lt;'Skenario A B C'!$E$24,0,MAX(0,'Skenario A B C'!$J$24-'Skenario A B C'!$AE$24))</f>
        <v/>
      </c>
      <c r="V28">
        <f>IF(19&lt;'Skenario A B C'!$E$24,0,MAX(0,'Skenario A B C'!$J$24-'Skenario A B C'!$AE$24))</f>
        <v/>
      </c>
      <c r="W28">
        <f>IF(20&lt;'Skenario A B C'!$E$24,0,MAX(0,'Skenario A B C'!$J$24-'Skenario A B C'!$AE$24))</f>
        <v/>
      </c>
      <c r="X28">
        <f>IF(21&lt;'Skenario A B C'!$E$24,0,MAX(0,'Skenario A B C'!$J$24-'Skenario A B C'!$AE$24))</f>
        <v/>
      </c>
      <c r="Y28">
        <f>IF(22&lt;'Skenario A B C'!$E$24,0,MAX(0,'Skenario A B C'!$J$24-'Skenario A B C'!$AE$24))</f>
        <v/>
      </c>
      <c r="Z28">
        <f>IF(23&lt;'Skenario A B C'!$E$24,0,MAX(0,'Skenario A B C'!$J$24-'Skenario A B C'!$AE$24))</f>
        <v/>
      </c>
      <c r="AA28">
        <f>IF(24&lt;'Skenario A B C'!$E$24,0,MAX(0,'Skenario A B C'!$J$24-'Skenario A B C'!$AE$24))</f>
        <v/>
      </c>
    </row>
    <row r="29">
      <c r="A29" t="inlineStr">
        <is>
          <t>City Manager Pekanbaru</t>
        </is>
      </c>
      <c r="B29" s="6">
        <f>'Skenario A B C'!$F$25</f>
        <v/>
      </c>
      <c r="D29">
        <f>IF(1&lt;'Skenario A B C'!$E$25,0,MAX(0,'Skenario A B C'!$H$25-'Skenario A B C'!$AE$25))</f>
        <v/>
      </c>
      <c r="E29">
        <f>IF(2&lt;'Skenario A B C'!$E$25,0,MAX(0,'Skenario A B C'!$H$25-'Skenario A B C'!$AE$25))</f>
        <v/>
      </c>
      <c r="F29">
        <f>IF(3&lt;'Skenario A B C'!$E$25,0,MAX(0,'Skenario A B C'!$H$25-'Skenario A B C'!$AE$25))</f>
        <v/>
      </c>
      <c r="G29">
        <f>IF(4&lt;'Skenario A B C'!$E$25,0,MAX(0,'Skenario A B C'!$I$25-'Skenario A B C'!$AE$25))</f>
        <v/>
      </c>
      <c r="H29">
        <f>IF(5&lt;'Skenario A B C'!$E$25,0,MAX(0,'Skenario A B C'!$I$25-'Skenario A B C'!$AE$25))</f>
        <v/>
      </c>
      <c r="I29">
        <f>IF(6&lt;'Skenario A B C'!$E$25,0,MAX(0,'Skenario A B C'!$I$25-'Skenario A B C'!$AE$25))</f>
        <v/>
      </c>
      <c r="J29">
        <f>IF(7&lt;'Skenario A B C'!$E$25,0,MAX(0,'Skenario A B C'!$I$25-'Skenario A B C'!$AE$25))</f>
        <v/>
      </c>
      <c r="K29">
        <f>IF(8&lt;'Skenario A B C'!$E$25,0,MAX(0,'Skenario A B C'!$I$25-'Skenario A B C'!$AE$25))</f>
        <v/>
      </c>
      <c r="L29">
        <f>IF(9&lt;'Skenario A B C'!$E$25,0,MAX(0,'Skenario A B C'!$I$25-'Skenario A B C'!$AE$25))</f>
        <v/>
      </c>
      <c r="M29">
        <f>IF(10&lt;'Skenario A B C'!$E$25,0,MAX(0,'Skenario A B C'!$I$25-'Skenario A B C'!$AE$25))</f>
        <v/>
      </c>
      <c r="N29">
        <f>IF(11&lt;'Skenario A B C'!$E$25,0,MAX(0,'Skenario A B C'!$I$25-'Skenario A B C'!$AE$25))</f>
        <v/>
      </c>
      <c r="O29">
        <f>IF(12&lt;'Skenario A B C'!$E$25,0,MAX(0,'Skenario A B C'!$I$25-'Skenario A B C'!$AE$25))</f>
        <v/>
      </c>
      <c r="P29">
        <f>IF(13&lt;'Skenario A B C'!$E$25,0,MAX(0,'Skenario A B C'!$J$25-'Skenario A B C'!$AE$25))</f>
        <v/>
      </c>
      <c r="Q29">
        <f>IF(14&lt;'Skenario A B C'!$E$25,0,MAX(0,'Skenario A B C'!$J$25-'Skenario A B C'!$AE$25))</f>
        <v/>
      </c>
      <c r="R29">
        <f>IF(15&lt;'Skenario A B C'!$E$25,0,MAX(0,'Skenario A B C'!$J$25-'Skenario A B C'!$AE$25))</f>
        <v/>
      </c>
      <c r="S29">
        <f>IF(16&lt;'Skenario A B C'!$E$25,0,MAX(0,'Skenario A B C'!$J$25-'Skenario A B C'!$AE$25))</f>
        <v/>
      </c>
      <c r="T29">
        <f>IF(17&lt;'Skenario A B C'!$E$25,0,MAX(0,'Skenario A B C'!$J$25-'Skenario A B C'!$AE$25))</f>
        <v/>
      </c>
      <c r="U29">
        <f>IF(18&lt;'Skenario A B C'!$E$25,0,MAX(0,'Skenario A B C'!$J$25-'Skenario A B C'!$AE$25))</f>
        <v/>
      </c>
      <c r="V29">
        <f>IF(19&lt;'Skenario A B C'!$E$25,0,MAX(0,'Skenario A B C'!$J$25-'Skenario A B C'!$AE$25))</f>
        <v/>
      </c>
      <c r="W29">
        <f>IF(20&lt;'Skenario A B C'!$E$25,0,MAX(0,'Skenario A B C'!$J$25-'Skenario A B C'!$AE$25))</f>
        <v/>
      </c>
      <c r="X29">
        <f>IF(21&lt;'Skenario A B C'!$E$25,0,MAX(0,'Skenario A B C'!$J$25-'Skenario A B C'!$AE$25))</f>
        <v/>
      </c>
      <c r="Y29">
        <f>IF(22&lt;'Skenario A B C'!$E$25,0,MAX(0,'Skenario A B C'!$J$25-'Skenario A B C'!$AE$25))</f>
        <v/>
      </c>
      <c r="Z29">
        <f>IF(23&lt;'Skenario A B C'!$E$25,0,MAX(0,'Skenario A B C'!$J$25-'Skenario A B C'!$AE$25))</f>
        <v/>
      </c>
      <c r="AA29">
        <f>IF(24&lt;'Skenario A B C'!$E$25,0,MAX(0,'Skenario A B C'!$J$25-'Skenario A B C'!$AE$25))</f>
        <v/>
      </c>
    </row>
    <row r="30">
      <c r="A30" t="inlineStr">
        <is>
          <t>Ops Supervisor Pekanbaru</t>
        </is>
      </c>
      <c r="B30" s="6">
        <f>'Skenario A B C'!$F$26</f>
        <v/>
      </c>
      <c r="D30">
        <f>IF(1&lt;'Skenario A B C'!$E$26,0,MAX(0,'Skenario A B C'!$H$26-'Skenario A B C'!$AE$26))</f>
        <v/>
      </c>
      <c r="E30">
        <f>IF(2&lt;'Skenario A B C'!$E$26,0,MAX(0,'Skenario A B C'!$H$26-'Skenario A B C'!$AE$26))</f>
        <v/>
      </c>
      <c r="F30">
        <f>IF(3&lt;'Skenario A B C'!$E$26,0,MAX(0,'Skenario A B C'!$H$26-'Skenario A B C'!$AE$26))</f>
        <v/>
      </c>
      <c r="G30">
        <f>IF(4&lt;'Skenario A B C'!$E$26,0,MAX(0,'Skenario A B C'!$I$26-'Skenario A B C'!$AE$26))</f>
        <v/>
      </c>
      <c r="H30">
        <f>IF(5&lt;'Skenario A B C'!$E$26,0,MAX(0,'Skenario A B C'!$I$26-'Skenario A B C'!$AE$26))</f>
        <v/>
      </c>
      <c r="I30">
        <f>IF(6&lt;'Skenario A B C'!$E$26,0,MAX(0,'Skenario A B C'!$I$26-'Skenario A B C'!$AE$26))</f>
        <v/>
      </c>
      <c r="J30">
        <f>IF(7&lt;'Skenario A B C'!$E$26,0,MAX(0,'Skenario A B C'!$I$26-'Skenario A B C'!$AE$26))</f>
        <v/>
      </c>
      <c r="K30">
        <f>IF(8&lt;'Skenario A B C'!$E$26,0,MAX(0,'Skenario A B C'!$I$26-'Skenario A B C'!$AE$26))</f>
        <v/>
      </c>
      <c r="L30">
        <f>IF(9&lt;'Skenario A B C'!$E$26,0,MAX(0,'Skenario A B C'!$I$26-'Skenario A B C'!$AE$26))</f>
        <v/>
      </c>
      <c r="M30">
        <f>IF(10&lt;'Skenario A B C'!$E$26,0,MAX(0,'Skenario A B C'!$I$26-'Skenario A B C'!$AE$26))</f>
        <v/>
      </c>
      <c r="N30">
        <f>IF(11&lt;'Skenario A B C'!$E$26,0,MAX(0,'Skenario A B C'!$I$26-'Skenario A B C'!$AE$26))</f>
        <v/>
      </c>
      <c r="O30">
        <f>IF(12&lt;'Skenario A B C'!$E$26,0,MAX(0,'Skenario A B C'!$I$26-'Skenario A B C'!$AE$26))</f>
        <v/>
      </c>
      <c r="P30">
        <f>IF(13&lt;'Skenario A B C'!$E$26,0,MAX(0,'Skenario A B C'!$J$26-'Skenario A B C'!$AE$26))</f>
        <v/>
      </c>
      <c r="Q30">
        <f>IF(14&lt;'Skenario A B C'!$E$26,0,MAX(0,'Skenario A B C'!$J$26-'Skenario A B C'!$AE$26))</f>
        <v/>
      </c>
      <c r="R30">
        <f>IF(15&lt;'Skenario A B C'!$E$26,0,MAX(0,'Skenario A B C'!$J$26-'Skenario A B C'!$AE$26))</f>
        <v/>
      </c>
      <c r="S30">
        <f>IF(16&lt;'Skenario A B C'!$E$26,0,MAX(0,'Skenario A B C'!$J$26-'Skenario A B C'!$AE$26))</f>
        <v/>
      </c>
      <c r="T30">
        <f>IF(17&lt;'Skenario A B C'!$E$26,0,MAX(0,'Skenario A B C'!$J$26-'Skenario A B C'!$AE$26))</f>
        <v/>
      </c>
      <c r="U30">
        <f>IF(18&lt;'Skenario A B C'!$E$26,0,MAX(0,'Skenario A B C'!$J$26-'Skenario A B C'!$AE$26))</f>
        <v/>
      </c>
      <c r="V30">
        <f>IF(19&lt;'Skenario A B C'!$E$26,0,MAX(0,'Skenario A B C'!$J$26-'Skenario A B C'!$AE$26))</f>
        <v/>
      </c>
      <c r="W30">
        <f>IF(20&lt;'Skenario A B C'!$E$26,0,MAX(0,'Skenario A B C'!$J$26-'Skenario A B C'!$AE$26))</f>
        <v/>
      </c>
      <c r="X30">
        <f>IF(21&lt;'Skenario A B C'!$E$26,0,MAX(0,'Skenario A B C'!$J$26-'Skenario A B C'!$AE$26))</f>
        <v/>
      </c>
      <c r="Y30">
        <f>IF(22&lt;'Skenario A B C'!$E$26,0,MAX(0,'Skenario A B C'!$J$26-'Skenario A B C'!$AE$26))</f>
        <v/>
      </c>
      <c r="Z30">
        <f>IF(23&lt;'Skenario A B C'!$E$26,0,MAX(0,'Skenario A B C'!$J$26-'Skenario A B C'!$AE$26))</f>
        <v/>
      </c>
      <c r="AA30">
        <f>IF(24&lt;'Skenario A B C'!$E$26,0,MAX(0,'Skenario A B C'!$J$26-'Skenario A B C'!$AE$26))</f>
        <v/>
      </c>
    </row>
    <row r="31">
      <c r="A31" t="inlineStr">
        <is>
          <t>Partner Acquisition Pekanbaru</t>
        </is>
      </c>
      <c r="B31" s="6">
        <f>'Skenario A B C'!$F$27</f>
        <v/>
      </c>
      <c r="D31">
        <f>IF(1&lt;'Skenario A B C'!$E$27,0,MAX(0,'Skenario A B C'!$H$27-'Skenario A B C'!$AE$27))</f>
        <v/>
      </c>
      <c r="E31">
        <f>IF(2&lt;'Skenario A B C'!$E$27,0,MAX(0,'Skenario A B C'!$H$27-'Skenario A B C'!$AE$27))</f>
        <v/>
      </c>
      <c r="F31">
        <f>IF(3&lt;'Skenario A B C'!$E$27,0,MAX(0,'Skenario A B C'!$H$27-'Skenario A B C'!$AE$27))</f>
        <v/>
      </c>
      <c r="G31">
        <f>IF(4&lt;'Skenario A B C'!$E$27,0,MAX(0,'Skenario A B C'!$I$27-'Skenario A B C'!$AE$27))</f>
        <v/>
      </c>
      <c r="H31">
        <f>IF(5&lt;'Skenario A B C'!$E$27,0,MAX(0,'Skenario A B C'!$I$27-'Skenario A B C'!$AE$27))</f>
        <v/>
      </c>
      <c r="I31">
        <f>IF(6&lt;'Skenario A B C'!$E$27,0,MAX(0,'Skenario A B C'!$I$27-'Skenario A B C'!$AE$27))</f>
        <v/>
      </c>
      <c r="J31">
        <f>IF(7&lt;'Skenario A B C'!$E$27,0,MAX(0,'Skenario A B C'!$I$27-'Skenario A B C'!$AE$27))</f>
        <v/>
      </c>
      <c r="K31">
        <f>IF(8&lt;'Skenario A B C'!$E$27,0,MAX(0,'Skenario A B C'!$I$27-'Skenario A B C'!$AE$27))</f>
        <v/>
      </c>
      <c r="L31">
        <f>IF(9&lt;'Skenario A B C'!$E$27,0,MAX(0,'Skenario A B C'!$I$27-'Skenario A B C'!$AE$27))</f>
        <v/>
      </c>
      <c r="M31">
        <f>IF(10&lt;'Skenario A B C'!$E$27,0,MAX(0,'Skenario A B C'!$I$27-'Skenario A B C'!$AE$27))</f>
        <v/>
      </c>
      <c r="N31">
        <f>IF(11&lt;'Skenario A B C'!$E$27,0,MAX(0,'Skenario A B C'!$I$27-'Skenario A B C'!$AE$27))</f>
        <v/>
      </c>
      <c r="O31">
        <f>IF(12&lt;'Skenario A B C'!$E$27,0,MAX(0,'Skenario A B C'!$I$27-'Skenario A B C'!$AE$27))</f>
        <v/>
      </c>
      <c r="P31">
        <f>IF(13&lt;'Skenario A B C'!$E$27,0,MAX(0,'Skenario A B C'!$J$27-'Skenario A B C'!$AE$27))</f>
        <v/>
      </c>
      <c r="Q31">
        <f>IF(14&lt;'Skenario A B C'!$E$27,0,MAX(0,'Skenario A B C'!$J$27-'Skenario A B C'!$AE$27))</f>
        <v/>
      </c>
      <c r="R31">
        <f>IF(15&lt;'Skenario A B C'!$E$27,0,MAX(0,'Skenario A B C'!$J$27-'Skenario A B C'!$AE$27))</f>
        <v/>
      </c>
      <c r="S31">
        <f>IF(16&lt;'Skenario A B C'!$E$27,0,MAX(0,'Skenario A B C'!$J$27-'Skenario A B C'!$AE$27))</f>
        <v/>
      </c>
      <c r="T31">
        <f>IF(17&lt;'Skenario A B C'!$E$27,0,MAX(0,'Skenario A B C'!$J$27-'Skenario A B C'!$AE$27))</f>
        <v/>
      </c>
      <c r="U31">
        <f>IF(18&lt;'Skenario A B C'!$E$27,0,MAX(0,'Skenario A B C'!$J$27-'Skenario A B C'!$AE$27))</f>
        <v/>
      </c>
      <c r="V31">
        <f>IF(19&lt;'Skenario A B C'!$E$27,0,MAX(0,'Skenario A B C'!$J$27-'Skenario A B C'!$AE$27))</f>
        <v/>
      </c>
      <c r="W31">
        <f>IF(20&lt;'Skenario A B C'!$E$27,0,MAX(0,'Skenario A B C'!$J$27-'Skenario A B C'!$AE$27))</f>
        <v/>
      </c>
      <c r="X31">
        <f>IF(21&lt;'Skenario A B C'!$E$27,0,MAX(0,'Skenario A B C'!$J$27-'Skenario A B C'!$AE$27))</f>
        <v/>
      </c>
      <c r="Y31">
        <f>IF(22&lt;'Skenario A B C'!$E$27,0,MAX(0,'Skenario A B C'!$J$27-'Skenario A B C'!$AE$27))</f>
        <v/>
      </c>
      <c r="Z31">
        <f>IF(23&lt;'Skenario A B C'!$E$27,0,MAX(0,'Skenario A B C'!$J$27-'Skenario A B C'!$AE$27))</f>
        <v/>
      </c>
      <c r="AA31">
        <f>IF(24&lt;'Skenario A B C'!$E$27,0,MAX(0,'Skenario A B C'!$J$27-'Skenario A B C'!$AE$27))</f>
        <v/>
      </c>
    </row>
    <row r="32">
      <c r="A32" t="inlineStr">
        <is>
          <t>Head of Customer Experience</t>
        </is>
      </c>
      <c r="B32" s="6">
        <f>'Skenario A B C'!$F$28</f>
        <v/>
      </c>
      <c r="D32">
        <f>IF(1&lt;'Skenario A B C'!$E$28,0,MAX(0,'Skenario A B C'!$H$28-'Skenario A B C'!$AE$28))</f>
        <v/>
      </c>
      <c r="E32">
        <f>IF(2&lt;'Skenario A B C'!$E$28,0,MAX(0,'Skenario A B C'!$H$28-'Skenario A B C'!$AE$28))</f>
        <v/>
      </c>
      <c r="F32">
        <f>IF(3&lt;'Skenario A B C'!$E$28,0,MAX(0,'Skenario A B C'!$H$28-'Skenario A B C'!$AE$28))</f>
        <v/>
      </c>
      <c r="G32">
        <f>IF(4&lt;'Skenario A B C'!$E$28,0,MAX(0,'Skenario A B C'!$I$28-'Skenario A B C'!$AE$28))</f>
        <v/>
      </c>
      <c r="H32">
        <f>IF(5&lt;'Skenario A B C'!$E$28,0,MAX(0,'Skenario A B C'!$I$28-'Skenario A B C'!$AE$28))</f>
        <v/>
      </c>
      <c r="I32">
        <f>IF(6&lt;'Skenario A B C'!$E$28,0,MAX(0,'Skenario A B C'!$I$28-'Skenario A B C'!$AE$28))</f>
        <v/>
      </c>
      <c r="J32">
        <f>IF(7&lt;'Skenario A B C'!$E$28,0,MAX(0,'Skenario A B C'!$I$28-'Skenario A B C'!$AE$28))</f>
        <v/>
      </c>
      <c r="K32">
        <f>IF(8&lt;'Skenario A B C'!$E$28,0,MAX(0,'Skenario A B C'!$I$28-'Skenario A B C'!$AE$28))</f>
        <v/>
      </c>
      <c r="L32">
        <f>IF(9&lt;'Skenario A B C'!$E$28,0,MAX(0,'Skenario A B C'!$I$28-'Skenario A B C'!$AE$28))</f>
        <v/>
      </c>
      <c r="M32">
        <f>IF(10&lt;'Skenario A B C'!$E$28,0,MAX(0,'Skenario A B C'!$I$28-'Skenario A B C'!$AE$28))</f>
        <v/>
      </c>
      <c r="N32">
        <f>IF(11&lt;'Skenario A B C'!$E$28,0,MAX(0,'Skenario A B C'!$I$28-'Skenario A B C'!$AE$28))</f>
        <v/>
      </c>
      <c r="O32">
        <f>IF(12&lt;'Skenario A B C'!$E$28,0,MAX(0,'Skenario A B C'!$I$28-'Skenario A B C'!$AE$28))</f>
        <v/>
      </c>
      <c r="P32">
        <f>IF(13&lt;'Skenario A B C'!$E$28,0,MAX(0,'Skenario A B C'!$J$28-'Skenario A B C'!$AE$28))</f>
        <v/>
      </c>
      <c r="Q32">
        <f>IF(14&lt;'Skenario A B C'!$E$28,0,MAX(0,'Skenario A B C'!$J$28-'Skenario A B C'!$AE$28))</f>
        <v/>
      </c>
      <c r="R32">
        <f>IF(15&lt;'Skenario A B C'!$E$28,0,MAX(0,'Skenario A B C'!$J$28-'Skenario A B C'!$AE$28))</f>
        <v/>
      </c>
      <c r="S32">
        <f>IF(16&lt;'Skenario A B C'!$E$28,0,MAX(0,'Skenario A B C'!$J$28-'Skenario A B C'!$AE$28))</f>
        <v/>
      </c>
      <c r="T32">
        <f>IF(17&lt;'Skenario A B C'!$E$28,0,MAX(0,'Skenario A B C'!$J$28-'Skenario A B C'!$AE$28))</f>
        <v/>
      </c>
      <c r="U32">
        <f>IF(18&lt;'Skenario A B C'!$E$28,0,MAX(0,'Skenario A B C'!$J$28-'Skenario A B C'!$AE$28))</f>
        <v/>
      </c>
      <c r="V32">
        <f>IF(19&lt;'Skenario A B C'!$E$28,0,MAX(0,'Skenario A B C'!$J$28-'Skenario A B C'!$AE$28))</f>
        <v/>
      </c>
      <c r="W32">
        <f>IF(20&lt;'Skenario A B C'!$E$28,0,MAX(0,'Skenario A B C'!$J$28-'Skenario A B C'!$AE$28))</f>
        <v/>
      </c>
      <c r="X32">
        <f>IF(21&lt;'Skenario A B C'!$E$28,0,MAX(0,'Skenario A B C'!$J$28-'Skenario A B C'!$AE$28))</f>
        <v/>
      </c>
      <c r="Y32">
        <f>IF(22&lt;'Skenario A B C'!$E$28,0,MAX(0,'Skenario A B C'!$J$28-'Skenario A B C'!$AE$28))</f>
        <v/>
      </c>
      <c r="Z32">
        <f>IF(23&lt;'Skenario A B C'!$E$28,0,MAX(0,'Skenario A B C'!$J$28-'Skenario A B C'!$AE$28))</f>
        <v/>
      </c>
      <c r="AA32">
        <f>IF(24&lt;'Skenario A B C'!$E$28,0,MAX(0,'Skenario A B C'!$J$28-'Skenario A B C'!$AE$28))</f>
        <v/>
      </c>
    </row>
    <row r="33">
      <c r="A33" t="inlineStr">
        <is>
          <t>CS Agent Pekanbaru (shift)</t>
        </is>
      </c>
      <c r="B33" s="6">
        <f>'Skenario A B C'!$F$29</f>
        <v/>
      </c>
      <c r="D33">
        <f>IF(1&lt;'Skenario A B C'!$E$29,0,MAX(0,'Skenario A B C'!$H$29-'Skenario A B C'!$AE$29))</f>
        <v/>
      </c>
      <c r="E33">
        <f>IF(2&lt;'Skenario A B C'!$E$29,0,MAX(0,'Skenario A B C'!$H$29-'Skenario A B C'!$AE$29))</f>
        <v/>
      </c>
      <c r="F33">
        <f>IF(3&lt;'Skenario A B C'!$E$29,0,MAX(0,'Skenario A B C'!$H$29-'Skenario A B C'!$AE$29))</f>
        <v/>
      </c>
      <c r="G33">
        <f>IF(4&lt;'Skenario A B C'!$E$29,0,MAX(0,'Skenario A B C'!$I$29-'Skenario A B C'!$AE$29))</f>
        <v/>
      </c>
      <c r="H33">
        <f>IF(5&lt;'Skenario A B C'!$E$29,0,MAX(0,'Skenario A B C'!$I$29-'Skenario A B C'!$AE$29))</f>
        <v/>
      </c>
      <c r="I33">
        <f>IF(6&lt;'Skenario A B C'!$E$29,0,MAX(0,'Skenario A B C'!$I$29-'Skenario A B C'!$AE$29))</f>
        <v/>
      </c>
      <c r="J33">
        <f>IF(7&lt;'Skenario A B C'!$E$29,0,MAX(0,'Skenario A B C'!$I$29-'Skenario A B C'!$AE$29))</f>
        <v/>
      </c>
      <c r="K33">
        <f>IF(8&lt;'Skenario A B C'!$E$29,0,MAX(0,'Skenario A B C'!$I$29-'Skenario A B C'!$AE$29))</f>
        <v/>
      </c>
      <c r="L33">
        <f>IF(9&lt;'Skenario A B C'!$E$29,0,MAX(0,'Skenario A B C'!$I$29-'Skenario A B C'!$AE$29))</f>
        <v/>
      </c>
      <c r="M33">
        <f>IF(10&lt;'Skenario A B C'!$E$29,0,MAX(0,'Skenario A B C'!$I$29-'Skenario A B C'!$AE$29))</f>
        <v/>
      </c>
      <c r="N33">
        <f>IF(11&lt;'Skenario A B C'!$E$29,0,MAX(0,'Skenario A B C'!$I$29-'Skenario A B C'!$AE$29))</f>
        <v/>
      </c>
      <c r="O33">
        <f>IF(12&lt;'Skenario A B C'!$E$29,0,MAX(0,'Skenario A B C'!$I$29-'Skenario A B C'!$AE$29))</f>
        <v/>
      </c>
      <c r="P33">
        <f>IF(13&lt;'Skenario A B C'!$E$29,0,MAX(0,'Skenario A B C'!$J$29-'Skenario A B C'!$AE$29))</f>
        <v/>
      </c>
      <c r="Q33">
        <f>IF(14&lt;'Skenario A B C'!$E$29,0,MAX(0,'Skenario A B C'!$J$29-'Skenario A B C'!$AE$29))</f>
        <v/>
      </c>
      <c r="R33">
        <f>IF(15&lt;'Skenario A B C'!$E$29,0,MAX(0,'Skenario A B C'!$J$29-'Skenario A B C'!$AE$29))</f>
        <v/>
      </c>
      <c r="S33">
        <f>IF(16&lt;'Skenario A B C'!$E$29,0,MAX(0,'Skenario A B C'!$J$29-'Skenario A B C'!$AE$29))</f>
        <v/>
      </c>
      <c r="T33">
        <f>IF(17&lt;'Skenario A B C'!$E$29,0,MAX(0,'Skenario A B C'!$J$29-'Skenario A B C'!$AE$29))</f>
        <v/>
      </c>
      <c r="U33">
        <f>IF(18&lt;'Skenario A B C'!$E$29,0,MAX(0,'Skenario A B C'!$J$29-'Skenario A B C'!$AE$29))</f>
        <v/>
      </c>
      <c r="V33">
        <f>IF(19&lt;'Skenario A B C'!$E$29,0,MAX(0,'Skenario A B C'!$J$29-'Skenario A B C'!$AE$29))</f>
        <v/>
      </c>
      <c r="W33">
        <f>IF(20&lt;'Skenario A B C'!$E$29,0,MAX(0,'Skenario A B C'!$J$29-'Skenario A B C'!$AE$29))</f>
        <v/>
      </c>
      <c r="X33">
        <f>IF(21&lt;'Skenario A B C'!$E$29,0,MAX(0,'Skenario A B C'!$J$29-'Skenario A B C'!$AE$29))</f>
        <v/>
      </c>
      <c r="Y33">
        <f>IF(22&lt;'Skenario A B C'!$E$29,0,MAX(0,'Skenario A B C'!$J$29-'Skenario A B C'!$AE$29))</f>
        <v/>
      </c>
      <c r="Z33">
        <f>IF(23&lt;'Skenario A B C'!$E$29,0,MAX(0,'Skenario A B C'!$J$29-'Skenario A B C'!$AE$29))</f>
        <v/>
      </c>
      <c r="AA33">
        <f>IF(24&lt;'Skenario A B C'!$E$29,0,MAX(0,'Skenario A B C'!$J$29-'Skenario A B C'!$AE$29))</f>
        <v/>
      </c>
    </row>
    <row r="34">
      <c r="A34" t="inlineStr">
        <is>
          <t>Trust &amp; Safety Officer</t>
        </is>
      </c>
      <c r="B34" s="6">
        <f>'Skenario A B C'!$F$30</f>
        <v/>
      </c>
      <c r="D34">
        <f>IF(1&lt;'Skenario A B C'!$E$30,0,MAX(0,'Skenario A B C'!$H$30-'Skenario A B C'!$AE$30))</f>
        <v/>
      </c>
      <c r="E34">
        <f>IF(2&lt;'Skenario A B C'!$E$30,0,MAX(0,'Skenario A B C'!$H$30-'Skenario A B C'!$AE$30))</f>
        <v/>
      </c>
      <c r="F34">
        <f>IF(3&lt;'Skenario A B C'!$E$30,0,MAX(0,'Skenario A B C'!$H$30-'Skenario A B C'!$AE$30))</f>
        <v/>
      </c>
      <c r="G34">
        <f>IF(4&lt;'Skenario A B C'!$E$30,0,MAX(0,'Skenario A B C'!$I$30-'Skenario A B C'!$AE$30))</f>
        <v/>
      </c>
      <c r="H34">
        <f>IF(5&lt;'Skenario A B C'!$E$30,0,MAX(0,'Skenario A B C'!$I$30-'Skenario A B C'!$AE$30))</f>
        <v/>
      </c>
      <c r="I34">
        <f>IF(6&lt;'Skenario A B C'!$E$30,0,MAX(0,'Skenario A B C'!$I$30-'Skenario A B C'!$AE$30))</f>
        <v/>
      </c>
      <c r="J34">
        <f>IF(7&lt;'Skenario A B C'!$E$30,0,MAX(0,'Skenario A B C'!$I$30-'Skenario A B C'!$AE$30))</f>
        <v/>
      </c>
      <c r="K34">
        <f>IF(8&lt;'Skenario A B C'!$E$30,0,MAX(0,'Skenario A B C'!$I$30-'Skenario A B C'!$AE$30))</f>
        <v/>
      </c>
      <c r="L34">
        <f>IF(9&lt;'Skenario A B C'!$E$30,0,MAX(0,'Skenario A B C'!$I$30-'Skenario A B C'!$AE$30))</f>
        <v/>
      </c>
      <c r="M34">
        <f>IF(10&lt;'Skenario A B C'!$E$30,0,MAX(0,'Skenario A B C'!$I$30-'Skenario A B C'!$AE$30))</f>
        <v/>
      </c>
      <c r="N34">
        <f>IF(11&lt;'Skenario A B C'!$E$30,0,MAX(0,'Skenario A B C'!$I$30-'Skenario A B C'!$AE$30))</f>
        <v/>
      </c>
      <c r="O34">
        <f>IF(12&lt;'Skenario A B C'!$E$30,0,MAX(0,'Skenario A B C'!$I$30-'Skenario A B C'!$AE$30))</f>
        <v/>
      </c>
      <c r="P34">
        <f>IF(13&lt;'Skenario A B C'!$E$30,0,MAX(0,'Skenario A B C'!$J$30-'Skenario A B C'!$AE$30))</f>
        <v/>
      </c>
      <c r="Q34">
        <f>IF(14&lt;'Skenario A B C'!$E$30,0,MAX(0,'Skenario A B C'!$J$30-'Skenario A B C'!$AE$30))</f>
        <v/>
      </c>
      <c r="R34">
        <f>IF(15&lt;'Skenario A B C'!$E$30,0,MAX(0,'Skenario A B C'!$J$30-'Skenario A B C'!$AE$30))</f>
        <v/>
      </c>
      <c r="S34">
        <f>IF(16&lt;'Skenario A B C'!$E$30,0,MAX(0,'Skenario A B C'!$J$30-'Skenario A B C'!$AE$30))</f>
        <v/>
      </c>
      <c r="T34">
        <f>IF(17&lt;'Skenario A B C'!$E$30,0,MAX(0,'Skenario A B C'!$J$30-'Skenario A B C'!$AE$30))</f>
        <v/>
      </c>
      <c r="U34">
        <f>IF(18&lt;'Skenario A B C'!$E$30,0,MAX(0,'Skenario A B C'!$J$30-'Skenario A B C'!$AE$30))</f>
        <v/>
      </c>
      <c r="V34">
        <f>IF(19&lt;'Skenario A B C'!$E$30,0,MAX(0,'Skenario A B C'!$J$30-'Skenario A B C'!$AE$30))</f>
        <v/>
      </c>
      <c r="W34">
        <f>IF(20&lt;'Skenario A B C'!$E$30,0,MAX(0,'Skenario A B C'!$J$30-'Skenario A B C'!$AE$30))</f>
        <v/>
      </c>
      <c r="X34">
        <f>IF(21&lt;'Skenario A B C'!$E$30,0,MAX(0,'Skenario A B C'!$J$30-'Skenario A B C'!$AE$30))</f>
        <v/>
      </c>
      <c r="Y34">
        <f>IF(22&lt;'Skenario A B C'!$E$30,0,MAX(0,'Skenario A B C'!$J$30-'Skenario A B C'!$AE$30))</f>
        <v/>
      </c>
      <c r="Z34">
        <f>IF(23&lt;'Skenario A B C'!$E$30,0,MAX(0,'Skenario A B C'!$J$30-'Skenario A B C'!$AE$30))</f>
        <v/>
      </c>
      <c r="AA34">
        <f>IF(24&lt;'Skenario A B C'!$E$30,0,MAX(0,'Skenario A B C'!$J$30-'Skenario A B C'!$AE$30))</f>
        <v/>
      </c>
    </row>
    <row r="35">
      <c r="A35" t="inlineStr">
        <is>
          <t>City Manager Padang</t>
        </is>
      </c>
      <c r="B35" s="6">
        <f>'Skenario A B C'!$F$31</f>
        <v/>
      </c>
      <c r="D35">
        <f>IF(1&lt;'Skenario A B C'!$E$31,0,MAX(0,'Skenario A B C'!$H$31-'Skenario A B C'!$AE$31))</f>
        <v/>
      </c>
      <c r="E35">
        <f>IF(2&lt;'Skenario A B C'!$E$31,0,MAX(0,'Skenario A B C'!$H$31-'Skenario A B C'!$AE$31))</f>
        <v/>
      </c>
      <c r="F35">
        <f>IF(3&lt;'Skenario A B C'!$E$31,0,MAX(0,'Skenario A B C'!$H$31-'Skenario A B C'!$AE$31))</f>
        <v/>
      </c>
      <c r="G35">
        <f>IF(4&lt;'Skenario A B C'!$E$31,0,MAX(0,'Skenario A B C'!$I$31-'Skenario A B C'!$AE$31))</f>
        <v/>
      </c>
      <c r="H35">
        <f>IF(5&lt;'Skenario A B C'!$E$31,0,MAX(0,'Skenario A B C'!$I$31-'Skenario A B C'!$AE$31))</f>
        <v/>
      </c>
      <c r="I35">
        <f>IF(6&lt;'Skenario A B C'!$E$31,0,MAX(0,'Skenario A B C'!$I$31-'Skenario A B C'!$AE$31))</f>
        <v/>
      </c>
      <c r="J35">
        <f>IF(7&lt;'Skenario A B C'!$E$31,0,MAX(0,'Skenario A B C'!$I$31-'Skenario A B C'!$AE$31))</f>
        <v/>
      </c>
      <c r="K35">
        <f>IF(8&lt;'Skenario A B C'!$E$31,0,MAX(0,'Skenario A B C'!$I$31-'Skenario A B C'!$AE$31))</f>
        <v/>
      </c>
      <c r="L35">
        <f>IF(9&lt;'Skenario A B C'!$E$31,0,MAX(0,'Skenario A B C'!$I$31-'Skenario A B C'!$AE$31))</f>
        <v/>
      </c>
      <c r="M35">
        <f>IF(10&lt;'Skenario A B C'!$E$31,0,MAX(0,'Skenario A B C'!$I$31-'Skenario A B C'!$AE$31))</f>
        <v/>
      </c>
      <c r="N35">
        <f>IF(11&lt;'Skenario A B C'!$E$31,0,MAX(0,'Skenario A B C'!$I$31-'Skenario A B C'!$AE$31))</f>
        <v/>
      </c>
      <c r="O35">
        <f>IF(12&lt;'Skenario A B C'!$E$31,0,MAX(0,'Skenario A B C'!$I$31-'Skenario A B C'!$AE$31))</f>
        <v/>
      </c>
      <c r="P35">
        <f>IF(13&lt;'Skenario A B C'!$E$31,0,MAX(0,'Skenario A B C'!$J$31-'Skenario A B C'!$AE$31))</f>
        <v/>
      </c>
      <c r="Q35">
        <f>IF(14&lt;'Skenario A B C'!$E$31,0,MAX(0,'Skenario A B C'!$J$31-'Skenario A B C'!$AE$31))</f>
        <v/>
      </c>
      <c r="R35">
        <f>IF(15&lt;'Skenario A B C'!$E$31,0,MAX(0,'Skenario A B C'!$J$31-'Skenario A B C'!$AE$31))</f>
        <v/>
      </c>
      <c r="S35">
        <f>IF(16&lt;'Skenario A B C'!$E$31,0,MAX(0,'Skenario A B C'!$J$31-'Skenario A B C'!$AE$31))</f>
        <v/>
      </c>
      <c r="T35">
        <f>IF(17&lt;'Skenario A B C'!$E$31,0,MAX(0,'Skenario A B C'!$J$31-'Skenario A B C'!$AE$31))</f>
        <v/>
      </c>
      <c r="U35">
        <f>IF(18&lt;'Skenario A B C'!$E$31,0,MAX(0,'Skenario A B C'!$J$31-'Skenario A B C'!$AE$31))</f>
        <v/>
      </c>
      <c r="V35">
        <f>IF(19&lt;'Skenario A B C'!$E$31,0,MAX(0,'Skenario A B C'!$J$31-'Skenario A B C'!$AE$31))</f>
        <v/>
      </c>
      <c r="W35">
        <f>IF(20&lt;'Skenario A B C'!$E$31,0,MAX(0,'Skenario A B C'!$J$31-'Skenario A B C'!$AE$31))</f>
        <v/>
      </c>
      <c r="X35">
        <f>IF(21&lt;'Skenario A B C'!$E$31,0,MAX(0,'Skenario A B C'!$J$31-'Skenario A B C'!$AE$31))</f>
        <v/>
      </c>
      <c r="Y35">
        <f>IF(22&lt;'Skenario A B C'!$E$31,0,MAX(0,'Skenario A B C'!$J$31-'Skenario A B C'!$AE$31))</f>
        <v/>
      </c>
      <c r="Z35">
        <f>IF(23&lt;'Skenario A B C'!$E$31,0,MAX(0,'Skenario A B C'!$J$31-'Skenario A B C'!$AE$31))</f>
        <v/>
      </c>
      <c r="AA35">
        <f>IF(24&lt;'Skenario A B C'!$E$31,0,MAX(0,'Skenario A B C'!$J$31-'Skenario A B C'!$AE$31))</f>
        <v/>
      </c>
    </row>
    <row r="36">
      <c r="A36" t="inlineStr">
        <is>
          <t>Partner Acquisition Padang</t>
        </is>
      </c>
      <c r="B36" s="6">
        <f>'Skenario A B C'!$F$32</f>
        <v/>
      </c>
      <c r="D36">
        <f>IF(1&lt;'Skenario A B C'!$E$32,0,MAX(0,'Skenario A B C'!$H$32-'Skenario A B C'!$AE$32))</f>
        <v/>
      </c>
      <c r="E36">
        <f>IF(2&lt;'Skenario A B C'!$E$32,0,MAX(0,'Skenario A B C'!$H$32-'Skenario A B C'!$AE$32))</f>
        <v/>
      </c>
      <c r="F36">
        <f>IF(3&lt;'Skenario A B C'!$E$32,0,MAX(0,'Skenario A B C'!$H$32-'Skenario A B C'!$AE$32))</f>
        <v/>
      </c>
      <c r="G36">
        <f>IF(4&lt;'Skenario A B C'!$E$32,0,MAX(0,'Skenario A B C'!$I$32-'Skenario A B C'!$AE$32))</f>
        <v/>
      </c>
      <c r="H36">
        <f>IF(5&lt;'Skenario A B C'!$E$32,0,MAX(0,'Skenario A B C'!$I$32-'Skenario A B C'!$AE$32))</f>
        <v/>
      </c>
      <c r="I36">
        <f>IF(6&lt;'Skenario A B C'!$E$32,0,MAX(0,'Skenario A B C'!$I$32-'Skenario A B C'!$AE$32))</f>
        <v/>
      </c>
      <c r="J36">
        <f>IF(7&lt;'Skenario A B C'!$E$32,0,MAX(0,'Skenario A B C'!$I$32-'Skenario A B C'!$AE$32))</f>
        <v/>
      </c>
      <c r="K36">
        <f>IF(8&lt;'Skenario A B C'!$E$32,0,MAX(0,'Skenario A B C'!$I$32-'Skenario A B C'!$AE$32))</f>
        <v/>
      </c>
      <c r="L36">
        <f>IF(9&lt;'Skenario A B C'!$E$32,0,MAX(0,'Skenario A B C'!$I$32-'Skenario A B C'!$AE$32))</f>
        <v/>
      </c>
      <c r="M36">
        <f>IF(10&lt;'Skenario A B C'!$E$32,0,MAX(0,'Skenario A B C'!$I$32-'Skenario A B C'!$AE$32))</f>
        <v/>
      </c>
      <c r="N36">
        <f>IF(11&lt;'Skenario A B C'!$E$32,0,MAX(0,'Skenario A B C'!$I$32-'Skenario A B C'!$AE$32))</f>
        <v/>
      </c>
      <c r="O36">
        <f>IF(12&lt;'Skenario A B C'!$E$32,0,MAX(0,'Skenario A B C'!$I$32-'Skenario A B C'!$AE$32))</f>
        <v/>
      </c>
      <c r="P36">
        <f>IF(13&lt;'Skenario A B C'!$E$32,0,MAX(0,'Skenario A B C'!$J$32-'Skenario A B C'!$AE$32))</f>
        <v/>
      </c>
      <c r="Q36">
        <f>IF(14&lt;'Skenario A B C'!$E$32,0,MAX(0,'Skenario A B C'!$J$32-'Skenario A B C'!$AE$32))</f>
        <v/>
      </c>
      <c r="R36">
        <f>IF(15&lt;'Skenario A B C'!$E$32,0,MAX(0,'Skenario A B C'!$J$32-'Skenario A B C'!$AE$32))</f>
        <v/>
      </c>
      <c r="S36">
        <f>IF(16&lt;'Skenario A B C'!$E$32,0,MAX(0,'Skenario A B C'!$J$32-'Skenario A B C'!$AE$32))</f>
        <v/>
      </c>
      <c r="T36">
        <f>IF(17&lt;'Skenario A B C'!$E$32,0,MAX(0,'Skenario A B C'!$J$32-'Skenario A B C'!$AE$32))</f>
        <v/>
      </c>
      <c r="U36">
        <f>IF(18&lt;'Skenario A B C'!$E$32,0,MAX(0,'Skenario A B C'!$J$32-'Skenario A B C'!$AE$32))</f>
        <v/>
      </c>
      <c r="V36">
        <f>IF(19&lt;'Skenario A B C'!$E$32,0,MAX(0,'Skenario A B C'!$J$32-'Skenario A B C'!$AE$32))</f>
        <v/>
      </c>
      <c r="W36">
        <f>IF(20&lt;'Skenario A B C'!$E$32,0,MAX(0,'Skenario A B C'!$J$32-'Skenario A B C'!$AE$32))</f>
        <v/>
      </c>
      <c r="X36">
        <f>IF(21&lt;'Skenario A B C'!$E$32,0,MAX(0,'Skenario A B C'!$J$32-'Skenario A B C'!$AE$32))</f>
        <v/>
      </c>
      <c r="Y36">
        <f>IF(22&lt;'Skenario A B C'!$E$32,0,MAX(0,'Skenario A B C'!$J$32-'Skenario A B C'!$AE$32))</f>
        <v/>
      </c>
      <c r="Z36">
        <f>IF(23&lt;'Skenario A B C'!$E$32,0,MAX(0,'Skenario A B C'!$J$32-'Skenario A B C'!$AE$32))</f>
        <v/>
      </c>
      <c r="AA36">
        <f>IF(24&lt;'Skenario A B C'!$E$32,0,MAX(0,'Skenario A B C'!$J$32-'Skenario A B C'!$AE$32))</f>
        <v/>
      </c>
    </row>
    <row r="37">
      <c r="A37" t="inlineStr">
        <is>
          <t>Ops Supervisor Padang</t>
        </is>
      </c>
      <c r="B37" s="6">
        <f>'Skenario A B C'!$F$33</f>
        <v/>
      </c>
      <c r="D37">
        <f>IF(1&lt;'Skenario A B C'!$E$33,0,MAX(0,'Skenario A B C'!$H$33-'Skenario A B C'!$AE$33))</f>
        <v/>
      </c>
      <c r="E37">
        <f>IF(2&lt;'Skenario A B C'!$E$33,0,MAX(0,'Skenario A B C'!$H$33-'Skenario A B C'!$AE$33))</f>
        <v/>
      </c>
      <c r="F37">
        <f>IF(3&lt;'Skenario A B C'!$E$33,0,MAX(0,'Skenario A B C'!$H$33-'Skenario A B C'!$AE$33))</f>
        <v/>
      </c>
      <c r="G37">
        <f>IF(4&lt;'Skenario A B C'!$E$33,0,MAX(0,'Skenario A B C'!$I$33-'Skenario A B C'!$AE$33))</f>
        <v/>
      </c>
      <c r="H37">
        <f>IF(5&lt;'Skenario A B C'!$E$33,0,MAX(0,'Skenario A B C'!$I$33-'Skenario A B C'!$AE$33))</f>
        <v/>
      </c>
      <c r="I37">
        <f>IF(6&lt;'Skenario A B C'!$E$33,0,MAX(0,'Skenario A B C'!$I$33-'Skenario A B C'!$AE$33))</f>
        <v/>
      </c>
      <c r="J37">
        <f>IF(7&lt;'Skenario A B C'!$E$33,0,MAX(0,'Skenario A B C'!$I$33-'Skenario A B C'!$AE$33))</f>
        <v/>
      </c>
      <c r="K37">
        <f>IF(8&lt;'Skenario A B C'!$E$33,0,MAX(0,'Skenario A B C'!$I$33-'Skenario A B C'!$AE$33))</f>
        <v/>
      </c>
      <c r="L37">
        <f>IF(9&lt;'Skenario A B C'!$E$33,0,MAX(0,'Skenario A B C'!$I$33-'Skenario A B C'!$AE$33))</f>
        <v/>
      </c>
      <c r="M37">
        <f>IF(10&lt;'Skenario A B C'!$E$33,0,MAX(0,'Skenario A B C'!$I$33-'Skenario A B C'!$AE$33))</f>
        <v/>
      </c>
      <c r="N37">
        <f>IF(11&lt;'Skenario A B C'!$E$33,0,MAX(0,'Skenario A B C'!$I$33-'Skenario A B C'!$AE$33))</f>
        <v/>
      </c>
      <c r="O37">
        <f>IF(12&lt;'Skenario A B C'!$E$33,0,MAX(0,'Skenario A B C'!$I$33-'Skenario A B C'!$AE$33))</f>
        <v/>
      </c>
      <c r="P37">
        <f>IF(13&lt;'Skenario A B C'!$E$33,0,MAX(0,'Skenario A B C'!$J$33-'Skenario A B C'!$AE$33))</f>
        <v/>
      </c>
      <c r="Q37">
        <f>IF(14&lt;'Skenario A B C'!$E$33,0,MAX(0,'Skenario A B C'!$J$33-'Skenario A B C'!$AE$33))</f>
        <v/>
      </c>
      <c r="R37">
        <f>IF(15&lt;'Skenario A B C'!$E$33,0,MAX(0,'Skenario A B C'!$J$33-'Skenario A B C'!$AE$33))</f>
        <v/>
      </c>
      <c r="S37">
        <f>IF(16&lt;'Skenario A B C'!$E$33,0,MAX(0,'Skenario A B C'!$J$33-'Skenario A B C'!$AE$33))</f>
        <v/>
      </c>
      <c r="T37">
        <f>IF(17&lt;'Skenario A B C'!$E$33,0,MAX(0,'Skenario A B C'!$J$33-'Skenario A B C'!$AE$33))</f>
        <v/>
      </c>
      <c r="U37">
        <f>IF(18&lt;'Skenario A B C'!$E$33,0,MAX(0,'Skenario A B C'!$J$33-'Skenario A B C'!$AE$33))</f>
        <v/>
      </c>
      <c r="V37">
        <f>IF(19&lt;'Skenario A B C'!$E$33,0,MAX(0,'Skenario A B C'!$J$33-'Skenario A B C'!$AE$33))</f>
        <v/>
      </c>
      <c r="W37">
        <f>IF(20&lt;'Skenario A B C'!$E$33,0,MAX(0,'Skenario A B C'!$J$33-'Skenario A B C'!$AE$33))</f>
        <v/>
      </c>
      <c r="X37">
        <f>IF(21&lt;'Skenario A B C'!$E$33,0,MAX(0,'Skenario A B C'!$J$33-'Skenario A B C'!$AE$33))</f>
        <v/>
      </c>
      <c r="Y37">
        <f>IF(22&lt;'Skenario A B C'!$E$33,0,MAX(0,'Skenario A B C'!$J$33-'Skenario A B C'!$AE$33))</f>
        <v/>
      </c>
      <c r="Z37">
        <f>IF(23&lt;'Skenario A B C'!$E$33,0,MAX(0,'Skenario A B C'!$J$33-'Skenario A B C'!$AE$33))</f>
        <v/>
      </c>
      <c r="AA37">
        <f>IF(24&lt;'Skenario A B C'!$E$33,0,MAX(0,'Skenario A B C'!$J$33-'Skenario A B C'!$AE$33))</f>
        <v/>
      </c>
    </row>
    <row r="38">
      <c r="A38" t="inlineStr">
        <is>
          <t>CS Agent Padang (shift)</t>
        </is>
      </c>
      <c r="B38" s="6">
        <f>'Skenario A B C'!$F$34</f>
        <v/>
      </c>
      <c r="D38">
        <f>IF(1&lt;'Skenario A B C'!$E$34,0,MAX(0,'Skenario A B C'!$H$34-'Skenario A B C'!$AE$34))</f>
        <v/>
      </c>
      <c r="E38">
        <f>IF(2&lt;'Skenario A B C'!$E$34,0,MAX(0,'Skenario A B C'!$H$34-'Skenario A B C'!$AE$34))</f>
        <v/>
      </c>
      <c r="F38">
        <f>IF(3&lt;'Skenario A B C'!$E$34,0,MAX(0,'Skenario A B C'!$H$34-'Skenario A B C'!$AE$34))</f>
        <v/>
      </c>
      <c r="G38">
        <f>IF(4&lt;'Skenario A B C'!$E$34,0,MAX(0,'Skenario A B C'!$I$34-'Skenario A B C'!$AE$34))</f>
        <v/>
      </c>
      <c r="H38">
        <f>IF(5&lt;'Skenario A B C'!$E$34,0,MAX(0,'Skenario A B C'!$I$34-'Skenario A B C'!$AE$34))</f>
        <v/>
      </c>
      <c r="I38">
        <f>IF(6&lt;'Skenario A B C'!$E$34,0,MAX(0,'Skenario A B C'!$I$34-'Skenario A B C'!$AE$34))</f>
        <v/>
      </c>
      <c r="J38">
        <f>IF(7&lt;'Skenario A B C'!$E$34,0,MAX(0,'Skenario A B C'!$I$34-'Skenario A B C'!$AE$34))</f>
        <v/>
      </c>
      <c r="K38">
        <f>IF(8&lt;'Skenario A B C'!$E$34,0,MAX(0,'Skenario A B C'!$I$34-'Skenario A B C'!$AE$34))</f>
        <v/>
      </c>
      <c r="L38">
        <f>IF(9&lt;'Skenario A B C'!$E$34,0,MAX(0,'Skenario A B C'!$I$34-'Skenario A B C'!$AE$34))</f>
        <v/>
      </c>
      <c r="M38">
        <f>IF(10&lt;'Skenario A B C'!$E$34,0,MAX(0,'Skenario A B C'!$I$34-'Skenario A B C'!$AE$34))</f>
        <v/>
      </c>
      <c r="N38">
        <f>IF(11&lt;'Skenario A B C'!$E$34,0,MAX(0,'Skenario A B C'!$I$34-'Skenario A B C'!$AE$34))</f>
        <v/>
      </c>
      <c r="O38">
        <f>IF(12&lt;'Skenario A B C'!$E$34,0,MAX(0,'Skenario A B C'!$I$34-'Skenario A B C'!$AE$34))</f>
        <v/>
      </c>
      <c r="P38">
        <f>IF(13&lt;'Skenario A B C'!$E$34,0,MAX(0,'Skenario A B C'!$J$34-'Skenario A B C'!$AE$34))</f>
        <v/>
      </c>
      <c r="Q38">
        <f>IF(14&lt;'Skenario A B C'!$E$34,0,MAX(0,'Skenario A B C'!$J$34-'Skenario A B C'!$AE$34))</f>
        <v/>
      </c>
      <c r="R38">
        <f>IF(15&lt;'Skenario A B C'!$E$34,0,MAX(0,'Skenario A B C'!$J$34-'Skenario A B C'!$AE$34))</f>
        <v/>
      </c>
      <c r="S38">
        <f>IF(16&lt;'Skenario A B C'!$E$34,0,MAX(0,'Skenario A B C'!$J$34-'Skenario A B C'!$AE$34))</f>
        <v/>
      </c>
      <c r="T38">
        <f>IF(17&lt;'Skenario A B C'!$E$34,0,MAX(0,'Skenario A B C'!$J$34-'Skenario A B C'!$AE$34))</f>
        <v/>
      </c>
      <c r="U38">
        <f>IF(18&lt;'Skenario A B C'!$E$34,0,MAX(0,'Skenario A B C'!$J$34-'Skenario A B C'!$AE$34))</f>
        <v/>
      </c>
      <c r="V38">
        <f>IF(19&lt;'Skenario A B C'!$E$34,0,MAX(0,'Skenario A B C'!$J$34-'Skenario A B C'!$AE$34))</f>
        <v/>
      </c>
      <c r="W38">
        <f>IF(20&lt;'Skenario A B C'!$E$34,0,MAX(0,'Skenario A B C'!$J$34-'Skenario A B C'!$AE$34))</f>
        <v/>
      </c>
      <c r="X38">
        <f>IF(21&lt;'Skenario A B C'!$E$34,0,MAX(0,'Skenario A B C'!$J$34-'Skenario A B C'!$AE$34))</f>
        <v/>
      </c>
      <c r="Y38">
        <f>IF(22&lt;'Skenario A B C'!$E$34,0,MAX(0,'Skenario A B C'!$J$34-'Skenario A B C'!$AE$34))</f>
        <v/>
      </c>
      <c r="Z38">
        <f>IF(23&lt;'Skenario A B C'!$E$34,0,MAX(0,'Skenario A B C'!$J$34-'Skenario A B C'!$AE$34))</f>
        <v/>
      </c>
      <c r="AA38">
        <f>IF(24&lt;'Skenario A B C'!$E$34,0,MAX(0,'Skenario A B C'!$J$34-'Skenario A B C'!$AE$34))</f>
        <v/>
      </c>
    </row>
    <row r="39">
      <c r="A39" t="inlineStr">
        <is>
          <t>Partner Acquisition Padang - gelombang 2</t>
        </is>
      </c>
      <c r="B39" s="6">
        <f>'Skenario A B C'!$F$35</f>
        <v/>
      </c>
      <c r="D39">
        <f>IF(1&lt;'Skenario A B C'!$E$35,0,MAX(0,'Skenario A B C'!$H$35-'Skenario A B C'!$AE$35))</f>
        <v/>
      </c>
      <c r="E39">
        <f>IF(2&lt;'Skenario A B C'!$E$35,0,MAX(0,'Skenario A B C'!$H$35-'Skenario A B C'!$AE$35))</f>
        <v/>
      </c>
      <c r="F39">
        <f>IF(3&lt;'Skenario A B C'!$E$35,0,MAX(0,'Skenario A B C'!$H$35-'Skenario A B C'!$AE$35))</f>
        <v/>
      </c>
      <c r="G39">
        <f>IF(4&lt;'Skenario A B C'!$E$35,0,MAX(0,'Skenario A B C'!$I$35-'Skenario A B C'!$AE$35))</f>
        <v/>
      </c>
      <c r="H39">
        <f>IF(5&lt;'Skenario A B C'!$E$35,0,MAX(0,'Skenario A B C'!$I$35-'Skenario A B C'!$AE$35))</f>
        <v/>
      </c>
      <c r="I39">
        <f>IF(6&lt;'Skenario A B C'!$E$35,0,MAX(0,'Skenario A B C'!$I$35-'Skenario A B C'!$AE$35))</f>
        <v/>
      </c>
      <c r="J39">
        <f>IF(7&lt;'Skenario A B C'!$E$35,0,MAX(0,'Skenario A B C'!$I$35-'Skenario A B C'!$AE$35))</f>
        <v/>
      </c>
      <c r="K39">
        <f>IF(8&lt;'Skenario A B C'!$E$35,0,MAX(0,'Skenario A B C'!$I$35-'Skenario A B C'!$AE$35))</f>
        <v/>
      </c>
      <c r="L39">
        <f>IF(9&lt;'Skenario A B C'!$E$35,0,MAX(0,'Skenario A B C'!$I$35-'Skenario A B C'!$AE$35))</f>
        <v/>
      </c>
      <c r="M39">
        <f>IF(10&lt;'Skenario A B C'!$E$35,0,MAX(0,'Skenario A B C'!$I$35-'Skenario A B C'!$AE$35))</f>
        <v/>
      </c>
      <c r="N39">
        <f>IF(11&lt;'Skenario A B C'!$E$35,0,MAX(0,'Skenario A B C'!$I$35-'Skenario A B C'!$AE$35))</f>
        <v/>
      </c>
      <c r="O39">
        <f>IF(12&lt;'Skenario A B C'!$E$35,0,MAX(0,'Skenario A B C'!$I$35-'Skenario A B C'!$AE$35))</f>
        <v/>
      </c>
      <c r="P39">
        <f>IF(13&lt;'Skenario A B C'!$E$35,0,MAX(0,'Skenario A B C'!$J$35-'Skenario A B C'!$AE$35))</f>
        <v/>
      </c>
      <c r="Q39">
        <f>IF(14&lt;'Skenario A B C'!$E$35,0,MAX(0,'Skenario A B C'!$J$35-'Skenario A B C'!$AE$35))</f>
        <v/>
      </c>
      <c r="R39">
        <f>IF(15&lt;'Skenario A B C'!$E$35,0,MAX(0,'Skenario A B C'!$J$35-'Skenario A B C'!$AE$35))</f>
        <v/>
      </c>
      <c r="S39">
        <f>IF(16&lt;'Skenario A B C'!$E$35,0,MAX(0,'Skenario A B C'!$J$35-'Skenario A B C'!$AE$35))</f>
        <v/>
      </c>
      <c r="T39">
        <f>IF(17&lt;'Skenario A B C'!$E$35,0,MAX(0,'Skenario A B C'!$J$35-'Skenario A B C'!$AE$35))</f>
        <v/>
      </c>
      <c r="U39">
        <f>IF(18&lt;'Skenario A B C'!$E$35,0,MAX(0,'Skenario A B C'!$J$35-'Skenario A B C'!$AE$35))</f>
        <v/>
      </c>
      <c r="V39">
        <f>IF(19&lt;'Skenario A B C'!$E$35,0,MAX(0,'Skenario A B C'!$J$35-'Skenario A B C'!$AE$35))</f>
        <v/>
      </c>
      <c r="W39">
        <f>IF(20&lt;'Skenario A B C'!$E$35,0,MAX(0,'Skenario A B C'!$J$35-'Skenario A B C'!$AE$35))</f>
        <v/>
      </c>
      <c r="X39">
        <f>IF(21&lt;'Skenario A B C'!$E$35,0,MAX(0,'Skenario A B C'!$J$35-'Skenario A B C'!$AE$35))</f>
        <v/>
      </c>
      <c r="Y39">
        <f>IF(22&lt;'Skenario A B C'!$E$35,0,MAX(0,'Skenario A B C'!$J$35-'Skenario A B C'!$AE$35))</f>
        <v/>
      </c>
      <c r="Z39">
        <f>IF(23&lt;'Skenario A B C'!$E$35,0,MAX(0,'Skenario A B C'!$J$35-'Skenario A B C'!$AE$35))</f>
        <v/>
      </c>
      <c r="AA39">
        <f>IF(24&lt;'Skenario A B C'!$E$35,0,MAX(0,'Skenario A B C'!$J$35-'Skenario A B C'!$AE$35))</f>
        <v/>
      </c>
    </row>
    <row r="40">
      <c r="A40" t="inlineStr">
        <is>
          <t>Head of Growth &amp; Partnership</t>
        </is>
      </c>
      <c r="B40" s="6">
        <f>'Skenario A B C'!$F$36</f>
        <v/>
      </c>
      <c r="D40">
        <f>IF(1&lt;'Skenario A B C'!$E$36,0,MAX(0,'Skenario A B C'!$H$36-'Skenario A B C'!$AE$36))</f>
        <v/>
      </c>
      <c r="E40">
        <f>IF(2&lt;'Skenario A B C'!$E$36,0,MAX(0,'Skenario A B C'!$H$36-'Skenario A B C'!$AE$36))</f>
        <v/>
      </c>
      <c r="F40">
        <f>IF(3&lt;'Skenario A B C'!$E$36,0,MAX(0,'Skenario A B C'!$H$36-'Skenario A B C'!$AE$36))</f>
        <v/>
      </c>
      <c r="G40">
        <f>IF(4&lt;'Skenario A B C'!$E$36,0,MAX(0,'Skenario A B C'!$I$36-'Skenario A B C'!$AE$36))</f>
        <v/>
      </c>
      <c r="H40">
        <f>IF(5&lt;'Skenario A B C'!$E$36,0,MAX(0,'Skenario A B C'!$I$36-'Skenario A B C'!$AE$36))</f>
        <v/>
      </c>
      <c r="I40">
        <f>IF(6&lt;'Skenario A B C'!$E$36,0,MAX(0,'Skenario A B C'!$I$36-'Skenario A B C'!$AE$36))</f>
        <v/>
      </c>
      <c r="J40">
        <f>IF(7&lt;'Skenario A B C'!$E$36,0,MAX(0,'Skenario A B C'!$I$36-'Skenario A B C'!$AE$36))</f>
        <v/>
      </c>
      <c r="K40">
        <f>IF(8&lt;'Skenario A B C'!$E$36,0,MAX(0,'Skenario A B C'!$I$36-'Skenario A B C'!$AE$36))</f>
        <v/>
      </c>
      <c r="L40">
        <f>IF(9&lt;'Skenario A B C'!$E$36,0,MAX(0,'Skenario A B C'!$I$36-'Skenario A B C'!$AE$36))</f>
        <v/>
      </c>
      <c r="M40">
        <f>IF(10&lt;'Skenario A B C'!$E$36,0,MAX(0,'Skenario A B C'!$I$36-'Skenario A B C'!$AE$36))</f>
        <v/>
      </c>
      <c r="N40">
        <f>IF(11&lt;'Skenario A B C'!$E$36,0,MAX(0,'Skenario A B C'!$I$36-'Skenario A B C'!$AE$36))</f>
        <v/>
      </c>
      <c r="O40">
        <f>IF(12&lt;'Skenario A B C'!$E$36,0,MAX(0,'Skenario A B C'!$I$36-'Skenario A B C'!$AE$36))</f>
        <v/>
      </c>
      <c r="P40">
        <f>IF(13&lt;'Skenario A B C'!$E$36,0,MAX(0,'Skenario A B C'!$J$36-'Skenario A B C'!$AE$36))</f>
        <v/>
      </c>
      <c r="Q40">
        <f>IF(14&lt;'Skenario A B C'!$E$36,0,MAX(0,'Skenario A B C'!$J$36-'Skenario A B C'!$AE$36))</f>
        <v/>
      </c>
      <c r="R40">
        <f>IF(15&lt;'Skenario A B C'!$E$36,0,MAX(0,'Skenario A B C'!$J$36-'Skenario A B C'!$AE$36))</f>
        <v/>
      </c>
      <c r="S40">
        <f>IF(16&lt;'Skenario A B C'!$E$36,0,MAX(0,'Skenario A B C'!$J$36-'Skenario A B C'!$AE$36))</f>
        <v/>
      </c>
      <c r="T40">
        <f>IF(17&lt;'Skenario A B C'!$E$36,0,MAX(0,'Skenario A B C'!$J$36-'Skenario A B C'!$AE$36))</f>
        <v/>
      </c>
      <c r="U40">
        <f>IF(18&lt;'Skenario A B C'!$E$36,0,MAX(0,'Skenario A B C'!$J$36-'Skenario A B C'!$AE$36))</f>
        <v/>
      </c>
      <c r="V40">
        <f>IF(19&lt;'Skenario A B C'!$E$36,0,MAX(0,'Skenario A B C'!$J$36-'Skenario A B C'!$AE$36))</f>
        <v/>
      </c>
      <c r="W40">
        <f>IF(20&lt;'Skenario A B C'!$E$36,0,MAX(0,'Skenario A B C'!$J$36-'Skenario A B C'!$AE$36))</f>
        <v/>
      </c>
      <c r="X40">
        <f>IF(21&lt;'Skenario A B C'!$E$36,0,MAX(0,'Skenario A B C'!$J$36-'Skenario A B C'!$AE$36))</f>
        <v/>
      </c>
      <c r="Y40">
        <f>IF(22&lt;'Skenario A B C'!$E$36,0,MAX(0,'Skenario A B C'!$J$36-'Skenario A B C'!$AE$36))</f>
        <v/>
      </c>
      <c r="Z40">
        <f>IF(23&lt;'Skenario A B C'!$E$36,0,MAX(0,'Skenario A B C'!$J$36-'Skenario A B C'!$AE$36))</f>
        <v/>
      </c>
      <c r="AA40">
        <f>IF(24&lt;'Skenario A B C'!$E$36,0,MAX(0,'Skenario A B C'!$J$36-'Skenario A B C'!$AE$36))</f>
        <v/>
      </c>
    </row>
    <row r="41">
      <c r="A41" t="inlineStr">
        <is>
          <t>Digital Marketing Staff</t>
        </is>
      </c>
      <c r="B41" s="6">
        <f>'Skenario A B C'!$F$37</f>
        <v/>
      </c>
      <c r="D41">
        <f>IF(1&lt;'Skenario A B C'!$E$37,0,MAX(0,'Skenario A B C'!$H$37-'Skenario A B C'!$AE$37))</f>
        <v/>
      </c>
      <c r="E41">
        <f>IF(2&lt;'Skenario A B C'!$E$37,0,MAX(0,'Skenario A B C'!$H$37-'Skenario A B C'!$AE$37))</f>
        <v/>
      </c>
      <c r="F41">
        <f>IF(3&lt;'Skenario A B C'!$E$37,0,MAX(0,'Skenario A B C'!$H$37-'Skenario A B C'!$AE$37))</f>
        <v/>
      </c>
      <c r="G41">
        <f>IF(4&lt;'Skenario A B C'!$E$37,0,MAX(0,'Skenario A B C'!$I$37-'Skenario A B C'!$AE$37))</f>
        <v/>
      </c>
      <c r="H41">
        <f>IF(5&lt;'Skenario A B C'!$E$37,0,MAX(0,'Skenario A B C'!$I$37-'Skenario A B C'!$AE$37))</f>
        <v/>
      </c>
      <c r="I41">
        <f>IF(6&lt;'Skenario A B C'!$E$37,0,MAX(0,'Skenario A B C'!$I$37-'Skenario A B C'!$AE$37))</f>
        <v/>
      </c>
      <c r="J41">
        <f>IF(7&lt;'Skenario A B C'!$E$37,0,MAX(0,'Skenario A B C'!$I$37-'Skenario A B C'!$AE$37))</f>
        <v/>
      </c>
      <c r="K41">
        <f>IF(8&lt;'Skenario A B C'!$E$37,0,MAX(0,'Skenario A B C'!$I$37-'Skenario A B C'!$AE$37))</f>
        <v/>
      </c>
      <c r="L41">
        <f>IF(9&lt;'Skenario A B C'!$E$37,0,MAX(0,'Skenario A B C'!$I$37-'Skenario A B C'!$AE$37))</f>
        <v/>
      </c>
      <c r="M41">
        <f>IF(10&lt;'Skenario A B C'!$E$37,0,MAX(0,'Skenario A B C'!$I$37-'Skenario A B C'!$AE$37))</f>
        <v/>
      </c>
      <c r="N41">
        <f>IF(11&lt;'Skenario A B C'!$E$37,0,MAX(0,'Skenario A B C'!$I$37-'Skenario A B C'!$AE$37))</f>
        <v/>
      </c>
      <c r="O41">
        <f>IF(12&lt;'Skenario A B C'!$E$37,0,MAX(0,'Skenario A B C'!$I$37-'Skenario A B C'!$AE$37))</f>
        <v/>
      </c>
      <c r="P41">
        <f>IF(13&lt;'Skenario A B C'!$E$37,0,MAX(0,'Skenario A B C'!$J$37-'Skenario A B C'!$AE$37))</f>
        <v/>
      </c>
      <c r="Q41">
        <f>IF(14&lt;'Skenario A B C'!$E$37,0,MAX(0,'Skenario A B C'!$J$37-'Skenario A B C'!$AE$37))</f>
        <v/>
      </c>
      <c r="R41">
        <f>IF(15&lt;'Skenario A B C'!$E$37,0,MAX(0,'Skenario A B C'!$J$37-'Skenario A B C'!$AE$37))</f>
        <v/>
      </c>
      <c r="S41">
        <f>IF(16&lt;'Skenario A B C'!$E$37,0,MAX(0,'Skenario A B C'!$J$37-'Skenario A B C'!$AE$37))</f>
        <v/>
      </c>
      <c r="T41">
        <f>IF(17&lt;'Skenario A B C'!$E$37,0,MAX(0,'Skenario A B C'!$J$37-'Skenario A B C'!$AE$37))</f>
        <v/>
      </c>
      <c r="U41">
        <f>IF(18&lt;'Skenario A B C'!$E$37,0,MAX(0,'Skenario A B C'!$J$37-'Skenario A B C'!$AE$37))</f>
        <v/>
      </c>
      <c r="V41">
        <f>IF(19&lt;'Skenario A B C'!$E$37,0,MAX(0,'Skenario A B C'!$J$37-'Skenario A B C'!$AE$37))</f>
        <v/>
      </c>
      <c r="W41">
        <f>IF(20&lt;'Skenario A B C'!$E$37,0,MAX(0,'Skenario A B C'!$J$37-'Skenario A B C'!$AE$37))</f>
        <v/>
      </c>
      <c r="X41">
        <f>IF(21&lt;'Skenario A B C'!$E$37,0,MAX(0,'Skenario A B C'!$J$37-'Skenario A B C'!$AE$37))</f>
        <v/>
      </c>
      <c r="Y41">
        <f>IF(22&lt;'Skenario A B C'!$E$37,0,MAX(0,'Skenario A B C'!$J$37-'Skenario A B C'!$AE$37))</f>
        <v/>
      </c>
      <c r="Z41">
        <f>IF(23&lt;'Skenario A B C'!$E$37,0,MAX(0,'Skenario A B C'!$J$37-'Skenario A B C'!$AE$37))</f>
        <v/>
      </c>
      <c r="AA41">
        <f>IF(24&lt;'Skenario A B C'!$E$37,0,MAX(0,'Skenario A B C'!$J$37-'Skenario A B C'!$AE$37))</f>
        <v/>
      </c>
    </row>
    <row r="42">
      <c r="A42" t="inlineStr">
        <is>
          <t>Merchant Acquisition Officer</t>
        </is>
      </c>
      <c r="B42" s="6">
        <f>'Skenario A B C'!$F$38</f>
        <v/>
      </c>
      <c r="D42">
        <f>IF(1&lt;'Skenario A B C'!$E$38,0,MAX(0,'Skenario A B C'!$H$38-'Skenario A B C'!$AE$38))</f>
        <v/>
      </c>
      <c r="E42">
        <f>IF(2&lt;'Skenario A B C'!$E$38,0,MAX(0,'Skenario A B C'!$H$38-'Skenario A B C'!$AE$38))</f>
        <v/>
      </c>
      <c r="F42">
        <f>IF(3&lt;'Skenario A B C'!$E$38,0,MAX(0,'Skenario A B C'!$H$38-'Skenario A B C'!$AE$38))</f>
        <v/>
      </c>
      <c r="G42">
        <f>IF(4&lt;'Skenario A B C'!$E$38,0,MAX(0,'Skenario A B C'!$I$38-'Skenario A B C'!$AE$38))</f>
        <v/>
      </c>
      <c r="H42">
        <f>IF(5&lt;'Skenario A B C'!$E$38,0,MAX(0,'Skenario A B C'!$I$38-'Skenario A B C'!$AE$38))</f>
        <v/>
      </c>
      <c r="I42">
        <f>IF(6&lt;'Skenario A B C'!$E$38,0,MAX(0,'Skenario A B C'!$I$38-'Skenario A B C'!$AE$38))</f>
        <v/>
      </c>
      <c r="J42">
        <f>IF(7&lt;'Skenario A B C'!$E$38,0,MAX(0,'Skenario A B C'!$I$38-'Skenario A B C'!$AE$38))</f>
        <v/>
      </c>
      <c r="K42">
        <f>IF(8&lt;'Skenario A B C'!$E$38,0,MAX(0,'Skenario A B C'!$I$38-'Skenario A B C'!$AE$38))</f>
        <v/>
      </c>
      <c r="L42">
        <f>IF(9&lt;'Skenario A B C'!$E$38,0,MAX(0,'Skenario A B C'!$I$38-'Skenario A B C'!$AE$38))</f>
        <v/>
      </c>
      <c r="M42">
        <f>IF(10&lt;'Skenario A B C'!$E$38,0,MAX(0,'Skenario A B C'!$I$38-'Skenario A B C'!$AE$38))</f>
        <v/>
      </c>
      <c r="N42">
        <f>IF(11&lt;'Skenario A B C'!$E$38,0,MAX(0,'Skenario A B C'!$I$38-'Skenario A B C'!$AE$38))</f>
        <v/>
      </c>
      <c r="O42">
        <f>IF(12&lt;'Skenario A B C'!$E$38,0,MAX(0,'Skenario A B C'!$I$38-'Skenario A B C'!$AE$38))</f>
        <v/>
      </c>
      <c r="P42">
        <f>IF(13&lt;'Skenario A B C'!$E$38,0,MAX(0,'Skenario A B C'!$J$38-'Skenario A B C'!$AE$38))</f>
        <v/>
      </c>
      <c r="Q42">
        <f>IF(14&lt;'Skenario A B C'!$E$38,0,MAX(0,'Skenario A B C'!$J$38-'Skenario A B C'!$AE$38))</f>
        <v/>
      </c>
      <c r="R42">
        <f>IF(15&lt;'Skenario A B C'!$E$38,0,MAX(0,'Skenario A B C'!$J$38-'Skenario A B C'!$AE$38))</f>
        <v/>
      </c>
      <c r="S42">
        <f>IF(16&lt;'Skenario A B C'!$E$38,0,MAX(0,'Skenario A B C'!$J$38-'Skenario A B C'!$AE$38))</f>
        <v/>
      </c>
      <c r="T42">
        <f>IF(17&lt;'Skenario A B C'!$E$38,0,MAX(0,'Skenario A B C'!$J$38-'Skenario A B C'!$AE$38))</f>
        <v/>
      </c>
      <c r="U42">
        <f>IF(18&lt;'Skenario A B C'!$E$38,0,MAX(0,'Skenario A B C'!$J$38-'Skenario A B C'!$AE$38))</f>
        <v/>
      </c>
      <c r="V42">
        <f>IF(19&lt;'Skenario A B C'!$E$38,0,MAX(0,'Skenario A B C'!$J$38-'Skenario A B C'!$AE$38))</f>
        <v/>
      </c>
      <c r="W42">
        <f>IF(20&lt;'Skenario A B C'!$E$38,0,MAX(0,'Skenario A B C'!$J$38-'Skenario A B C'!$AE$38))</f>
        <v/>
      </c>
      <c r="X42">
        <f>IF(21&lt;'Skenario A B C'!$E$38,0,MAX(0,'Skenario A B C'!$J$38-'Skenario A B C'!$AE$38))</f>
        <v/>
      </c>
      <c r="Y42">
        <f>IF(22&lt;'Skenario A B C'!$E$38,0,MAX(0,'Skenario A B C'!$J$38-'Skenario A B C'!$AE$38))</f>
        <v/>
      </c>
      <c r="Z42">
        <f>IF(23&lt;'Skenario A B C'!$E$38,0,MAX(0,'Skenario A B C'!$J$38-'Skenario A B C'!$AE$38))</f>
        <v/>
      </c>
      <c r="AA42">
        <f>IF(24&lt;'Skenario A B C'!$E$38,0,MAX(0,'Skenario A B C'!$J$38-'Skenario A B C'!$AE$38))</f>
        <v/>
      </c>
    </row>
    <row r="43">
      <c r="A43" t="inlineStr">
        <is>
          <t>Head of Finance</t>
        </is>
      </c>
      <c r="B43" s="6">
        <f>'Skenario A B C'!$F$39</f>
        <v/>
      </c>
      <c r="D43">
        <f>IF(1&lt;'Skenario A B C'!$E$39,0,MAX(0,'Skenario A B C'!$H$39-'Skenario A B C'!$AE$39))</f>
        <v/>
      </c>
      <c r="E43">
        <f>IF(2&lt;'Skenario A B C'!$E$39,0,MAX(0,'Skenario A B C'!$H$39-'Skenario A B C'!$AE$39))</f>
        <v/>
      </c>
      <c r="F43">
        <f>IF(3&lt;'Skenario A B C'!$E$39,0,MAX(0,'Skenario A B C'!$H$39-'Skenario A B C'!$AE$39))</f>
        <v/>
      </c>
      <c r="G43">
        <f>IF(4&lt;'Skenario A B C'!$E$39,0,MAX(0,'Skenario A B C'!$I$39-'Skenario A B C'!$AE$39))</f>
        <v/>
      </c>
      <c r="H43">
        <f>IF(5&lt;'Skenario A B C'!$E$39,0,MAX(0,'Skenario A B C'!$I$39-'Skenario A B C'!$AE$39))</f>
        <v/>
      </c>
      <c r="I43">
        <f>IF(6&lt;'Skenario A B C'!$E$39,0,MAX(0,'Skenario A B C'!$I$39-'Skenario A B C'!$AE$39))</f>
        <v/>
      </c>
      <c r="J43">
        <f>IF(7&lt;'Skenario A B C'!$E$39,0,MAX(0,'Skenario A B C'!$I$39-'Skenario A B C'!$AE$39))</f>
        <v/>
      </c>
      <c r="K43">
        <f>IF(8&lt;'Skenario A B C'!$E$39,0,MAX(0,'Skenario A B C'!$I$39-'Skenario A B C'!$AE$39))</f>
        <v/>
      </c>
      <c r="L43">
        <f>IF(9&lt;'Skenario A B C'!$E$39,0,MAX(0,'Skenario A B C'!$I$39-'Skenario A B C'!$AE$39))</f>
        <v/>
      </c>
      <c r="M43">
        <f>IF(10&lt;'Skenario A B C'!$E$39,0,MAX(0,'Skenario A B C'!$I$39-'Skenario A B C'!$AE$39))</f>
        <v/>
      </c>
      <c r="N43">
        <f>IF(11&lt;'Skenario A B C'!$E$39,0,MAX(0,'Skenario A B C'!$I$39-'Skenario A B C'!$AE$39))</f>
        <v/>
      </c>
      <c r="O43">
        <f>IF(12&lt;'Skenario A B C'!$E$39,0,MAX(0,'Skenario A B C'!$I$39-'Skenario A B C'!$AE$39))</f>
        <v/>
      </c>
      <c r="P43">
        <f>IF(13&lt;'Skenario A B C'!$E$39,0,MAX(0,'Skenario A B C'!$J$39-'Skenario A B C'!$AE$39))</f>
        <v/>
      </c>
      <c r="Q43">
        <f>IF(14&lt;'Skenario A B C'!$E$39,0,MAX(0,'Skenario A B C'!$J$39-'Skenario A B C'!$AE$39))</f>
        <v/>
      </c>
      <c r="R43">
        <f>IF(15&lt;'Skenario A B C'!$E$39,0,MAX(0,'Skenario A B C'!$J$39-'Skenario A B C'!$AE$39))</f>
        <v/>
      </c>
      <c r="S43">
        <f>IF(16&lt;'Skenario A B C'!$E$39,0,MAX(0,'Skenario A B C'!$J$39-'Skenario A B C'!$AE$39))</f>
        <v/>
      </c>
      <c r="T43">
        <f>IF(17&lt;'Skenario A B C'!$E$39,0,MAX(0,'Skenario A B C'!$J$39-'Skenario A B C'!$AE$39))</f>
        <v/>
      </c>
      <c r="U43">
        <f>IF(18&lt;'Skenario A B C'!$E$39,0,MAX(0,'Skenario A B C'!$J$39-'Skenario A B C'!$AE$39))</f>
        <v/>
      </c>
      <c r="V43">
        <f>IF(19&lt;'Skenario A B C'!$E$39,0,MAX(0,'Skenario A B C'!$J$39-'Skenario A B C'!$AE$39))</f>
        <v/>
      </c>
      <c r="W43">
        <f>IF(20&lt;'Skenario A B C'!$E$39,0,MAX(0,'Skenario A B C'!$J$39-'Skenario A B C'!$AE$39))</f>
        <v/>
      </c>
      <c r="X43">
        <f>IF(21&lt;'Skenario A B C'!$E$39,0,MAX(0,'Skenario A B C'!$J$39-'Skenario A B C'!$AE$39))</f>
        <v/>
      </c>
      <c r="Y43">
        <f>IF(22&lt;'Skenario A B C'!$E$39,0,MAX(0,'Skenario A B C'!$J$39-'Skenario A B C'!$AE$39))</f>
        <v/>
      </c>
      <c r="Z43">
        <f>IF(23&lt;'Skenario A B C'!$E$39,0,MAX(0,'Skenario A B C'!$J$39-'Skenario A B C'!$AE$39))</f>
        <v/>
      </c>
      <c r="AA43">
        <f>IF(24&lt;'Skenario A B C'!$E$39,0,MAX(0,'Skenario A B C'!$J$39-'Skenario A B C'!$AE$39))</f>
        <v/>
      </c>
    </row>
    <row r="44">
      <c r="A44" t="inlineStr">
        <is>
          <t>Finance &amp; Accounting Staff</t>
        </is>
      </c>
      <c r="B44" s="6">
        <f>'Skenario A B C'!$F$40</f>
        <v/>
      </c>
      <c r="D44">
        <f>IF(1&lt;'Skenario A B C'!$E$40,0,MAX(0,'Skenario A B C'!$H$40-'Skenario A B C'!$AE$40))</f>
        <v/>
      </c>
      <c r="E44">
        <f>IF(2&lt;'Skenario A B C'!$E$40,0,MAX(0,'Skenario A B C'!$H$40-'Skenario A B C'!$AE$40))</f>
        <v/>
      </c>
      <c r="F44">
        <f>IF(3&lt;'Skenario A B C'!$E$40,0,MAX(0,'Skenario A B C'!$H$40-'Skenario A B C'!$AE$40))</f>
        <v/>
      </c>
      <c r="G44">
        <f>IF(4&lt;'Skenario A B C'!$E$40,0,MAX(0,'Skenario A B C'!$I$40-'Skenario A B C'!$AE$40))</f>
        <v/>
      </c>
      <c r="H44">
        <f>IF(5&lt;'Skenario A B C'!$E$40,0,MAX(0,'Skenario A B C'!$I$40-'Skenario A B C'!$AE$40))</f>
        <v/>
      </c>
      <c r="I44">
        <f>IF(6&lt;'Skenario A B C'!$E$40,0,MAX(0,'Skenario A B C'!$I$40-'Skenario A B C'!$AE$40))</f>
        <v/>
      </c>
      <c r="J44">
        <f>IF(7&lt;'Skenario A B C'!$E$40,0,MAX(0,'Skenario A B C'!$I$40-'Skenario A B C'!$AE$40))</f>
        <v/>
      </c>
      <c r="K44">
        <f>IF(8&lt;'Skenario A B C'!$E$40,0,MAX(0,'Skenario A B C'!$I$40-'Skenario A B C'!$AE$40))</f>
        <v/>
      </c>
      <c r="L44">
        <f>IF(9&lt;'Skenario A B C'!$E$40,0,MAX(0,'Skenario A B C'!$I$40-'Skenario A B C'!$AE$40))</f>
        <v/>
      </c>
      <c r="M44">
        <f>IF(10&lt;'Skenario A B C'!$E$40,0,MAX(0,'Skenario A B C'!$I$40-'Skenario A B C'!$AE$40))</f>
        <v/>
      </c>
      <c r="N44">
        <f>IF(11&lt;'Skenario A B C'!$E$40,0,MAX(0,'Skenario A B C'!$I$40-'Skenario A B C'!$AE$40))</f>
        <v/>
      </c>
      <c r="O44">
        <f>IF(12&lt;'Skenario A B C'!$E$40,0,MAX(0,'Skenario A B C'!$I$40-'Skenario A B C'!$AE$40))</f>
        <v/>
      </c>
      <c r="P44">
        <f>IF(13&lt;'Skenario A B C'!$E$40,0,MAX(0,'Skenario A B C'!$J$40-'Skenario A B C'!$AE$40))</f>
        <v/>
      </c>
      <c r="Q44">
        <f>IF(14&lt;'Skenario A B C'!$E$40,0,MAX(0,'Skenario A B C'!$J$40-'Skenario A B C'!$AE$40))</f>
        <v/>
      </c>
      <c r="R44">
        <f>IF(15&lt;'Skenario A B C'!$E$40,0,MAX(0,'Skenario A B C'!$J$40-'Skenario A B C'!$AE$40))</f>
        <v/>
      </c>
      <c r="S44">
        <f>IF(16&lt;'Skenario A B C'!$E$40,0,MAX(0,'Skenario A B C'!$J$40-'Skenario A B C'!$AE$40))</f>
        <v/>
      </c>
      <c r="T44">
        <f>IF(17&lt;'Skenario A B C'!$E$40,0,MAX(0,'Skenario A B C'!$J$40-'Skenario A B C'!$AE$40))</f>
        <v/>
      </c>
      <c r="U44">
        <f>IF(18&lt;'Skenario A B C'!$E$40,0,MAX(0,'Skenario A B C'!$J$40-'Skenario A B C'!$AE$40))</f>
        <v/>
      </c>
      <c r="V44">
        <f>IF(19&lt;'Skenario A B C'!$E$40,0,MAX(0,'Skenario A B C'!$J$40-'Skenario A B C'!$AE$40))</f>
        <v/>
      </c>
      <c r="W44">
        <f>IF(20&lt;'Skenario A B C'!$E$40,0,MAX(0,'Skenario A B C'!$J$40-'Skenario A B C'!$AE$40))</f>
        <v/>
      </c>
      <c r="X44">
        <f>IF(21&lt;'Skenario A B C'!$E$40,0,MAX(0,'Skenario A B C'!$J$40-'Skenario A B C'!$AE$40))</f>
        <v/>
      </c>
      <c r="Y44">
        <f>IF(22&lt;'Skenario A B C'!$E$40,0,MAX(0,'Skenario A B C'!$J$40-'Skenario A B C'!$AE$40))</f>
        <v/>
      </c>
      <c r="Z44">
        <f>IF(23&lt;'Skenario A B C'!$E$40,0,MAX(0,'Skenario A B C'!$J$40-'Skenario A B C'!$AE$40))</f>
        <v/>
      </c>
      <c r="AA44">
        <f>IF(24&lt;'Skenario A B C'!$E$40,0,MAX(0,'Skenario A B C'!$J$40-'Skenario A B C'!$AE$40))</f>
        <v/>
      </c>
    </row>
    <row r="45">
      <c r="A45" t="inlineStr">
        <is>
          <t>Treasury/Settlement Officer</t>
        </is>
      </c>
      <c r="B45" s="6">
        <f>'Skenario A B C'!$F$41</f>
        <v/>
      </c>
      <c r="D45">
        <f>IF(1&lt;'Skenario A B C'!$E$41,0,MAX(0,'Skenario A B C'!$H$41-'Skenario A B C'!$AE$41))</f>
        <v/>
      </c>
      <c r="E45">
        <f>IF(2&lt;'Skenario A B C'!$E$41,0,MAX(0,'Skenario A B C'!$H$41-'Skenario A B C'!$AE$41))</f>
        <v/>
      </c>
      <c r="F45">
        <f>IF(3&lt;'Skenario A B C'!$E$41,0,MAX(0,'Skenario A B C'!$H$41-'Skenario A B C'!$AE$41))</f>
        <v/>
      </c>
      <c r="G45">
        <f>IF(4&lt;'Skenario A B C'!$E$41,0,MAX(0,'Skenario A B C'!$I$41-'Skenario A B C'!$AE$41))</f>
        <v/>
      </c>
      <c r="H45">
        <f>IF(5&lt;'Skenario A B C'!$E$41,0,MAX(0,'Skenario A B C'!$I$41-'Skenario A B C'!$AE$41))</f>
        <v/>
      </c>
      <c r="I45">
        <f>IF(6&lt;'Skenario A B C'!$E$41,0,MAX(0,'Skenario A B C'!$I$41-'Skenario A B C'!$AE$41))</f>
        <v/>
      </c>
      <c r="J45">
        <f>IF(7&lt;'Skenario A B C'!$E$41,0,MAX(0,'Skenario A B C'!$I$41-'Skenario A B C'!$AE$41))</f>
        <v/>
      </c>
      <c r="K45">
        <f>IF(8&lt;'Skenario A B C'!$E$41,0,MAX(0,'Skenario A B C'!$I$41-'Skenario A B C'!$AE$41))</f>
        <v/>
      </c>
      <c r="L45">
        <f>IF(9&lt;'Skenario A B C'!$E$41,0,MAX(0,'Skenario A B C'!$I$41-'Skenario A B C'!$AE$41))</f>
        <v/>
      </c>
      <c r="M45">
        <f>IF(10&lt;'Skenario A B C'!$E$41,0,MAX(0,'Skenario A B C'!$I$41-'Skenario A B C'!$AE$41))</f>
        <v/>
      </c>
      <c r="N45">
        <f>IF(11&lt;'Skenario A B C'!$E$41,0,MAX(0,'Skenario A B C'!$I$41-'Skenario A B C'!$AE$41))</f>
        <v/>
      </c>
      <c r="O45">
        <f>IF(12&lt;'Skenario A B C'!$E$41,0,MAX(0,'Skenario A B C'!$I$41-'Skenario A B C'!$AE$41))</f>
        <v/>
      </c>
      <c r="P45">
        <f>IF(13&lt;'Skenario A B C'!$E$41,0,MAX(0,'Skenario A B C'!$J$41-'Skenario A B C'!$AE$41))</f>
        <v/>
      </c>
      <c r="Q45">
        <f>IF(14&lt;'Skenario A B C'!$E$41,0,MAX(0,'Skenario A B C'!$J$41-'Skenario A B C'!$AE$41))</f>
        <v/>
      </c>
      <c r="R45">
        <f>IF(15&lt;'Skenario A B C'!$E$41,0,MAX(0,'Skenario A B C'!$J$41-'Skenario A B C'!$AE$41))</f>
        <v/>
      </c>
      <c r="S45">
        <f>IF(16&lt;'Skenario A B C'!$E$41,0,MAX(0,'Skenario A B C'!$J$41-'Skenario A B C'!$AE$41))</f>
        <v/>
      </c>
      <c r="T45">
        <f>IF(17&lt;'Skenario A B C'!$E$41,0,MAX(0,'Skenario A B C'!$J$41-'Skenario A B C'!$AE$41))</f>
        <v/>
      </c>
      <c r="U45">
        <f>IF(18&lt;'Skenario A B C'!$E$41,0,MAX(0,'Skenario A B C'!$J$41-'Skenario A B C'!$AE$41))</f>
        <v/>
      </c>
      <c r="V45">
        <f>IF(19&lt;'Skenario A B C'!$E$41,0,MAX(0,'Skenario A B C'!$J$41-'Skenario A B C'!$AE$41))</f>
        <v/>
      </c>
      <c r="W45">
        <f>IF(20&lt;'Skenario A B C'!$E$41,0,MAX(0,'Skenario A B C'!$J$41-'Skenario A B C'!$AE$41))</f>
        <v/>
      </c>
      <c r="X45">
        <f>IF(21&lt;'Skenario A B C'!$E$41,0,MAX(0,'Skenario A B C'!$J$41-'Skenario A B C'!$AE$41))</f>
        <v/>
      </c>
      <c r="Y45">
        <f>IF(22&lt;'Skenario A B C'!$E$41,0,MAX(0,'Skenario A B C'!$J$41-'Skenario A B C'!$AE$41))</f>
        <v/>
      </c>
      <c r="Z45">
        <f>IF(23&lt;'Skenario A B C'!$E$41,0,MAX(0,'Skenario A B C'!$J$41-'Skenario A B C'!$AE$41))</f>
        <v/>
      </c>
      <c r="AA45">
        <f>IF(24&lt;'Skenario A B C'!$E$41,0,MAX(0,'Skenario A B C'!$J$41-'Skenario A B C'!$AE$41))</f>
        <v/>
      </c>
    </row>
    <row r="46">
      <c r="A46" t="inlineStr">
        <is>
          <t>Finance &amp; Accounting Staff - Padang</t>
        </is>
      </c>
      <c r="B46" s="6">
        <f>'Skenario A B C'!$F$42</f>
        <v/>
      </c>
      <c r="D46">
        <f>IF(1&lt;'Skenario A B C'!$E$42,0,MAX(0,'Skenario A B C'!$H$42-'Skenario A B C'!$AE$42))</f>
        <v/>
      </c>
      <c r="E46">
        <f>IF(2&lt;'Skenario A B C'!$E$42,0,MAX(0,'Skenario A B C'!$H$42-'Skenario A B C'!$AE$42))</f>
        <v/>
      </c>
      <c r="F46">
        <f>IF(3&lt;'Skenario A B C'!$E$42,0,MAX(0,'Skenario A B C'!$H$42-'Skenario A B C'!$AE$42))</f>
        <v/>
      </c>
      <c r="G46">
        <f>IF(4&lt;'Skenario A B C'!$E$42,0,MAX(0,'Skenario A B C'!$I$42-'Skenario A B C'!$AE$42))</f>
        <v/>
      </c>
      <c r="H46">
        <f>IF(5&lt;'Skenario A B C'!$E$42,0,MAX(0,'Skenario A B C'!$I$42-'Skenario A B C'!$AE$42))</f>
        <v/>
      </c>
      <c r="I46">
        <f>IF(6&lt;'Skenario A B C'!$E$42,0,MAX(0,'Skenario A B C'!$I$42-'Skenario A B C'!$AE$42))</f>
        <v/>
      </c>
      <c r="J46">
        <f>IF(7&lt;'Skenario A B C'!$E$42,0,MAX(0,'Skenario A B C'!$I$42-'Skenario A B C'!$AE$42))</f>
        <v/>
      </c>
      <c r="K46">
        <f>IF(8&lt;'Skenario A B C'!$E$42,0,MAX(0,'Skenario A B C'!$I$42-'Skenario A B C'!$AE$42))</f>
        <v/>
      </c>
      <c r="L46">
        <f>IF(9&lt;'Skenario A B C'!$E$42,0,MAX(0,'Skenario A B C'!$I$42-'Skenario A B C'!$AE$42))</f>
        <v/>
      </c>
      <c r="M46">
        <f>IF(10&lt;'Skenario A B C'!$E$42,0,MAX(0,'Skenario A B C'!$I$42-'Skenario A B C'!$AE$42))</f>
        <v/>
      </c>
      <c r="N46">
        <f>IF(11&lt;'Skenario A B C'!$E$42,0,MAX(0,'Skenario A B C'!$I$42-'Skenario A B C'!$AE$42))</f>
        <v/>
      </c>
      <c r="O46">
        <f>IF(12&lt;'Skenario A B C'!$E$42,0,MAX(0,'Skenario A B C'!$I$42-'Skenario A B C'!$AE$42))</f>
        <v/>
      </c>
      <c r="P46">
        <f>IF(13&lt;'Skenario A B C'!$E$42,0,MAX(0,'Skenario A B C'!$J$42-'Skenario A B C'!$AE$42))</f>
        <v/>
      </c>
      <c r="Q46">
        <f>IF(14&lt;'Skenario A B C'!$E$42,0,MAX(0,'Skenario A B C'!$J$42-'Skenario A B C'!$AE$42))</f>
        <v/>
      </c>
      <c r="R46">
        <f>IF(15&lt;'Skenario A B C'!$E$42,0,MAX(0,'Skenario A B C'!$J$42-'Skenario A B C'!$AE$42))</f>
        <v/>
      </c>
      <c r="S46">
        <f>IF(16&lt;'Skenario A B C'!$E$42,0,MAX(0,'Skenario A B C'!$J$42-'Skenario A B C'!$AE$42))</f>
        <v/>
      </c>
      <c r="T46">
        <f>IF(17&lt;'Skenario A B C'!$E$42,0,MAX(0,'Skenario A B C'!$J$42-'Skenario A B C'!$AE$42))</f>
        <v/>
      </c>
      <c r="U46">
        <f>IF(18&lt;'Skenario A B C'!$E$42,0,MAX(0,'Skenario A B C'!$J$42-'Skenario A B C'!$AE$42))</f>
        <v/>
      </c>
      <c r="V46">
        <f>IF(19&lt;'Skenario A B C'!$E$42,0,MAX(0,'Skenario A B C'!$J$42-'Skenario A B C'!$AE$42))</f>
        <v/>
      </c>
      <c r="W46">
        <f>IF(20&lt;'Skenario A B C'!$E$42,0,MAX(0,'Skenario A B C'!$J$42-'Skenario A B C'!$AE$42))</f>
        <v/>
      </c>
      <c r="X46">
        <f>IF(21&lt;'Skenario A B C'!$E$42,0,MAX(0,'Skenario A B C'!$J$42-'Skenario A B C'!$AE$42))</f>
        <v/>
      </c>
      <c r="Y46">
        <f>IF(22&lt;'Skenario A B C'!$E$42,0,MAX(0,'Skenario A B C'!$J$42-'Skenario A B C'!$AE$42))</f>
        <v/>
      </c>
      <c r="Z46">
        <f>IF(23&lt;'Skenario A B C'!$E$42,0,MAX(0,'Skenario A B C'!$J$42-'Skenario A B C'!$AE$42))</f>
        <v/>
      </c>
      <c r="AA46">
        <f>IF(24&lt;'Skenario A B C'!$E$42,0,MAX(0,'Skenario A B C'!$J$42-'Skenario A B C'!$AE$42))</f>
        <v/>
      </c>
    </row>
    <row r="47">
      <c r="A47" t="inlineStr">
        <is>
          <t>Head of Legal &amp; Compliance (merangkap DPO)</t>
        </is>
      </c>
      <c r="B47" s="6">
        <f>'Skenario A B C'!$F$43</f>
        <v/>
      </c>
      <c r="D47">
        <f>IF(1&lt;'Skenario A B C'!$E$43,0,MAX(0,'Skenario A B C'!$H$43-'Skenario A B C'!$AE$43))</f>
        <v/>
      </c>
      <c r="E47">
        <f>IF(2&lt;'Skenario A B C'!$E$43,0,MAX(0,'Skenario A B C'!$H$43-'Skenario A B C'!$AE$43))</f>
        <v/>
      </c>
      <c r="F47">
        <f>IF(3&lt;'Skenario A B C'!$E$43,0,MAX(0,'Skenario A B C'!$H$43-'Skenario A B C'!$AE$43))</f>
        <v/>
      </c>
      <c r="G47">
        <f>IF(4&lt;'Skenario A B C'!$E$43,0,MAX(0,'Skenario A B C'!$I$43-'Skenario A B C'!$AE$43))</f>
        <v/>
      </c>
      <c r="H47">
        <f>IF(5&lt;'Skenario A B C'!$E$43,0,MAX(0,'Skenario A B C'!$I$43-'Skenario A B C'!$AE$43))</f>
        <v/>
      </c>
      <c r="I47">
        <f>IF(6&lt;'Skenario A B C'!$E$43,0,MAX(0,'Skenario A B C'!$I$43-'Skenario A B C'!$AE$43))</f>
        <v/>
      </c>
      <c r="J47">
        <f>IF(7&lt;'Skenario A B C'!$E$43,0,MAX(0,'Skenario A B C'!$I$43-'Skenario A B C'!$AE$43))</f>
        <v/>
      </c>
      <c r="K47">
        <f>IF(8&lt;'Skenario A B C'!$E$43,0,MAX(0,'Skenario A B C'!$I$43-'Skenario A B C'!$AE$43))</f>
        <v/>
      </c>
      <c r="L47">
        <f>IF(9&lt;'Skenario A B C'!$E$43,0,MAX(0,'Skenario A B C'!$I$43-'Skenario A B C'!$AE$43))</f>
        <v/>
      </c>
      <c r="M47">
        <f>IF(10&lt;'Skenario A B C'!$E$43,0,MAX(0,'Skenario A B C'!$I$43-'Skenario A B C'!$AE$43))</f>
        <v/>
      </c>
      <c r="N47">
        <f>IF(11&lt;'Skenario A B C'!$E$43,0,MAX(0,'Skenario A B C'!$I$43-'Skenario A B C'!$AE$43))</f>
        <v/>
      </c>
      <c r="O47">
        <f>IF(12&lt;'Skenario A B C'!$E$43,0,MAX(0,'Skenario A B C'!$I$43-'Skenario A B C'!$AE$43))</f>
        <v/>
      </c>
      <c r="P47">
        <f>IF(13&lt;'Skenario A B C'!$E$43,0,MAX(0,'Skenario A B C'!$J$43-'Skenario A B C'!$AE$43))</f>
        <v/>
      </c>
      <c r="Q47">
        <f>IF(14&lt;'Skenario A B C'!$E$43,0,MAX(0,'Skenario A B C'!$J$43-'Skenario A B C'!$AE$43))</f>
        <v/>
      </c>
      <c r="R47">
        <f>IF(15&lt;'Skenario A B C'!$E$43,0,MAX(0,'Skenario A B C'!$J$43-'Skenario A B C'!$AE$43))</f>
        <v/>
      </c>
      <c r="S47">
        <f>IF(16&lt;'Skenario A B C'!$E$43,0,MAX(0,'Skenario A B C'!$J$43-'Skenario A B C'!$AE$43))</f>
        <v/>
      </c>
      <c r="T47">
        <f>IF(17&lt;'Skenario A B C'!$E$43,0,MAX(0,'Skenario A B C'!$J$43-'Skenario A B C'!$AE$43))</f>
        <v/>
      </c>
      <c r="U47">
        <f>IF(18&lt;'Skenario A B C'!$E$43,0,MAX(0,'Skenario A B C'!$J$43-'Skenario A B C'!$AE$43))</f>
        <v/>
      </c>
      <c r="V47">
        <f>IF(19&lt;'Skenario A B C'!$E$43,0,MAX(0,'Skenario A B C'!$J$43-'Skenario A B C'!$AE$43))</f>
        <v/>
      </c>
      <c r="W47">
        <f>IF(20&lt;'Skenario A B C'!$E$43,0,MAX(0,'Skenario A B C'!$J$43-'Skenario A B C'!$AE$43))</f>
        <v/>
      </c>
      <c r="X47">
        <f>IF(21&lt;'Skenario A B C'!$E$43,0,MAX(0,'Skenario A B C'!$J$43-'Skenario A B C'!$AE$43))</f>
        <v/>
      </c>
      <c r="Y47">
        <f>IF(22&lt;'Skenario A B C'!$E$43,0,MAX(0,'Skenario A B C'!$J$43-'Skenario A B C'!$AE$43))</f>
        <v/>
      </c>
      <c r="Z47">
        <f>IF(23&lt;'Skenario A B C'!$E$43,0,MAX(0,'Skenario A B C'!$J$43-'Skenario A B C'!$AE$43))</f>
        <v/>
      </c>
      <c r="AA47">
        <f>IF(24&lt;'Skenario A B C'!$E$43,0,MAX(0,'Skenario A B C'!$J$43-'Skenario A B C'!$AE$43))</f>
        <v/>
      </c>
    </row>
    <row r="49">
      <c r="A49" s="3" t="inlineStr">
        <is>
          <t>B. JUMLAH ORANG AKTIF PER BULAN - SKENARIO B (hibrida)</t>
        </is>
      </c>
    </row>
    <row r="50">
      <c r="A50" t="inlineStr">
        <is>
          <t>Direktur Utama (CEO)</t>
        </is>
      </c>
      <c r="B50" s="6">
        <f>'Skenario A B C'!$F$6</f>
        <v/>
      </c>
      <c r="D50">
        <f>IF(1&lt;'Skenario A B C'!$E$6,0,MAX(0,'Skenario A B C'!$H$6-'Skenario A B C'!$K$6))</f>
        <v/>
      </c>
      <c r="E50">
        <f>IF(2&lt;'Skenario A B C'!$E$6,0,MAX(0,'Skenario A B C'!$H$6-'Skenario A B C'!$K$6))</f>
        <v/>
      </c>
      <c r="F50">
        <f>IF(3&lt;'Skenario A B C'!$E$6,0,MAX(0,'Skenario A B C'!$H$6-'Skenario A B C'!$K$6))</f>
        <v/>
      </c>
      <c r="G50">
        <f>IF(4&lt;'Skenario A B C'!$E$6,0,MAX(0,'Skenario A B C'!$I$6-'Skenario A B C'!$K$6))</f>
        <v/>
      </c>
      <c r="H50">
        <f>IF(5&lt;'Skenario A B C'!$E$6,0,MAX(0,'Skenario A B C'!$I$6-'Skenario A B C'!$K$6))</f>
        <v/>
      </c>
      <c r="I50">
        <f>IF(6&lt;'Skenario A B C'!$E$6,0,MAX(0,'Skenario A B C'!$I$6-'Skenario A B C'!$K$6))</f>
        <v/>
      </c>
      <c r="J50">
        <f>IF(7&lt;'Skenario A B C'!$E$6,0,MAX(0,'Skenario A B C'!$I$6-'Skenario A B C'!$K$6))</f>
        <v/>
      </c>
      <c r="K50">
        <f>IF(8&lt;'Skenario A B C'!$E$6,0,MAX(0,'Skenario A B C'!$I$6-'Skenario A B C'!$K$6))</f>
        <v/>
      </c>
      <c r="L50">
        <f>IF(9&lt;'Skenario A B C'!$E$6,0,MAX(0,'Skenario A B C'!$I$6-'Skenario A B C'!$K$6))</f>
        <v/>
      </c>
      <c r="M50">
        <f>IF(10&lt;'Skenario A B C'!$E$6,0,MAX(0,'Skenario A B C'!$I$6-'Skenario A B C'!$K$6))</f>
        <v/>
      </c>
      <c r="N50">
        <f>IF(11&lt;'Skenario A B C'!$E$6,0,MAX(0,'Skenario A B C'!$I$6-'Skenario A B C'!$K$6))</f>
        <v/>
      </c>
      <c r="O50">
        <f>IF(12&lt;'Skenario A B C'!$E$6,0,MAX(0,'Skenario A B C'!$I$6-'Skenario A B C'!$K$6))</f>
        <v/>
      </c>
      <c r="P50">
        <f>IF(13&lt;'Skenario A B C'!$E$6,0,MAX(0,'Skenario A B C'!$J$6-'Skenario A B C'!$K$6))</f>
        <v/>
      </c>
      <c r="Q50">
        <f>IF(14&lt;'Skenario A B C'!$E$6,0,MAX(0,'Skenario A B C'!$J$6-'Skenario A B C'!$K$6))</f>
        <v/>
      </c>
      <c r="R50">
        <f>IF(15&lt;'Skenario A B C'!$E$6,0,MAX(0,'Skenario A B C'!$J$6-'Skenario A B C'!$K$6))</f>
        <v/>
      </c>
      <c r="S50">
        <f>IF(16&lt;'Skenario A B C'!$E$6,0,MAX(0,'Skenario A B C'!$J$6-'Skenario A B C'!$K$6))</f>
        <v/>
      </c>
      <c r="T50">
        <f>IF(17&lt;'Skenario A B C'!$E$6,0,MAX(0,'Skenario A B C'!$J$6-'Skenario A B C'!$K$6))</f>
        <v/>
      </c>
      <c r="U50">
        <f>IF(18&lt;'Skenario A B C'!$E$6,0,MAX(0,'Skenario A B C'!$J$6-'Skenario A B C'!$K$6))</f>
        <v/>
      </c>
      <c r="V50">
        <f>IF(19&lt;'Skenario A B C'!$E$6,0,MAX(0,'Skenario A B C'!$J$6-'Skenario A B C'!$K$6))</f>
        <v/>
      </c>
      <c r="W50">
        <f>IF(20&lt;'Skenario A B C'!$E$6,0,MAX(0,'Skenario A B C'!$J$6-'Skenario A B C'!$K$6))</f>
        <v/>
      </c>
      <c r="X50">
        <f>IF(21&lt;'Skenario A B C'!$E$6,0,MAX(0,'Skenario A B C'!$J$6-'Skenario A B C'!$K$6))</f>
        <v/>
      </c>
      <c r="Y50">
        <f>IF(22&lt;'Skenario A B C'!$E$6,0,MAX(0,'Skenario A B C'!$J$6-'Skenario A B C'!$K$6))</f>
        <v/>
      </c>
      <c r="Z50">
        <f>IF(23&lt;'Skenario A B C'!$E$6,0,MAX(0,'Skenario A B C'!$J$6-'Skenario A B C'!$K$6))</f>
        <v/>
      </c>
      <c r="AA50">
        <f>IF(24&lt;'Skenario A B C'!$E$6,0,MAX(0,'Skenario A B C'!$J$6-'Skenario A B C'!$K$6))</f>
        <v/>
      </c>
    </row>
    <row r="51">
      <c r="A51" t="inlineStr">
        <is>
          <t>HR &amp; GA Generalist</t>
        </is>
      </c>
      <c r="B51" s="6">
        <f>'Skenario A B C'!$F$7</f>
        <v/>
      </c>
      <c r="D51">
        <f>IF(1&lt;'Skenario A B C'!$E$7,0,MAX(0,'Skenario A B C'!$H$7-'Skenario A B C'!$K$7))</f>
        <v/>
      </c>
      <c r="E51">
        <f>IF(2&lt;'Skenario A B C'!$E$7,0,MAX(0,'Skenario A B C'!$H$7-'Skenario A B C'!$K$7))</f>
        <v/>
      </c>
      <c r="F51">
        <f>IF(3&lt;'Skenario A B C'!$E$7,0,MAX(0,'Skenario A B C'!$H$7-'Skenario A B C'!$K$7))</f>
        <v/>
      </c>
      <c r="G51">
        <f>IF(4&lt;'Skenario A B C'!$E$7,0,MAX(0,'Skenario A B C'!$I$7-'Skenario A B C'!$K$7))</f>
        <v/>
      </c>
      <c r="H51">
        <f>IF(5&lt;'Skenario A B C'!$E$7,0,MAX(0,'Skenario A B C'!$I$7-'Skenario A B C'!$K$7))</f>
        <v/>
      </c>
      <c r="I51">
        <f>IF(6&lt;'Skenario A B C'!$E$7,0,MAX(0,'Skenario A B C'!$I$7-'Skenario A B C'!$K$7))</f>
        <v/>
      </c>
      <c r="J51">
        <f>IF(7&lt;'Skenario A B C'!$E$7,0,MAX(0,'Skenario A B C'!$I$7-'Skenario A B C'!$K$7))</f>
        <v/>
      </c>
      <c r="K51">
        <f>IF(8&lt;'Skenario A B C'!$E$7,0,MAX(0,'Skenario A B C'!$I$7-'Skenario A B C'!$K$7))</f>
        <v/>
      </c>
      <c r="L51">
        <f>IF(9&lt;'Skenario A B C'!$E$7,0,MAX(0,'Skenario A B C'!$I$7-'Skenario A B C'!$K$7))</f>
        <v/>
      </c>
      <c r="M51">
        <f>IF(10&lt;'Skenario A B C'!$E$7,0,MAX(0,'Skenario A B C'!$I$7-'Skenario A B C'!$K$7))</f>
        <v/>
      </c>
      <c r="N51">
        <f>IF(11&lt;'Skenario A B C'!$E$7,0,MAX(0,'Skenario A B C'!$I$7-'Skenario A B C'!$K$7))</f>
        <v/>
      </c>
      <c r="O51">
        <f>IF(12&lt;'Skenario A B C'!$E$7,0,MAX(0,'Skenario A B C'!$I$7-'Skenario A B C'!$K$7))</f>
        <v/>
      </c>
      <c r="P51">
        <f>IF(13&lt;'Skenario A B C'!$E$7,0,MAX(0,'Skenario A B C'!$J$7-'Skenario A B C'!$K$7))</f>
        <v/>
      </c>
      <c r="Q51">
        <f>IF(14&lt;'Skenario A B C'!$E$7,0,MAX(0,'Skenario A B C'!$J$7-'Skenario A B C'!$K$7))</f>
        <v/>
      </c>
      <c r="R51">
        <f>IF(15&lt;'Skenario A B C'!$E$7,0,MAX(0,'Skenario A B C'!$J$7-'Skenario A B C'!$K$7))</f>
        <v/>
      </c>
      <c r="S51">
        <f>IF(16&lt;'Skenario A B C'!$E$7,0,MAX(0,'Skenario A B C'!$J$7-'Skenario A B C'!$K$7))</f>
        <v/>
      </c>
      <c r="T51">
        <f>IF(17&lt;'Skenario A B C'!$E$7,0,MAX(0,'Skenario A B C'!$J$7-'Skenario A B C'!$K$7))</f>
        <v/>
      </c>
      <c r="U51">
        <f>IF(18&lt;'Skenario A B C'!$E$7,0,MAX(0,'Skenario A B C'!$J$7-'Skenario A B C'!$K$7))</f>
        <v/>
      </c>
      <c r="V51">
        <f>IF(19&lt;'Skenario A B C'!$E$7,0,MAX(0,'Skenario A B C'!$J$7-'Skenario A B C'!$K$7))</f>
        <v/>
      </c>
      <c r="W51">
        <f>IF(20&lt;'Skenario A B C'!$E$7,0,MAX(0,'Skenario A B C'!$J$7-'Skenario A B C'!$K$7))</f>
        <v/>
      </c>
      <c r="X51">
        <f>IF(21&lt;'Skenario A B C'!$E$7,0,MAX(0,'Skenario A B C'!$J$7-'Skenario A B C'!$K$7))</f>
        <v/>
      </c>
      <c r="Y51">
        <f>IF(22&lt;'Skenario A B C'!$E$7,0,MAX(0,'Skenario A B C'!$J$7-'Skenario A B C'!$K$7))</f>
        <v/>
      </c>
      <c r="Z51">
        <f>IF(23&lt;'Skenario A B C'!$E$7,0,MAX(0,'Skenario A B C'!$J$7-'Skenario A B C'!$K$7))</f>
        <v/>
      </c>
      <c r="AA51">
        <f>IF(24&lt;'Skenario A B C'!$E$7,0,MAX(0,'Skenario A B C'!$J$7-'Skenario A B C'!$K$7))</f>
        <v/>
      </c>
    </row>
    <row r="52">
      <c r="A52" t="inlineStr">
        <is>
          <t>Direktur Teknologi (CTO)</t>
        </is>
      </c>
      <c r="B52" s="6">
        <f>'Skenario A B C'!$F$8</f>
        <v/>
      </c>
      <c r="D52">
        <f>IF(1&lt;'Skenario A B C'!$E$8,0,MAX(0,'Skenario A B C'!$H$8-'Skenario A B C'!$K$8))</f>
        <v/>
      </c>
      <c r="E52">
        <f>IF(2&lt;'Skenario A B C'!$E$8,0,MAX(0,'Skenario A B C'!$H$8-'Skenario A B C'!$K$8))</f>
        <v/>
      </c>
      <c r="F52">
        <f>IF(3&lt;'Skenario A B C'!$E$8,0,MAX(0,'Skenario A B C'!$H$8-'Skenario A B C'!$K$8))</f>
        <v/>
      </c>
      <c r="G52">
        <f>IF(4&lt;'Skenario A B C'!$E$8,0,MAX(0,'Skenario A B C'!$I$8-'Skenario A B C'!$K$8))</f>
        <v/>
      </c>
      <c r="H52">
        <f>IF(5&lt;'Skenario A B C'!$E$8,0,MAX(0,'Skenario A B C'!$I$8-'Skenario A B C'!$K$8))</f>
        <v/>
      </c>
      <c r="I52">
        <f>IF(6&lt;'Skenario A B C'!$E$8,0,MAX(0,'Skenario A B C'!$I$8-'Skenario A B C'!$K$8))</f>
        <v/>
      </c>
      <c r="J52">
        <f>IF(7&lt;'Skenario A B C'!$E$8,0,MAX(0,'Skenario A B C'!$I$8-'Skenario A B C'!$K$8))</f>
        <v/>
      </c>
      <c r="K52">
        <f>IF(8&lt;'Skenario A B C'!$E$8,0,MAX(0,'Skenario A B C'!$I$8-'Skenario A B C'!$K$8))</f>
        <v/>
      </c>
      <c r="L52">
        <f>IF(9&lt;'Skenario A B C'!$E$8,0,MAX(0,'Skenario A B C'!$I$8-'Skenario A B C'!$K$8))</f>
        <v/>
      </c>
      <c r="M52">
        <f>IF(10&lt;'Skenario A B C'!$E$8,0,MAX(0,'Skenario A B C'!$I$8-'Skenario A B C'!$K$8))</f>
        <v/>
      </c>
      <c r="N52">
        <f>IF(11&lt;'Skenario A B C'!$E$8,0,MAX(0,'Skenario A B C'!$I$8-'Skenario A B C'!$K$8))</f>
        <v/>
      </c>
      <c r="O52">
        <f>IF(12&lt;'Skenario A B C'!$E$8,0,MAX(0,'Skenario A B C'!$I$8-'Skenario A B C'!$K$8))</f>
        <v/>
      </c>
      <c r="P52">
        <f>IF(13&lt;'Skenario A B C'!$E$8,0,MAX(0,'Skenario A B C'!$J$8-'Skenario A B C'!$K$8))</f>
        <v/>
      </c>
      <c r="Q52">
        <f>IF(14&lt;'Skenario A B C'!$E$8,0,MAX(0,'Skenario A B C'!$J$8-'Skenario A B C'!$K$8))</f>
        <v/>
      </c>
      <c r="R52">
        <f>IF(15&lt;'Skenario A B C'!$E$8,0,MAX(0,'Skenario A B C'!$J$8-'Skenario A B C'!$K$8))</f>
        <v/>
      </c>
      <c r="S52">
        <f>IF(16&lt;'Skenario A B C'!$E$8,0,MAX(0,'Skenario A B C'!$J$8-'Skenario A B C'!$K$8))</f>
        <v/>
      </c>
      <c r="T52">
        <f>IF(17&lt;'Skenario A B C'!$E$8,0,MAX(0,'Skenario A B C'!$J$8-'Skenario A B C'!$K$8))</f>
        <v/>
      </c>
      <c r="U52">
        <f>IF(18&lt;'Skenario A B C'!$E$8,0,MAX(0,'Skenario A B C'!$J$8-'Skenario A B C'!$K$8))</f>
        <v/>
      </c>
      <c r="V52">
        <f>IF(19&lt;'Skenario A B C'!$E$8,0,MAX(0,'Skenario A B C'!$J$8-'Skenario A B C'!$K$8))</f>
        <v/>
      </c>
      <c r="W52">
        <f>IF(20&lt;'Skenario A B C'!$E$8,0,MAX(0,'Skenario A B C'!$J$8-'Skenario A B C'!$K$8))</f>
        <v/>
      </c>
      <c r="X52">
        <f>IF(21&lt;'Skenario A B C'!$E$8,0,MAX(0,'Skenario A B C'!$J$8-'Skenario A B C'!$K$8))</f>
        <v/>
      </c>
      <c r="Y52">
        <f>IF(22&lt;'Skenario A B C'!$E$8,0,MAX(0,'Skenario A B C'!$J$8-'Skenario A B C'!$K$8))</f>
        <v/>
      </c>
      <c r="Z52">
        <f>IF(23&lt;'Skenario A B C'!$E$8,0,MAX(0,'Skenario A B C'!$J$8-'Skenario A B C'!$K$8))</f>
        <v/>
      </c>
      <c r="AA52">
        <f>IF(24&lt;'Skenario A B C'!$E$8,0,MAX(0,'Skenario A B C'!$J$8-'Skenario A B C'!$K$8))</f>
        <v/>
      </c>
    </row>
    <row r="53">
      <c r="A53" t="inlineStr">
        <is>
          <t>Engineering Manager</t>
        </is>
      </c>
      <c r="B53" s="6">
        <f>'Skenario A B C'!$F$9</f>
        <v/>
      </c>
      <c r="D53">
        <f>IF(1&lt;'Skenario A B C'!$E$9,0,MAX(0,'Skenario A B C'!$H$9-'Skenario A B C'!$K$9))</f>
        <v/>
      </c>
      <c r="E53">
        <f>IF(2&lt;'Skenario A B C'!$E$9,0,MAX(0,'Skenario A B C'!$H$9-'Skenario A B C'!$K$9))</f>
        <v/>
      </c>
      <c r="F53">
        <f>IF(3&lt;'Skenario A B C'!$E$9,0,MAX(0,'Skenario A B C'!$H$9-'Skenario A B C'!$K$9))</f>
        <v/>
      </c>
      <c r="G53">
        <f>IF(4&lt;'Skenario A B C'!$E$9,0,MAX(0,'Skenario A B C'!$I$9-'Skenario A B C'!$K$9))</f>
        <v/>
      </c>
      <c r="H53">
        <f>IF(5&lt;'Skenario A B C'!$E$9,0,MAX(0,'Skenario A B C'!$I$9-'Skenario A B C'!$K$9))</f>
        <v/>
      </c>
      <c r="I53">
        <f>IF(6&lt;'Skenario A B C'!$E$9,0,MAX(0,'Skenario A B C'!$I$9-'Skenario A B C'!$K$9))</f>
        <v/>
      </c>
      <c r="J53">
        <f>IF(7&lt;'Skenario A B C'!$E$9,0,MAX(0,'Skenario A B C'!$I$9-'Skenario A B C'!$K$9))</f>
        <v/>
      </c>
      <c r="K53">
        <f>IF(8&lt;'Skenario A B C'!$E$9,0,MAX(0,'Skenario A B C'!$I$9-'Skenario A B C'!$K$9))</f>
        <v/>
      </c>
      <c r="L53">
        <f>IF(9&lt;'Skenario A B C'!$E$9,0,MAX(0,'Skenario A B C'!$I$9-'Skenario A B C'!$K$9))</f>
        <v/>
      </c>
      <c r="M53">
        <f>IF(10&lt;'Skenario A B C'!$E$9,0,MAX(0,'Skenario A B C'!$I$9-'Skenario A B C'!$K$9))</f>
        <v/>
      </c>
      <c r="N53">
        <f>IF(11&lt;'Skenario A B C'!$E$9,0,MAX(0,'Skenario A B C'!$I$9-'Skenario A B C'!$K$9))</f>
        <v/>
      </c>
      <c r="O53">
        <f>IF(12&lt;'Skenario A B C'!$E$9,0,MAX(0,'Skenario A B C'!$I$9-'Skenario A B C'!$K$9))</f>
        <v/>
      </c>
      <c r="P53">
        <f>IF(13&lt;'Skenario A B C'!$E$9,0,MAX(0,'Skenario A B C'!$J$9-'Skenario A B C'!$K$9))</f>
        <v/>
      </c>
      <c r="Q53">
        <f>IF(14&lt;'Skenario A B C'!$E$9,0,MAX(0,'Skenario A B C'!$J$9-'Skenario A B C'!$K$9))</f>
        <v/>
      </c>
      <c r="R53">
        <f>IF(15&lt;'Skenario A B C'!$E$9,0,MAX(0,'Skenario A B C'!$J$9-'Skenario A B C'!$K$9))</f>
        <v/>
      </c>
      <c r="S53">
        <f>IF(16&lt;'Skenario A B C'!$E$9,0,MAX(0,'Skenario A B C'!$J$9-'Skenario A B C'!$K$9))</f>
        <v/>
      </c>
      <c r="T53">
        <f>IF(17&lt;'Skenario A B C'!$E$9,0,MAX(0,'Skenario A B C'!$J$9-'Skenario A B C'!$K$9))</f>
        <v/>
      </c>
      <c r="U53">
        <f>IF(18&lt;'Skenario A B C'!$E$9,0,MAX(0,'Skenario A B C'!$J$9-'Skenario A B C'!$K$9))</f>
        <v/>
      </c>
      <c r="V53">
        <f>IF(19&lt;'Skenario A B C'!$E$9,0,MAX(0,'Skenario A B C'!$J$9-'Skenario A B C'!$K$9))</f>
        <v/>
      </c>
      <c r="W53">
        <f>IF(20&lt;'Skenario A B C'!$E$9,0,MAX(0,'Skenario A B C'!$J$9-'Skenario A B C'!$K$9))</f>
        <v/>
      </c>
      <c r="X53">
        <f>IF(21&lt;'Skenario A B C'!$E$9,0,MAX(0,'Skenario A B C'!$J$9-'Skenario A B C'!$K$9))</f>
        <v/>
      </c>
      <c r="Y53">
        <f>IF(22&lt;'Skenario A B C'!$E$9,0,MAX(0,'Skenario A B C'!$J$9-'Skenario A B C'!$K$9))</f>
        <v/>
      </c>
      <c r="Z53">
        <f>IF(23&lt;'Skenario A B C'!$E$9,0,MAX(0,'Skenario A B C'!$J$9-'Skenario A B C'!$K$9))</f>
        <v/>
      </c>
      <c r="AA53">
        <f>IF(24&lt;'Skenario A B C'!$E$9,0,MAX(0,'Skenario A B C'!$J$9-'Skenario A B C'!$K$9))</f>
        <v/>
      </c>
    </row>
    <row r="54">
      <c r="A54" t="inlineStr">
        <is>
          <t>Mobile Engineer (Senior)</t>
        </is>
      </c>
      <c r="B54" s="6">
        <f>'Skenario A B C'!$F$10</f>
        <v/>
      </c>
      <c r="D54">
        <f>IF(1&lt;'Skenario A B C'!$E$10,0,MAX(0,'Skenario A B C'!$H$10-'Skenario A B C'!$K$10))</f>
        <v/>
      </c>
      <c r="E54">
        <f>IF(2&lt;'Skenario A B C'!$E$10,0,MAX(0,'Skenario A B C'!$H$10-'Skenario A B C'!$K$10))</f>
        <v/>
      </c>
      <c r="F54">
        <f>IF(3&lt;'Skenario A B C'!$E$10,0,MAX(0,'Skenario A B C'!$H$10-'Skenario A B C'!$K$10))</f>
        <v/>
      </c>
      <c r="G54">
        <f>IF(4&lt;'Skenario A B C'!$E$10,0,MAX(0,'Skenario A B C'!$I$10-'Skenario A B C'!$K$10))</f>
        <v/>
      </c>
      <c r="H54">
        <f>IF(5&lt;'Skenario A B C'!$E$10,0,MAX(0,'Skenario A B C'!$I$10-'Skenario A B C'!$K$10))</f>
        <v/>
      </c>
      <c r="I54">
        <f>IF(6&lt;'Skenario A B C'!$E$10,0,MAX(0,'Skenario A B C'!$I$10-'Skenario A B C'!$K$10))</f>
        <v/>
      </c>
      <c r="J54">
        <f>IF(7&lt;'Skenario A B C'!$E$10,0,MAX(0,'Skenario A B C'!$I$10-'Skenario A B C'!$K$10))</f>
        <v/>
      </c>
      <c r="K54">
        <f>IF(8&lt;'Skenario A B C'!$E$10,0,MAX(0,'Skenario A B C'!$I$10-'Skenario A B C'!$K$10))</f>
        <v/>
      </c>
      <c r="L54">
        <f>IF(9&lt;'Skenario A B C'!$E$10,0,MAX(0,'Skenario A B C'!$I$10-'Skenario A B C'!$K$10))</f>
        <v/>
      </c>
      <c r="M54">
        <f>IF(10&lt;'Skenario A B C'!$E$10,0,MAX(0,'Skenario A B C'!$I$10-'Skenario A B C'!$K$10))</f>
        <v/>
      </c>
      <c r="N54">
        <f>IF(11&lt;'Skenario A B C'!$E$10,0,MAX(0,'Skenario A B C'!$I$10-'Skenario A B C'!$K$10))</f>
        <v/>
      </c>
      <c r="O54">
        <f>IF(12&lt;'Skenario A B C'!$E$10,0,MAX(0,'Skenario A B C'!$I$10-'Skenario A B C'!$K$10))</f>
        <v/>
      </c>
      <c r="P54">
        <f>IF(13&lt;'Skenario A B C'!$E$10,0,MAX(0,'Skenario A B C'!$J$10-'Skenario A B C'!$K$10))</f>
        <v/>
      </c>
      <c r="Q54">
        <f>IF(14&lt;'Skenario A B C'!$E$10,0,MAX(0,'Skenario A B C'!$J$10-'Skenario A B C'!$K$10))</f>
        <v/>
      </c>
      <c r="R54">
        <f>IF(15&lt;'Skenario A B C'!$E$10,0,MAX(0,'Skenario A B C'!$J$10-'Skenario A B C'!$K$10))</f>
        <v/>
      </c>
      <c r="S54">
        <f>IF(16&lt;'Skenario A B C'!$E$10,0,MAX(0,'Skenario A B C'!$J$10-'Skenario A B C'!$K$10))</f>
        <v/>
      </c>
      <c r="T54">
        <f>IF(17&lt;'Skenario A B C'!$E$10,0,MAX(0,'Skenario A B C'!$J$10-'Skenario A B C'!$K$10))</f>
        <v/>
      </c>
      <c r="U54">
        <f>IF(18&lt;'Skenario A B C'!$E$10,0,MAX(0,'Skenario A B C'!$J$10-'Skenario A B C'!$K$10))</f>
        <v/>
      </c>
      <c r="V54">
        <f>IF(19&lt;'Skenario A B C'!$E$10,0,MAX(0,'Skenario A B C'!$J$10-'Skenario A B C'!$K$10))</f>
        <v/>
      </c>
      <c r="W54">
        <f>IF(20&lt;'Skenario A B C'!$E$10,0,MAX(0,'Skenario A B C'!$J$10-'Skenario A B C'!$K$10))</f>
        <v/>
      </c>
      <c r="X54">
        <f>IF(21&lt;'Skenario A B C'!$E$10,0,MAX(0,'Skenario A B C'!$J$10-'Skenario A B C'!$K$10))</f>
        <v/>
      </c>
      <c r="Y54">
        <f>IF(22&lt;'Skenario A B C'!$E$10,0,MAX(0,'Skenario A B C'!$J$10-'Skenario A B C'!$K$10))</f>
        <v/>
      </c>
      <c r="Z54">
        <f>IF(23&lt;'Skenario A B C'!$E$10,0,MAX(0,'Skenario A B C'!$J$10-'Skenario A B C'!$K$10))</f>
        <v/>
      </c>
      <c r="AA54">
        <f>IF(24&lt;'Skenario A B C'!$E$10,0,MAX(0,'Skenario A B C'!$J$10-'Skenario A B C'!$K$10))</f>
        <v/>
      </c>
    </row>
    <row r="55">
      <c r="A55" t="inlineStr">
        <is>
          <t>Mobile Engineer (Mid)</t>
        </is>
      </c>
      <c r="B55" s="6">
        <f>'Skenario A B C'!$F$11</f>
        <v/>
      </c>
      <c r="D55">
        <f>IF(1&lt;'Skenario A B C'!$E$11,0,MAX(0,'Skenario A B C'!$H$11-'Skenario A B C'!$K$11))</f>
        <v/>
      </c>
      <c r="E55">
        <f>IF(2&lt;'Skenario A B C'!$E$11,0,MAX(0,'Skenario A B C'!$H$11-'Skenario A B C'!$K$11))</f>
        <v/>
      </c>
      <c r="F55">
        <f>IF(3&lt;'Skenario A B C'!$E$11,0,MAX(0,'Skenario A B C'!$H$11-'Skenario A B C'!$K$11))</f>
        <v/>
      </c>
      <c r="G55">
        <f>IF(4&lt;'Skenario A B C'!$E$11,0,MAX(0,'Skenario A B C'!$I$11-'Skenario A B C'!$K$11))</f>
        <v/>
      </c>
      <c r="H55">
        <f>IF(5&lt;'Skenario A B C'!$E$11,0,MAX(0,'Skenario A B C'!$I$11-'Skenario A B C'!$K$11))</f>
        <v/>
      </c>
      <c r="I55">
        <f>IF(6&lt;'Skenario A B C'!$E$11,0,MAX(0,'Skenario A B C'!$I$11-'Skenario A B C'!$K$11))</f>
        <v/>
      </c>
      <c r="J55">
        <f>IF(7&lt;'Skenario A B C'!$E$11,0,MAX(0,'Skenario A B C'!$I$11-'Skenario A B C'!$K$11))</f>
        <v/>
      </c>
      <c r="K55">
        <f>IF(8&lt;'Skenario A B C'!$E$11,0,MAX(0,'Skenario A B C'!$I$11-'Skenario A B C'!$K$11))</f>
        <v/>
      </c>
      <c r="L55">
        <f>IF(9&lt;'Skenario A B C'!$E$11,0,MAX(0,'Skenario A B C'!$I$11-'Skenario A B C'!$K$11))</f>
        <v/>
      </c>
      <c r="M55">
        <f>IF(10&lt;'Skenario A B C'!$E$11,0,MAX(0,'Skenario A B C'!$I$11-'Skenario A B C'!$K$11))</f>
        <v/>
      </c>
      <c r="N55">
        <f>IF(11&lt;'Skenario A B C'!$E$11,0,MAX(0,'Skenario A B C'!$I$11-'Skenario A B C'!$K$11))</f>
        <v/>
      </c>
      <c r="O55">
        <f>IF(12&lt;'Skenario A B C'!$E$11,0,MAX(0,'Skenario A B C'!$I$11-'Skenario A B C'!$K$11))</f>
        <v/>
      </c>
      <c r="P55">
        <f>IF(13&lt;'Skenario A B C'!$E$11,0,MAX(0,'Skenario A B C'!$J$11-'Skenario A B C'!$K$11))</f>
        <v/>
      </c>
      <c r="Q55">
        <f>IF(14&lt;'Skenario A B C'!$E$11,0,MAX(0,'Skenario A B C'!$J$11-'Skenario A B C'!$K$11))</f>
        <v/>
      </c>
      <c r="R55">
        <f>IF(15&lt;'Skenario A B C'!$E$11,0,MAX(0,'Skenario A B C'!$J$11-'Skenario A B C'!$K$11))</f>
        <v/>
      </c>
      <c r="S55">
        <f>IF(16&lt;'Skenario A B C'!$E$11,0,MAX(0,'Skenario A B C'!$J$11-'Skenario A B C'!$K$11))</f>
        <v/>
      </c>
      <c r="T55">
        <f>IF(17&lt;'Skenario A B C'!$E$11,0,MAX(0,'Skenario A B C'!$J$11-'Skenario A B C'!$K$11))</f>
        <v/>
      </c>
      <c r="U55">
        <f>IF(18&lt;'Skenario A B C'!$E$11,0,MAX(0,'Skenario A B C'!$J$11-'Skenario A B C'!$K$11))</f>
        <v/>
      </c>
      <c r="V55">
        <f>IF(19&lt;'Skenario A B C'!$E$11,0,MAX(0,'Skenario A B C'!$J$11-'Skenario A B C'!$K$11))</f>
        <v/>
      </c>
      <c r="W55">
        <f>IF(20&lt;'Skenario A B C'!$E$11,0,MAX(0,'Skenario A B C'!$J$11-'Skenario A B C'!$K$11))</f>
        <v/>
      </c>
      <c r="X55">
        <f>IF(21&lt;'Skenario A B C'!$E$11,0,MAX(0,'Skenario A B C'!$J$11-'Skenario A B C'!$K$11))</f>
        <v/>
      </c>
      <c r="Y55">
        <f>IF(22&lt;'Skenario A B C'!$E$11,0,MAX(0,'Skenario A B C'!$J$11-'Skenario A B C'!$K$11))</f>
        <v/>
      </c>
      <c r="Z55">
        <f>IF(23&lt;'Skenario A B C'!$E$11,0,MAX(0,'Skenario A B C'!$J$11-'Skenario A B C'!$K$11))</f>
        <v/>
      </c>
      <c r="AA55">
        <f>IF(24&lt;'Skenario A B C'!$E$11,0,MAX(0,'Skenario A B C'!$J$11-'Skenario A B C'!$K$11))</f>
        <v/>
      </c>
    </row>
    <row r="56">
      <c r="A56" t="inlineStr">
        <is>
          <t>Mobile Engineer (Mid) - gelombang 2</t>
        </is>
      </c>
      <c r="B56" s="6">
        <f>'Skenario A B C'!$F$12</f>
        <v/>
      </c>
      <c r="D56">
        <f>IF(1&lt;'Skenario A B C'!$E$12,0,MAX(0,'Skenario A B C'!$H$12-'Skenario A B C'!$K$12))</f>
        <v/>
      </c>
      <c r="E56">
        <f>IF(2&lt;'Skenario A B C'!$E$12,0,MAX(0,'Skenario A B C'!$H$12-'Skenario A B C'!$K$12))</f>
        <v/>
      </c>
      <c r="F56">
        <f>IF(3&lt;'Skenario A B C'!$E$12,0,MAX(0,'Skenario A B C'!$H$12-'Skenario A B C'!$K$12))</f>
        <v/>
      </c>
      <c r="G56">
        <f>IF(4&lt;'Skenario A B C'!$E$12,0,MAX(0,'Skenario A B C'!$I$12-'Skenario A B C'!$K$12))</f>
        <v/>
      </c>
      <c r="H56">
        <f>IF(5&lt;'Skenario A B C'!$E$12,0,MAX(0,'Skenario A B C'!$I$12-'Skenario A B C'!$K$12))</f>
        <v/>
      </c>
      <c r="I56">
        <f>IF(6&lt;'Skenario A B C'!$E$12,0,MAX(0,'Skenario A B C'!$I$12-'Skenario A B C'!$K$12))</f>
        <v/>
      </c>
      <c r="J56">
        <f>IF(7&lt;'Skenario A B C'!$E$12,0,MAX(0,'Skenario A B C'!$I$12-'Skenario A B C'!$K$12))</f>
        <v/>
      </c>
      <c r="K56">
        <f>IF(8&lt;'Skenario A B C'!$E$12,0,MAX(0,'Skenario A B C'!$I$12-'Skenario A B C'!$K$12))</f>
        <v/>
      </c>
      <c r="L56">
        <f>IF(9&lt;'Skenario A B C'!$E$12,0,MAX(0,'Skenario A B C'!$I$12-'Skenario A B C'!$K$12))</f>
        <v/>
      </c>
      <c r="M56">
        <f>IF(10&lt;'Skenario A B C'!$E$12,0,MAX(0,'Skenario A B C'!$I$12-'Skenario A B C'!$K$12))</f>
        <v/>
      </c>
      <c r="N56">
        <f>IF(11&lt;'Skenario A B C'!$E$12,0,MAX(0,'Skenario A B C'!$I$12-'Skenario A B C'!$K$12))</f>
        <v/>
      </c>
      <c r="O56">
        <f>IF(12&lt;'Skenario A B C'!$E$12,0,MAX(0,'Skenario A B C'!$I$12-'Skenario A B C'!$K$12))</f>
        <v/>
      </c>
      <c r="P56">
        <f>IF(13&lt;'Skenario A B C'!$E$12,0,MAX(0,'Skenario A B C'!$J$12-'Skenario A B C'!$K$12))</f>
        <v/>
      </c>
      <c r="Q56">
        <f>IF(14&lt;'Skenario A B C'!$E$12,0,MAX(0,'Skenario A B C'!$J$12-'Skenario A B C'!$K$12))</f>
        <v/>
      </c>
      <c r="R56">
        <f>IF(15&lt;'Skenario A B C'!$E$12,0,MAX(0,'Skenario A B C'!$J$12-'Skenario A B C'!$K$12))</f>
        <v/>
      </c>
      <c r="S56">
        <f>IF(16&lt;'Skenario A B C'!$E$12,0,MAX(0,'Skenario A B C'!$J$12-'Skenario A B C'!$K$12))</f>
        <v/>
      </c>
      <c r="T56">
        <f>IF(17&lt;'Skenario A B C'!$E$12,0,MAX(0,'Skenario A B C'!$J$12-'Skenario A B C'!$K$12))</f>
        <v/>
      </c>
      <c r="U56">
        <f>IF(18&lt;'Skenario A B C'!$E$12,0,MAX(0,'Skenario A B C'!$J$12-'Skenario A B C'!$K$12))</f>
        <v/>
      </c>
      <c r="V56">
        <f>IF(19&lt;'Skenario A B C'!$E$12,0,MAX(0,'Skenario A B C'!$J$12-'Skenario A B C'!$K$12))</f>
        <v/>
      </c>
      <c r="W56">
        <f>IF(20&lt;'Skenario A B C'!$E$12,0,MAX(0,'Skenario A B C'!$J$12-'Skenario A B C'!$K$12))</f>
        <v/>
      </c>
      <c r="X56">
        <f>IF(21&lt;'Skenario A B C'!$E$12,0,MAX(0,'Skenario A B C'!$J$12-'Skenario A B C'!$K$12))</f>
        <v/>
      </c>
      <c r="Y56">
        <f>IF(22&lt;'Skenario A B C'!$E$12,0,MAX(0,'Skenario A B C'!$J$12-'Skenario A B C'!$K$12))</f>
        <v/>
      </c>
      <c r="Z56">
        <f>IF(23&lt;'Skenario A B C'!$E$12,0,MAX(0,'Skenario A B C'!$J$12-'Skenario A B C'!$K$12))</f>
        <v/>
      </c>
      <c r="AA56">
        <f>IF(24&lt;'Skenario A B C'!$E$12,0,MAX(0,'Skenario A B C'!$J$12-'Skenario A B C'!$K$12))</f>
        <v/>
      </c>
    </row>
    <row r="57">
      <c r="A57" t="inlineStr">
        <is>
          <t>Backend Engineer (Senior)</t>
        </is>
      </c>
      <c r="B57" s="6">
        <f>'Skenario A B C'!$F$13</f>
        <v/>
      </c>
      <c r="D57">
        <f>IF(1&lt;'Skenario A B C'!$E$13,0,MAX(0,'Skenario A B C'!$H$13-'Skenario A B C'!$K$13))</f>
        <v/>
      </c>
      <c r="E57">
        <f>IF(2&lt;'Skenario A B C'!$E$13,0,MAX(0,'Skenario A B C'!$H$13-'Skenario A B C'!$K$13))</f>
        <v/>
      </c>
      <c r="F57">
        <f>IF(3&lt;'Skenario A B C'!$E$13,0,MAX(0,'Skenario A B C'!$H$13-'Skenario A B C'!$K$13))</f>
        <v/>
      </c>
      <c r="G57">
        <f>IF(4&lt;'Skenario A B C'!$E$13,0,MAX(0,'Skenario A B C'!$I$13-'Skenario A B C'!$K$13))</f>
        <v/>
      </c>
      <c r="H57">
        <f>IF(5&lt;'Skenario A B C'!$E$13,0,MAX(0,'Skenario A B C'!$I$13-'Skenario A B C'!$K$13))</f>
        <v/>
      </c>
      <c r="I57">
        <f>IF(6&lt;'Skenario A B C'!$E$13,0,MAX(0,'Skenario A B C'!$I$13-'Skenario A B C'!$K$13))</f>
        <v/>
      </c>
      <c r="J57">
        <f>IF(7&lt;'Skenario A B C'!$E$13,0,MAX(0,'Skenario A B C'!$I$13-'Skenario A B C'!$K$13))</f>
        <v/>
      </c>
      <c r="K57">
        <f>IF(8&lt;'Skenario A B C'!$E$13,0,MAX(0,'Skenario A B C'!$I$13-'Skenario A B C'!$K$13))</f>
        <v/>
      </c>
      <c r="L57">
        <f>IF(9&lt;'Skenario A B C'!$E$13,0,MAX(0,'Skenario A B C'!$I$13-'Skenario A B C'!$K$13))</f>
        <v/>
      </c>
      <c r="M57">
        <f>IF(10&lt;'Skenario A B C'!$E$13,0,MAX(0,'Skenario A B C'!$I$13-'Skenario A B C'!$K$13))</f>
        <v/>
      </c>
      <c r="N57">
        <f>IF(11&lt;'Skenario A B C'!$E$13,0,MAX(0,'Skenario A B C'!$I$13-'Skenario A B C'!$K$13))</f>
        <v/>
      </c>
      <c r="O57">
        <f>IF(12&lt;'Skenario A B C'!$E$13,0,MAX(0,'Skenario A B C'!$I$13-'Skenario A B C'!$K$13))</f>
        <v/>
      </c>
      <c r="P57">
        <f>IF(13&lt;'Skenario A B C'!$E$13,0,MAX(0,'Skenario A B C'!$J$13-'Skenario A B C'!$K$13))</f>
        <v/>
      </c>
      <c r="Q57">
        <f>IF(14&lt;'Skenario A B C'!$E$13,0,MAX(0,'Skenario A B C'!$J$13-'Skenario A B C'!$K$13))</f>
        <v/>
      </c>
      <c r="R57">
        <f>IF(15&lt;'Skenario A B C'!$E$13,0,MAX(0,'Skenario A B C'!$J$13-'Skenario A B C'!$K$13))</f>
        <v/>
      </c>
      <c r="S57">
        <f>IF(16&lt;'Skenario A B C'!$E$13,0,MAX(0,'Skenario A B C'!$J$13-'Skenario A B C'!$K$13))</f>
        <v/>
      </c>
      <c r="T57">
        <f>IF(17&lt;'Skenario A B C'!$E$13,0,MAX(0,'Skenario A B C'!$J$13-'Skenario A B C'!$K$13))</f>
        <v/>
      </c>
      <c r="U57">
        <f>IF(18&lt;'Skenario A B C'!$E$13,0,MAX(0,'Skenario A B C'!$J$13-'Skenario A B C'!$K$13))</f>
        <v/>
      </c>
      <c r="V57">
        <f>IF(19&lt;'Skenario A B C'!$E$13,0,MAX(0,'Skenario A B C'!$J$13-'Skenario A B C'!$K$13))</f>
        <v/>
      </c>
      <c r="W57">
        <f>IF(20&lt;'Skenario A B C'!$E$13,0,MAX(0,'Skenario A B C'!$J$13-'Skenario A B C'!$K$13))</f>
        <v/>
      </c>
      <c r="X57">
        <f>IF(21&lt;'Skenario A B C'!$E$13,0,MAX(0,'Skenario A B C'!$J$13-'Skenario A B C'!$K$13))</f>
        <v/>
      </c>
      <c r="Y57">
        <f>IF(22&lt;'Skenario A B C'!$E$13,0,MAX(0,'Skenario A B C'!$J$13-'Skenario A B C'!$K$13))</f>
        <v/>
      </c>
      <c r="Z57">
        <f>IF(23&lt;'Skenario A B C'!$E$13,0,MAX(0,'Skenario A B C'!$J$13-'Skenario A B C'!$K$13))</f>
        <v/>
      </c>
      <c r="AA57">
        <f>IF(24&lt;'Skenario A B C'!$E$13,0,MAX(0,'Skenario A B C'!$J$13-'Skenario A B C'!$K$13))</f>
        <v/>
      </c>
    </row>
    <row r="58">
      <c r="A58" t="inlineStr">
        <is>
          <t>Backend Engineer (Senior) - gelombang 2</t>
        </is>
      </c>
      <c r="B58" s="6">
        <f>'Skenario A B C'!$F$14</f>
        <v/>
      </c>
      <c r="D58">
        <f>IF(1&lt;'Skenario A B C'!$E$14,0,MAX(0,'Skenario A B C'!$H$14-'Skenario A B C'!$K$14))</f>
        <v/>
      </c>
      <c r="E58">
        <f>IF(2&lt;'Skenario A B C'!$E$14,0,MAX(0,'Skenario A B C'!$H$14-'Skenario A B C'!$K$14))</f>
        <v/>
      </c>
      <c r="F58">
        <f>IF(3&lt;'Skenario A B C'!$E$14,0,MAX(0,'Skenario A B C'!$H$14-'Skenario A B C'!$K$14))</f>
        <v/>
      </c>
      <c r="G58">
        <f>IF(4&lt;'Skenario A B C'!$E$14,0,MAX(0,'Skenario A B C'!$I$14-'Skenario A B C'!$K$14))</f>
        <v/>
      </c>
      <c r="H58">
        <f>IF(5&lt;'Skenario A B C'!$E$14,0,MAX(0,'Skenario A B C'!$I$14-'Skenario A B C'!$K$14))</f>
        <v/>
      </c>
      <c r="I58">
        <f>IF(6&lt;'Skenario A B C'!$E$14,0,MAX(0,'Skenario A B C'!$I$14-'Skenario A B C'!$K$14))</f>
        <v/>
      </c>
      <c r="J58">
        <f>IF(7&lt;'Skenario A B C'!$E$14,0,MAX(0,'Skenario A B C'!$I$14-'Skenario A B C'!$K$14))</f>
        <v/>
      </c>
      <c r="K58">
        <f>IF(8&lt;'Skenario A B C'!$E$14,0,MAX(0,'Skenario A B C'!$I$14-'Skenario A B C'!$K$14))</f>
        <v/>
      </c>
      <c r="L58">
        <f>IF(9&lt;'Skenario A B C'!$E$14,0,MAX(0,'Skenario A B C'!$I$14-'Skenario A B C'!$K$14))</f>
        <v/>
      </c>
      <c r="M58">
        <f>IF(10&lt;'Skenario A B C'!$E$14,0,MAX(0,'Skenario A B C'!$I$14-'Skenario A B C'!$K$14))</f>
        <v/>
      </c>
      <c r="N58">
        <f>IF(11&lt;'Skenario A B C'!$E$14,0,MAX(0,'Skenario A B C'!$I$14-'Skenario A B C'!$K$14))</f>
        <v/>
      </c>
      <c r="O58">
        <f>IF(12&lt;'Skenario A B C'!$E$14,0,MAX(0,'Skenario A B C'!$I$14-'Skenario A B C'!$K$14))</f>
        <v/>
      </c>
      <c r="P58">
        <f>IF(13&lt;'Skenario A B C'!$E$14,0,MAX(0,'Skenario A B C'!$J$14-'Skenario A B C'!$K$14))</f>
        <v/>
      </c>
      <c r="Q58">
        <f>IF(14&lt;'Skenario A B C'!$E$14,0,MAX(0,'Skenario A B C'!$J$14-'Skenario A B C'!$K$14))</f>
        <v/>
      </c>
      <c r="R58">
        <f>IF(15&lt;'Skenario A B C'!$E$14,0,MAX(0,'Skenario A B C'!$J$14-'Skenario A B C'!$K$14))</f>
        <v/>
      </c>
      <c r="S58">
        <f>IF(16&lt;'Skenario A B C'!$E$14,0,MAX(0,'Skenario A B C'!$J$14-'Skenario A B C'!$K$14))</f>
        <v/>
      </c>
      <c r="T58">
        <f>IF(17&lt;'Skenario A B C'!$E$14,0,MAX(0,'Skenario A B C'!$J$14-'Skenario A B C'!$K$14))</f>
        <v/>
      </c>
      <c r="U58">
        <f>IF(18&lt;'Skenario A B C'!$E$14,0,MAX(0,'Skenario A B C'!$J$14-'Skenario A B C'!$K$14))</f>
        <v/>
      </c>
      <c r="V58">
        <f>IF(19&lt;'Skenario A B C'!$E$14,0,MAX(0,'Skenario A B C'!$J$14-'Skenario A B C'!$K$14))</f>
        <v/>
      </c>
      <c r="W58">
        <f>IF(20&lt;'Skenario A B C'!$E$14,0,MAX(0,'Skenario A B C'!$J$14-'Skenario A B C'!$K$14))</f>
        <v/>
      </c>
      <c r="X58">
        <f>IF(21&lt;'Skenario A B C'!$E$14,0,MAX(0,'Skenario A B C'!$J$14-'Skenario A B C'!$K$14))</f>
        <v/>
      </c>
      <c r="Y58">
        <f>IF(22&lt;'Skenario A B C'!$E$14,0,MAX(0,'Skenario A B C'!$J$14-'Skenario A B C'!$K$14))</f>
        <v/>
      </c>
      <c r="Z58">
        <f>IF(23&lt;'Skenario A B C'!$E$14,0,MAX(0,'Skenario A B C'!$J$14-'Skenario A B C'!$K$14))</f>
        <v/>
      </c>
      <c r="AA58">
        <f>IF(24&lt;'Skenario A B C'!$E$14,0,MAX(0,'Skenario A B C'!$J$14-'Skenario A B C'!$K$14))</f>
        <v/>
      </c>
    </row>
    <row r="59">
      <c r="A59" t="inlineStr">
        <is>
          <t>Backend Engineer (Mid)</t>
        </is>
      </c>
      <c r="B59" s="6">
        <f>'Skenario A B C'!$F$15</f>
        <v/>
      </c>
      <c r="D59">
        <f>IF(1&lt;'Skenario A B C'!$E$15,0,MAX(0,'Skenario A B C'!$H$15-'Skenario A B C'!$K$15))</f>
        <v/>
      </c>
      <c r="E59">
        <f>IF(2&lt;'Skenario A B C'!$E$15,0,MAX(0,'Skenario A B C'!$H$15-'Skenario A B C'!$K$15))</f>
        <v/>
      </c>
      <c r="F59">
        <f>IF(3&lt;'Skenario A B C'!$E$15,0,MAX(0,'Skenario A B C'!$H$15-'Skenario A B C'!$K$15))</f>
        <v/>
      </c>
      <c r="G59">
        <f>IF(4&lt;'Skenario A B C'!$E$15,0,MAX(0,'Skenario A B C'!$I$15-'Skenario A B C'!$K$15))</f>
        <v/>
      </c>
      <c r="H59">
        <f>IF(5&lt;'Skenario A B C'!$E$15,0,MAX(0,'Skenario A B C'!$I$15-'Skenario A B C'!$K$15))</f>
        <v/>
      </c>
      <c r="I59">
        <f>IF(6&lt;'Skenario A B C'!$E$15,0,MAX(0,'Skenario A B C'!$I$15-'Skenario A B C'!$K$15))</f>
        <v/>
      </c>
      <c r="J59">
        <f>IF(7&lt;'Skenario A B C'!$E$15,0,MAX(0,'Skenario A B C'!$I$15-'Skenario A B C'!$K$15))</f>
        <v/>
      </c>
      <c r="K59">
        <f>IF(8&lt;'Skenario A B C'!$E$15,0,MAX(0,'Skenario A B C'!$I$15-'Skenario A B C'!$K$15))</f>
        <v/>
      </c>
      <c r="L59">
        <f>IF(9&lt;'Skenario A B C'!$E$15,0,MAX(0,'Skenario A B C'!$I$15-'Skenario A B C'!$K$15))</f>
        <v/>
      </c>
      <c r="M59">
        <f>IF(10&lt;'Skenario A B C'!$E$15,0,MAX(0,'Skenario A B C'!$I$15-'Skenario A B C'!$K$15))</f>
        <v/>
      </c>
      <c r="N59">
        <f>IF(11&lt;'Skenario A B C'!$E$15,0,MAX(0,'Skenario A B C'!$I$15-'Skenario A B C'!$K$15))</f>
        <v/>
      </c>
      <c r="O59">
        <f>IF(12&lt;'Skenario A B C'!$E$15,0,MAX(0,'Skenario A B C'!$I$15-'Skenario A B C'!$K$15))</f>
        <v/>
      </c>
      <c r="P59">
        <f>IF(13&lt;'Skenario A B C'!$E$15,0,MAX(0,'Skenario A B C'!$J$15-'Skenario A B C'!$K$15))</f>
        <v/>
      </c>
      <c r="Q59">
        <f>IF(14&lt;'Skenario A B C'!$E$15,0,MAX(0,'Skenario A B C'!$J$15-'Skenario A B C'!$K$15))</f>
        <v/>
      </c>
      <c r="R59">
        <f>IF(15&lt;'Skenario A B C'!$E$15,0,MAX(0,'Skenario A B C'!$J$15-'Skenario A B C'!$K$15))</f>
        <v/>
      </c>
      <c r="S59">
        <f>IF(16&lt;'Skenario A B C'!$E$15,0,MAX(0,'Skenario A B C'!$J$15-'Skenario A B C'!$K$15))</f>
        <v/>
      </c>
      <c r="T59">
        <f>IF(17&lt;'Skenario A B C'!$E$15,0,MAX(0,'Skenario A B C'!$J$15-'Skenario A B C'!$K$15))</f>
        <v/>
      </c>
      <c r="U59">
        <f>IF(18&lt;'Skenario A B C'!$E$15,0,MAX(0,'Skenario A B C'!$J$15-'Skenario A B C'!$K$15))</f>
        <v/>
      </c>
      <c r="V59">
        <f>IF(19&lt;'Skenario A B C'!$E$15,0,MAX(0,'Skenario A B C'!$J$15-'Skenario A B C'!$K$15))</f>
        <v/>
      </c>
      <c r="W59">
        <f>IF(20&lt;'Skenario A B C'!$E$15,0,MAX(0,'Skenario A B C'!$J$15-'Skenario A B C'!$K$15))</f>
        <v/>
      </c>
      <c r="X59">
        <f>IF(21&lt;'Skenario A B C'!$E$15,0,MAX(0,'Skenario A B C'!$J$15-'Skenario A B C'!$K$15))</f>
        <v/>
      </c>
      <c r="Y59">
        <f>IF(22&lt;'Skenario A B C'!$E$15,0,MAX(0,'Skenario A B C'!$J$15-'Skenario A B C'!$K$15))</f>
        <v/>
      </c>
      <c r="Z59">
        <f>IF(23&lt;'Skenario A B C'!$E$15,0,MAX(0,'Skenario A B C'!$J$15-'Skenario A B C'!$K$15))</f>
        <v/>
      </c>
      <c r="AA59">
        <f>IF(24&lt;'Skenario A B C'!$E$15,0,MAX(0,'Skenario A B C'!$J$15-'Skenario A B C'!$K$15))</f>
        <v/>
      </c>
    </row>
    <row r="60">
      <c r="A60" t="inlineStr">
        <is>
          <t>Backend Engineer (Mid) - gelombang 2</t>
        </is>
      </c>
      <c r="B60" s="6">
        <f>'Skenario A B C'!$F$16</f>
        <v/>
      </c>
      <c r="D60">
        <f>IF(1&lt;'Skenario A B C'!$E$16,0,MAX(0,'Skenario A B C'!$H$16-'Skenario A B C'!$K$16))</f>
        <v/>
      </c>
      <c r="E60">
        <f>IF(2&lt;'Skenario A B C'!$E$16,0,MAX(0,'Skenario A B C'!$H$16-'Skenario A B C'!$K$16))</f>
        <v/>
      </c>
      <c r="F60">
        <f>IF(3&lt;'Skenario A B C'!$E$16,0,MAX(0,'Skenario A B C'!$H$16-'Skenario A B C'!$K$16))</f>
        <v/>
      </c>
      <c r="G60">
        <f>IF(4&lt;'Skenario A B C'!$E$16,0,MAX(0,'Skenario A B C'!$I$16-'Skenario A B C'!$K$16))</f>
        <v/>
      </c>
      <c r="H60">
        <f>IF(5&lt;'Skenario A B C'!$E$16,0,MAX(0,'Skenario A B C'!$I$16-'Skenario A B C'!$K$16))</f>
        <v/>
      </c>
      <c r="I60">
        <f>IF(6&lt;'Skenario A B C'!$E$16,0,MAX(0,'Skenario A B C'!$I$16-'Skenario A B C'!$K$16))</f>
        <v/>
      </c>
      <c r="J60">
        <f>IF(7&lt;'Skenario A B C'!$E$16,0,MAX(0,'Skenario A B C'!$I$16-'Skenario A B C'!$K$16))</f>
        <v/>
      </c>
      <c r="K60">
        <f>IF(8&lt;'Skenario A B C'!$E$16,0,MAX(0,'Skenario A B C'!$I$16-'Skenario A B C'!$K$16))</f>
        <v/>
      </c>
      <c r="L60">
        <f>IF(9&lt;'Skenario A B C'!$E$16,0,MAX(0,'Skenario A B C'!$I$16-'Skenario A B C'!$K$16))</f>
        <v/>
      </c>
      <c r="M60">
        <f>IF(10&lt;'Skenario A B C'!$E$16,0,MAX(0,'Skenario A B C'!$I$16-'Skenario A B C'!$K$16))</f>
        <v/>
      </c>
      <c r="N60">
        <f>IF(11&lt;'Skenario A B C'!$E$16,0,MAX(0,'Skenario A B C'!$I$16-'Skenario A B C'!$K$16))</f>
        <v/>
      </c>
      <c r="O60">
        <f>IF(12&lt;'Skenario A B C'!$E$16,0,MAX(0,'Skenario A B C'!$I$16-'Skenario A B C'!$K$16))</f>
        <v/>
      </c>
      <c r="P60">
        <f>IF(13&lt;'Skenario A B C'!$E$16,0,MAX(0,'Skenario A B C'!$J$16-'Skenario A B C'!$K$16))</f>
        <v/>
      </c>
      <c r="Q60">
        <f>IF(14&lt;'Skenario A B C'!$E$16,0,MAX(0,'Skenario A B C'!$J$16-'Skenario A B C'!$K$16))</f>
        <v/>
      </c>
      <c r="R60">
        <f>IF(15&lt;'Skenario A B C'!$E$16,0,MAX(0,'Skenario A B C'!$J$16-'Skenario A B C'!$K$16))</f>
        <v/>
      </c>
      <c r="S60">
        <f>IF(16&lt;'Skenario A B C'!$E$16,0,MAX(0,'Skenario A B C'!$J$16-'Skenario A B C'!$K$16))</f>
        <v/>
      </c>
      <c r="T60">
        <f>IF(17&lt;'Skenario A B C'!$E$16,0,MAX(0,'Skenario A B C'!$J$16-'Skenario A B C'!$K$16))</f>
        <v/>
      </c>
      <c r="U60">
        <f>IF(18&lt;'Skenario A B C'!$E$16,0,MAX(0,'Skenario A B C'!$J$16-'Skenario A B C'!$K$16))</f>
        <v/>
      </c>
      <c r="V60">
        <f>IF(19&lt;'Skenario A B C'!$E$16,0,MAX(0,'Skenario A B C'!$J$16-'Skenario A B C'!$K$16))</f>
        <v/>
      </c>
      <c r="W60">
        <f>IF(20&lt;'Skenario A B C'!$E$16,0,MAX(0,'Skenario A B C'!$J$16-'Skenario A B C'!$K$16))</f>
        <v/>
      </c>
      <c r="X60">
        <f>IF(21&lt;'Skenario A B C'!$E$16,0,MAX(0,'Skenario A B C'!$J$16-'Skenario A B C'!$K$16))</f>
        <v/>
      </c>
      <c r="Y60">
        <f>IF(22&lt;'Skenario A B C'!$E$16,0,MAX(0,'Skenario A B C'!$J$16-'Skenario A B C'!$K$16))</f>
        <v/>
      </c>
      <c r="Z60">
        <f>IF(23&lt;'Skenario A B C'!$E$16,0,MAX(0,'Skenario A B C'!$J$16-'Skenario A B C'!$K$16))</f>
        <v/>
      </c>
      <c r="AA60">
        <f>IF(24&lt;'Skenario A B C'!$E$16,0,MAX(0,'Skenario A B C'!$J$16-'Skenario A B C'!$K$16))</f>
        <v/>
      </c>
    </row>
    <row r="61">
      <c r="A61" t="inlineStr">
        <is>
          <t>QA Engineer</t>
        </is>
      </c>
      <c r="B61" s="6">
        <f>'Skenario A B C'!$F$17</f>
        <v/>
      </c>
      <c r="D61">
        <f>IF(1&lt;'Skenario A B C'!$E$17,0,MAX(0,'Skenario A B C'!$H$17-'Skenario A B C'!$K$17))</f>
        <v/>
      </c>
      <c r="E61">
        <f>IF(2&lt;'Skenario A B C'!$E$17,0,MAX(0,'Skenario A B C'!$H$17-'Skenario A B C'!$K$17))</f>
        <v/>
      </c>
      <c r="F61">
        <f>IF(3&lt;'Skenario A B C'!$E$17,0,MAX(0,'Skenario A B C'!$H$17-'Skenario A B C'!$K$17))</f>
        <v/>
      </c>
      <c r="G61">
        <f>IF(4&lt;'Skenario A B C'!$E$17,0,MAX(0,'Skenario A B C'!$I$17-'Skenario A B C'!$K$17))</f>
        <v/>
      </c>
      <c r="H61">
        <f>IF(5&lt;'Skenario A B C'!$E$17,0,MAX(0,'Skenario A B C'!$I$17-'Skenario A B C'!$K$17))</f>
        <v/>
      </c>
      <c r="I61">
        <f>IF(6&lt;'Skenario A B C'!$E$17,0,MAX(0,'Skenario A B C'!$I$17-'Skenario A B C'!$K$17))</f>
        <v/>
      </c>
      <c r="J61">
        <f>IF(7&lt;'Skenario A B C'!$E$17,0,MAX(0,'Skenario A B C'!$I$17-'Skenario A B C'!$K$17))</f>
        <v/>
      </c>
      <c r="K61">
        <f>IF(8&lt;'Skenario A B C'!$E$17,0,MAX(0,'Skenario A B C'!$I$17-'Skenario A B C'!$K$17))</f>
        <v/>
      </c>
      <c r="L61">
        <f>IF(9&lt;'Skenario A B C'!$E$17,0,MAX(0,'Skenario A B C'!$I$17-'Skenario A B C'!$K$17))</f>
        <v/>
      </c>
      <c r="M61">
        <f>IF(10&lt;'Skenario A B C'!$E$17,0,MAX(0,'Skenario A B C'!$I$17-'Skenario A B C'!$K$17))</f>
        <v/>
      </c>
      <c r="N61">
        <f>IF(11&lt;'Skenario A B C'!$E$17,0,MAX(0,'Skenario A B C'!$I$17-'Skenario A B C'!$K$17))</f>
        <v/>
      </c>
      <c r="O61">
        <f>IF(12&lt;'Skenario A B C'!$E$17,0,MAX(0,'Skenario A B C'!$I$17-'Skenario A B C'!$K$17))</f>
        <v/>
      </c>
      <c r="P61">
        <f>IF(13&lt;'Skenario A B C'!$E$17,0,MAX(0,'Skenario A B C'!$J$17-'Skenario A B C'!$K$17))</f>
        <v/>
      </c>
      <c r="Q61">
        <f>IF(14&lt;'Skenario A B C'!$E$17,0,MAX(0,'Skenario A B C'!$J$17-'Skenario A B C'!$K$17))</f>
        <v/>
      </c>
      <c r="R61">
        <f>IF(15&lt;'Skenario A B C'!$E$17,0,MAX(0,'Skenario A B C'!$J$17-'Skenario A B C'!$K$17))</f>
        <v/>
      </c>
      <c r="S61">
        <f>IF(16&lt;'Skenario A B C'!$E$17,0,MAX(0,'Skenario A B C'!$J$17-'Skenario A B C'!$K$17))</f>
        <v/>
      </c>
      <c r="T61">
        <f>IF(17&lt;'Skenario A B C'!$E$17,0,MAX(0,'Skenario A B C'!$J$17-'Skenario A B C'!$K$17))</f>
        <v/>
      </c>
      <c r="U61">
        <f>IF(18&lt;'Skenario A B C'!$E$17,0,MAX(0,'Skenario A B C'!$J$17-'Skenario A B C'!$K$17))</f>
        <v/>
      </c>
      <c r="V61">
        <f>IF(19&lt;'Skenario A B C'!$E$17,0,MAX(0,'Skenario A B C'!$J$17-'Skenario A B C'!$K$17))</f>
        <v/>
      </c>
      <c r="W61">
        <f>IF(20&lt;'Skenario A B C'!$E$17,0,MAX(0,'Skenario A B C'!$J$17-'Skenario A B C'!$K$17))</f>
        <v/>
      </c>
      <c r="X61">
        <f>IF(21&lt;'Skenario A B C'!$E$17,0,MAX(0,'Skenario A B C'!$J$17-'Skenario A B C'!$K$17))</f>
        <v/>
      </c>
      <c r="Y61">
        <f>IF(22&lt;'Skenario A B C'!$E$17,0,MAX(0,'Skenario A B C'!$J$17-'Skenario A B C'!$K$17))</f>
        <v/>
      </c>
      <c r="Z61">
        <f>IF(23&lt;'Skenario A B C'!$E$17,0,MAX(0,'Skenario A B C'!$J$17-'Skenario A B C'!$K$17))</f>
        <v/>
      </c>
      <c r="AA61">
        <f>IF(24&lt;'Skenario A B C'!$E$17,0,MAX(0,'Skenario A B C'!$J$17-'Skenario A B C'!$K$17))</f>
        <v/>
      </c>
    </row>
    <row r="62">
      <c r="A62" t="inlineStr">
        <is>
          <t>QA Engineer - gelombang 2</t>
        </is>
      </c>
      <c r="B62" s="6">
        <f>'Skenario A B C'!$F$18</f>
        <v/>
      </c>
      <c r="D62">
        <f>IF(1&lt;'Skenario A B C'!$E$18,0,MAX(0,'Skenario A B C'!$H$18-'Skenario A B C'!$K$18))</f>
        <v/>
      </c>
      <c r="E62">
        <f>IF(2&lt;'Skenario A B C'!$E$18,0,MAX(0,'Skenario A B C'!$H$18-'Skenario A B C'!$K$18))</f>
        <v/>
      </c>
      <c r="F62">
        <f>IF(3&lt;'Skenario A B C'!$E$18,0,MAX(0,'Skenario A B C'!$H$18-'Skenario A B C'!$K$18))</f>
        <v/>
      </c>
      <c r="G62">
        <f>IF(4&lt;'Skenario A B C'!$E$18,0,MAX(0,'Skenario A B C'!$I$18-'Skenario A B C'!$K$18))</f>
        <v/>
      </c>
      <c r="H62">
        <f>IF(5&lt;'Skenario A B C'!$E$18,0,MAX(0,'Skenario A B C'!$I$18-'Skenario A B C'!$K$18))</f>
        <v/>
      </c>
      <c r="I62">
        <f>IF(6&lt;'Skenario A B C'!$E$18,0,MAX(0,'Skenario A B C'!$I$18-'Skenario A B C'!$K$18))</f>
        <v/>
      </c>
      <c r="J62">
        <f>IF(7&lt;'Skenario A B C'!$E$18,0,MAX(0,'Skenario A B C'!$I$18-'Skenario A B C'!$K$18))</f>
        <v/>
      </c>
      <c r="K62">
        <f>IF(8&lt;'Skenario A B C'!$E$18,0,MAX(0,'Skenario A B C'!$I$18-'Skenario A B C'!$K$18))</f>
        <v/>
      </c>
      <c r="L62">
        <f>IF(9&lt;'Skenario A B C'!$E$18,0,MAX(0,'Skenario A B C'!$I$18-'Skenario A B C'!$K$18))</f>
        <v/>
      </c>
      <c r="M62">
        <f>IF(10&lt;'Skenario A B C'!$E$18,0,MAX(0,'Skenario A B C'!$I$18-'Skenario A B C'!$K$18))</f>
        <v/>
      </c>
      <c r="N62">
        <f>IF(11&lt;'Skenario A B C'!$E$18,0,MAX(0,'Skenario A B C'!$I$18-'Skenario A B C'!$K$18))</f>
        <v/>
      </c>
      <c r="O62">
        <f>IF(12&lt;'Skenario A B C'!$E$18,0,MAX(0,'Skenario A B C'!$I$18-'Skenario A B C'!$K$18))</f>
        <v/>
      </c>
      <c r="P62">
        <f>IF(13&lt;'Skenario A B C'!$E$18,0,MAX(0,'Skenario A B C'!$J$18-'Skenario A B C'!$K$18))</f>
        <v/>
      </c>
      <c r="Q62">
        <f>IF(14&lt;'Skenario A B C'!$E$18,0,MAX(0,'Skenario A B C'!$J$18-'Skenario A B C'!$K$18))</f>
        <v/>
      </c>
      <c r="R62">
        <f>IF(15&lt;'Skenario A B C'!$E$18,0,MAX(0,'Skenario A B C'!$J$18-'Skenario A B C'!$K$18))</f>
        <v/>
      </c>
      <c r="S62">
        <f>IF(16&lt;'Skenario A B C'!$E$18,0,MAX(0,'Skenario A B C'!$J$18-'Skenario A B C'!$K$18))</f>
        <v/>
      </c>
      <c r="T62">
        <f>IF(17&lt;'Skenario A B C'!$E$18,0,MAX(0,'Skenario A B C'!$J$18-'Skenario A B C'!$K$18))</f>
        <v/>
      </c>
      <c r="U62">
        <f>IF(18&lt;'Skenario A B C'!$E$18,0,MAX(0,'Skenario A B C'!$J$18-'Skenario A B C'!$K$18))</f>
        <v/>
      </c>
      <c r="V62">
        <f>IF(19&lt;'Skenario A B C'!$E$18,0,MAX(0,'Skenario A B C'!$J$18-'Skenario A B C'!$K$18))</f>
        <v/>
      </c>
      <c r="W62">
        <f>IF(20&lt;'Skenario A B C'!$E$18,0,MAX(0,'Skenario A B C'!$J$18-'Skenario A B C'!$K$18))</f>
        <v/>
      </c>
      <c r="X62">
        <f>IF(21&lt;'Skenario A B C'!$E$18,0,MAX(0,'Skenario A B C'!$J$18-'Skenario A B C'!$K$18))</f>
        <v/>
      </c>
      <c r="Y62">
        <f>IF(22&lt;'Skenario A B C'!$E$18,0,MAX(0,'Skenario A B C'!$J$18-'Skenario A B C'!$K$18))</f>
        <v/>
      </c>
      <c r="Z62">
        <f>IF(23&lt;'Skenario A B C'!$E$18,0,MAX(0,'Skenario A B C'!$J$18-'Skenario A B C'!$K$18))</f>
        <v/>
      </c>
      <c r="AA62">
        <f>IF(24&lt;'Skenario A B C'!$E$18,0,MAX(0,'Skenario A B C'!$J$18-'Skenario A B C'!$K$18))</f>
        <v/>
      </c>
    </row>
    <row r="63">
      <c r="A63" t="inlineStr">
        <is>
          <t>Junior Software Engineer</t>
        </is>
      </c>
      <c r="B63" s="6">
        <f>'Skenario A B C'!$F$19</f>
        <v/>
      </c>
      <c r="D63">
        <f>IF(1&lt;'Skenario A B C'!$E$19,0,MAX(0,'Skenario A B C'!$H$19-'Skenario A B C'!$K$19))</f>
        <v/>
      </c>
      <c r="E63">
        <f>IF(2&lt;'Skenario A B C'!$E$19,0,MAX(0,'Skenario A B C'!$H$19-'Skenario A B C'!$K$19))</f>
        <v/>
      </c>
      <c r="F63">
        <f>IF(3&lt;'Skenario A B C'!$E$19,0,MAX(0,'Skenario A B C'!$H$19-'Skenario A B C'!$K$19))</f>
        <v/>
      </c>
      <c r="G63">
        <f>IF(4&lt;'Skenario A B C'!$E$19,0,MAX(0,'Skenario A B C'!$I$19-'Skenario A B C'!$K$19))</f>
        <v/>
      </c>
      <c r="H63">
        <f>IF(5&lt;'Skenario A B C'!$E$19,0,MAX(0,'Skenario A B C'!$I$19-'Skenario A B C'!$K$19))</f>
        <v/>
      </c>
      <c r="I63">
        <f>IF(6&lt;'Skenario A B C'!$E$19,0,MAX(0,'Skenario A B C'!$I$19-'Skenario A B C'!$K$19))</f>
        <v/>
      </c>
      <c r="J63">
        <f>IF(7&lt;'Skenario A B C'!$E$19,0,MAX(0,'Skenario A B C'!$I$19-'Skenario A B C'!$K$19))</f>
        <v/>
      </c>
      <c r="K63">
        <f>IF(8&lt;'Skenario A B C'!$E$19,0,MAX(0,'Skenario A B C'!$I$19-'Skenario A B C'!$K$19))</f>
        <v/>
      </c>
      <c r="L63">
        <f>IF(9&lt;'Skenario A B C'!$E$19,0,MAX(0,'Skenario A B C'!$I$19-'Skenario A B C'!$K$19))</f>
        <v/>
      </c>
      <c r="M63">
        <f>IF(10&lt;'Skenario A B C'!$E$19,0,MAX(0,'Skenario A B C'!$I$19-'Skenario A B C'!$K$19))</f>
        <v/>
      </c>
      <c r="N63">
        <f>IF(11&lt;'Skenario A B C'!$E$19,0,MAX(0,'Skenario A B C'!$I$19-'Skenario A B C'!$K$19))</f>
        <v/>
      </c>
      <c r="O63">
        <f>IF(12&lt;'Skenario A B C'!$E$19,0,MAX(0,'Skenario A B C'!$I$19-'Skenario A B C'!$K$19))</f>
        <v/>
      </c>
      <c r="P63">
        <f>IF(13&lt;'Skenario A B C'!$E$19,0,MAX(0,'Skenario A B C'!$J$19-'Skenario A B C'!$K$19))</f>
        <v/>
      </c>
      <c r="Q63">
        <f>IF(14&lt;'Skenario A B C'!$E$19,0,MAX(0,'Skenario A B C'!$J$19-'Skenario A B C'!$K$19))</f>
        <v/>
      </c>
      <c r="R63">
        <f>IF(15&lt;'Skenario A B C'!$E$19,0,MAX(0,'Skenario A B C'!$J$19-'Skenario A B C'!$K$19))</f>
        <v/>
      </c>
      <c r="S63">
        <f>IF(16&lt;'Skenario A B C'!$E$19,0,MAX(0,'Skenario A B C'!$J$19-'Skenario A B C'!$K$19))</f>
        <v/>
      </c>
      <c r="T63">
        <f>IF(17&lt;'Skenario A B C'!$E$19,0,MAX(0,'Skenario A B C'!$J$19-'Skenario A B C'!$K$19))</f>
        <v/>
      </c>
      <c r="U63">
        <f>IF(18&lt;'Skenario A B C'!$E$19,0,MAX(0,'Skenario A B C'!$J$19-'Skenario A B C'!$K$19))</f>
        <v/>
      </c>
      <c r="V63">
        <f>IF(19&lt;'Skenario A B C'!$E$19,0,MAX(0,'Skenario A B C'!$J$19-'Skenario A B C'!$K$19))</f>
        <v/>
      </c>
      <c r="W63">
        <f>IF(20&lt;'Skenario A B C'!$E$19,0,MAX(0,'Skenario A B C'!$J$19-'Skenario A B C'!$K$19))</f>
        <v/>
      </c>
      <c r="X63">
        <f>IF(21&lt;'Skenario A B C'!$E$19,0,MAX(0,'Skenario A B C'!$J$19-'Skenario A B C'!$K$19))</f>
        <v/>
      </c>
      <c r="Y63">
        <f>IF(22&lt;'Skenario A B C'!$E$19,0,MAX(0,'Skenario A B C'!$J$19-'Skenario A B C'!$K$19))</f>
        <v/>
      </c>
      <c r="Z63">
        <f>IF(23&lt;'Skenario A B C'!$E$19,0,MAX(0,'Skenario A B C'!$J$19-'Skenario A B C'!$K$19))</f>
        <v/>
      </c>
      <c r="AA63">
        <f>IF(24&lt;'Skenario A B C'!$E$19,0,MAX(0,'Skenario A B C'!$J$19-'Skenario A B C'!$K$19))</f>
        <v/>
      </c>
    </row>
    <row r="64">
      <c r="A64" t="inlineStr">
        <is>
          <t>Junior Software Engineer - Padang</t>
        </is>
      </c>
      <c r="B64" s="6">
        <f>'Skenario A B C'!$F$20</f>
        <v/>
      </c>
      <c r="D64">
        <f>IF(1&lt;'Skenario A B C'!$E$20,0,MAX(0,'Skenario A B C'!$H$20-'Skenario A B C'!$K$20))</f>
        <v/>
      </c>
      <c r="E64">
        <f>IF(2&lt;'Skenario A B C'!$E$20,0,MAX(0,'Skenario A B C'!$H$20-'Skenario A B C'!$K$20))</f>
        <v/>
      </c>
      <c r="F64">
        <f>IF(3&lt;'Skenario A B C'!$E$20,0,MAX(0,'Skenario A B C'!$H$20-'Skenario A B C'!$K$20))</f>
        <v/>
      </c>
      <c r="G64">
        <f>IF(4&lt;'Skenario A B C'!$E$20,0,MAX(0,'Skenario A B C'!$I$20-'Skenario A B C'!$K$20))</f>
        <v/>
      </c>
      <c r="H64">
        <f>IF(5&lt;'Skenario A B C'!$E$20,0,MAX(0,'Skenario A B C'!$I$20-'Skenario A B C'!$K$20))</f>
        <v/>
      </c>
      <c r="I64">
        <f>IF(6&lt;'Skenario A B C'!$E$20,0,MAX(0,'Skenario A B C'!$I$20-'Skenario A B C'!$K$20))</f>
        <v/>
      </c>
      <c r="J64">
        <f>IF(7&lt;'Skenario A B C'!$E$20,0,MAX(0,'Skenario A B C'!$I$20-'Skenario A B C'!$K$20))</f>
        <v/>
      </c>
      <c r="K64">
        <f>IF(8&lt;'Skenario A B C'!$E$20,0,MAX(0,'Skenario A B C'!$I$20-'Skenario A B C'!$K$20))</f>
        <v/>
      </c>
      <c r="L64">
        <f>IF(9&lt;'Skenario A B C'!$E$20,0,MAX(0,'Skenario A B C'!$I$20-'Skenario A B C'!$K$20))</f>
        <v/>
      </c>
      <c r="M64">
        <f>IF(10&lt;'Skenario A B C'!$E$20,0,MAX(0,'Skenario A B C'!$I$20-'Skenario A B C'!$K$20))</f>
        <v/>
      </c>
      <c r="N64">
        <f>IF(11&lt;'Skenario A B C'!$E$20,0,MAX(0,'Skenario A B C'!$I$20-'Skenario A B C'!$K$20))</f>
        <v/>
      </c>
      <c r="O64">
        <f>IF(12&lt;'Skenario A B C'!$E$20,0,MAX(0,'Skenario A B C'!$I$20-'Skenario A B C'!$K$20))</f>
        <v/>
      </c>
      <c r="P64">
        <f>IF(13&lt;'Skenario A B C'!$E$20,0,MAX(0,'Skenario A B C'!$J$20-'Skenario A B C'!$K$20))</f>
        <v/>
      </c>
      <c r="Q64">
        <f>IF(14&lt;'Skenario A B C'!$E$20,0,MAX(0,'Skenario A B C'!$J$20-'Skenario A B C'!$K$20))</f>
        <v/>
      </c>
      <c r="R64">
        <f>IF(15&lt;'Skenario A B C'!$E$20,0,MAX(0,'Skenario A B C'!$J$20-'Skenario A B C'!$K$20))</f>
        <v/>
      </c>
      <c r="S64">
        <f>IF(16&lt;'Skenario A B C'!$E$20,0,MAX(0,'Skenario A B C'!$J$20-'Skenario A B C'!$K$20))</f>
        <v/>
      </c>
      <c r="T64">
        <f>IF(17&lt;'Skenario A B C'!$E$20,0,MAX(0,'Skenario A B C'!$J$20-'Skenario A B C'!$K$20))</f>
        <v/>
      </c>
      <c r="U64">
        <f>IF(18&lt;'Skenario A B C'!$E$20,0,MAX(0,'Skenario A B C'!$J$20-'Skenario A B C'!$K$20))</f>
        <v/>
      </c>
      <c r="V64">
        <f>IF(19&lt;'Skenario A B C'!$E$20,0,MAX(0,'Skenario A B C'!$J$20-'Skenario A B C'!$K$20))</f>
        <v/>
      </c>
      <c r="W64">
        <f>IF(20&lt;'Skenario A B C'!$E$20,0,MAX(0,'Skenario A B C'!$J$20-'Skenario A B C'!$K$20))</f>
        <v/>
      </c>
      <c r="X64">
        <f>IF(21&lt;'Skenario A B C'!$E$20,0,MAX(0,'Skenario A B C'!$J$20-'Skenario A B C'!$K$20))</f>
        <v/>
      </c>
      <c r="Y64">
        <f>IF(22&lt;'Skenario A B C'!$E$20,0,MAX(0,'Skenario A B C'!$J$20-'Skenario A B C'!$K$20))</f>
        <v/>
      </c>
      <c r="Z64">
        <f>IF(23&lt;'Skenario A B C'!$E$20,0,MAX(0,'Skenario A B C'!$J$20-'Skenario A B C'!$K$20))</f>
        <v/>
      </c>
      <c r="AA64">
        <f>IF(24&lt;'Skenario A B C'!$E$20,0,MAX(0,'Skenario A B C'!$J$20-'Skenario A B C'!$K$20))</f>
        <v/>
      </c>
    </row>
    <row r="65">
      <c r="A65" t="inlineStr">
        <is>
          <t>Product Designer (UI/UX)</t>
        </is>
      </c>
      <c r="B65" s="6">
        <f>'Skenario A B C'!$F$21</f>
        <v/>
      </c>
      <c r="D65">
        <f>IF(1&lt;'Skenario A B C'!$E$21,0,MAX(0,'Skenario A B C'!$H$21-'Skenario A B C'!$K$21))</f>
        <v/>
      </c>
      <c r="E65">
        <f>IF(2&lt;'Skenario A B C'!$E$21,0,MAX(0,'Skenario A B C'!$H$21-'Skenario A B C'!$K$21))</f>
        <v/>
      </c>
      <c r="F65">
        <f>IF(3&lt;'Skenario A B C'!$E$21,0,MAX(0,'Skenario A B C'!$H$21-'Skenario A B C'!$K$21))</f>
        <v/>
      </c>
      <c r="G65">
        <f>IF(4&lt;'Skenario A B C'!$E$21,0,MAX(0,'Skenario A B C'!$I$21-'Skenario A B C'!$K$21))</f>
        <v/>
      </c>
      <c r="H65">
        <f>IF(5&lt;'Skenario A B C'!$E$21,0,MAX(0,'Skenario A B C'!$I$21-'Skenario A B C'!$K$21))</f>
        <v/>
      </c>
      <c r="I65">
        <f>IF(6&lt;'Skenario A B C'!$E$21,0,MAX(0,'Skenario A B C'!$I$21-'Skenario A B C'!$K$21))</f>
        <v/>
      </c>
      <c r="J65">
        <f>IF(7&lt;'Skenario A B C'!$E$21,0,MAX(0,'Skenario A B C'!$I$21-'Skenario A B C'!$K$21))</f>
        <v/>
      </c>
      <c r="K65">
        <f>IF(8&lt;'Skenario A B C'!$E$21,0,MAX(0,'Skenario A B C'!$I$21-'Skenario A B C'!$K$21))</f>
        <v/>
      </c>
      <c r="L65">
        <f>IF(9&lt;'Skenario A B C'!$E$21,0,MAX(0,'Skenario A B C'!$I$21-'Skenario A B C'!$K$21))</f>
        <v/>
      </c>
      <c r="M65">
        <f>IF(10&lt;'Skenario A B C'!$E$21,0,MAX(0,'Skenario A B C'!$I$21-'Skenario A B C'!$K$21))</f>
        <v/>
      </c>
      <c r="N65">
        <f>IF(11&lt;'Skenario A B C'!$E$21,0,MAX(0,'Skenario A B C'!$I$21-'Skenario A B C'!$K$21))</f>
        <v/>
      </c>
      <c r="O65">
        <f>IF(12&lt;'Skenario A B C'!$E$21,0,MAX(0,'Skenario A B C'!$I$21-'Skenario A B C'!$K$21))</f>
        <v/>
      </c>
      <c r="P65">
        <f>IF(13&lt;'Skenario A B C'!$E$21,0,MAX(0,'Skenario A B C'!$J$21-'Skenario A B C'!$K$21))</f>
        <v/>
      </c>
      <c r="Q65">
        <f>IF(14&lt;'Skenario A B C'!$E$21,0,MAX(0,'Skenario A B C'!$J$21-'Skenario A B C'!$K$21))</f>
        <v/>
      </c>
      <c r="R65">
        <f>IF(15&lt;'Skenario A B C'!$E$21,0,MAX(0,'Skenario A B C'!$J$21-'Skenario A B C'!$K$21))</f>
        <v/>
      </c>
      <c r="S65">
        <f>IF(16&lt;'Skenario A B C'!$E$21,0,MAX(0,'Skenario A B C'!$J$21-'Skenario A B C'!$K$21))</f>
        <v/>
      </c>
      <c r="T65">
        <f>IF(17&lt;'Skenario A B C'!$E$21,0,MAX(0,'Skenario A B C'!$J$21-'Skenario A B C'!$K$21))</f>
        <v/>
      </c>
      <c r="U65">
        <f>IF(18&lt;'Skenario A B C'!$E$21,0,MAX(0,'Skenario A B C'!$J$21-'Skenario A B C'!$K$21))</f>
        <v/>
      </c>
      <c r="V65">
        <f>IF(19&lt;'Skenario A B C'!$E$21,0,MAX(0,'Skenario A B C'!$J$21-'Skenario A B C'!$K$21))</f>
        <v/>
      </c>
      <c r="W65">
        <f>IF(20&lt;'Skenario A B C'!$E$21,0,MAX(0,'Skenario A B C'!$J$21-'Skenario A B C'!$K$21))</f>
        <v/>
      </c>
      <c r="X65">
        <f>IF(21&lt;'Skenario A B C'!$E$21,0,MAX(0,'Skenario A B C'!$J$21-'Skenario A B C'!$K$21))</f>
        <v/>
      </c>
      <c r="Y65">
        <f>IF(22&lt;'Skenario A B C'!$E$21,0,MAX(0,'Skenario A B C'!$J$21-'Skenario A B C'!$K$21))</f>
        <v/>
      </c>
      <c r="Z65">
        <f>IF(23&lt;'Skenario A B C'!$E$21,0,MAX(0,'Skenario A B C'!$J$21-'Skenario A B C'!$K$21))</f>
        <v/>
      </c>
      <c r="AA65">
        <f>IF(24&lt;'Skenario A B C'!$E$21,0,MAX(0,'Skenario A B C'!$J$21-'Skenario A B C'!$K$21))</f>
        <v/>
      </c>
    </row>
    <row r="66">
      <c r="A66" t="inlineStr">
        <is>
          <t>Product Designer (UI/UX) - gelombang 2</t>
        </is>
      </c>
      <c r="B66" s="6">
        <f>'Skenario A B C'!$F$22</f>
        <v/>
      </c>
      <c r="D66">
        <f>IF(1&lt;'Skenario A B C'!$E$22,0,MAX(0,'Skenario A B C'!$H$22-'Skenario A B C'!$K$22))</f>
        <v/>
      </c>
      <c r="E66">
        <f>IF(2&lt;'Skenario A B C'!$E$22,0,MAX(0,'Skenario A B C'!$H$22-'Skenario A B C'!$K$22))</f>
        <v/>
      </c>
      <c r="F66">
        <f>IF(3&lt;'Skenario A B C'!$E$22,0,MAX(0,'Skenario A B C'!$H$22-'Skenario A B C'!$K$22))</f>
        <v/>
      </c>
      <c r="G66">
        <f>IF(4&lt;'Skenario A B C'!$E$22,0,MAX(0,'Skenario A B C'!$I$22-'Skenario A B C'!$K$22))</f>
        <v/>
      </c>
      <c r="H66">
        <f>IF(5&lt;'Skenario A B C'!$E$22,0,MAX(0,'Skenario A B C'!$I$22-'Skenario A B C'!$K$22))</f>
        <v/>
      </c>
      <c r="I66">
        <f>IF(6&lt;'Skenario A B C'!$E$22,0,MAX(0,'Skenario A B C'!$I$22-'Skenario A B C'!$K$22))</f>
        <v/>
      </c>
      <c r="J66">
        <f>IF(7&lt;'Skenario A B C'!$E$22,0,MAX(0,'Skenario A B C'!$I$22-'Skenario A B C'!$K$22))</f>
        <v/>
      </c>
      <c r="K66">
        <f>IF(8&lt;'Skenario A B C'!$E$22,0,MAX(0,'Skenario A B C'!$I$22-'Skenario A B C'!$K$22))</f>
        <v/>
      </c>
      <c r="L66">
        <f>IF(9&lt;'Skenario A B C'!$E$22,0,MAX(0,'Skenario A B C'!$I$22-'Skenario A B C'!$K$22))</f>
        <v/>
      </c>
      <c r="M66">
        <f>IF(10&lt;'Skenario A B C'!$E$22,0,MAX(0,'Skenario A B C'!$I$22-'Skenario A B C'!$K$22))</f>
        <v/>
      </c>
      <c r="N66">
        <f>IF(11&lt;'Skenario A B C'!$E$22,0,MAX(0,'Skenario A B C'!$I$22-'Skenario A B C'!$K$22))</f>
        <v/>
      </c>
      <c r="O66">
        <f>IF(12&lt;'Skenario A B C'!$E$22,0,MAX(0,'Skenario A B C'!$I$22-'Skenario A B C'!$K$22))</f>
        <v/>
      </c>
      <c r="P66">
        <f>IF(13&lt;'Skenario A B C'!$E$22,0,MAX(0,'Skenario A B C'!$J$22-'Skenario A B C'!$K$22))</f>
        <v/>
      </c>
      <c r="Q66">
        <f>IF(14&lt;'Skenario A B C'!$E$22,0,MAX(0,'Skenario A B C'!$J$22-'Skenario A B C'!$K$22))</f>
        <v/>
      </c>
      <c r="R66">
        <f>IF(15&lt;'Skenario A B C'!$E$22,0,MAX(0,'Skenario A B C'!$J$22-'Skenario A B C'!$K$22))</f>
        <v/>
      </c>
      <c r="S66">
        <f>IF(16&lt;'Skenario A B C'!$E$22,0,MAX(0,'Skenario A B C'!$J$22-'Skenario A B C'!$K$22))</f>
        <v/>
      </c>
      <c r="T66">
        <f>IF(17&lt;'Skenario A B C'!$E$22,0,MAX(0,'Skenario A B C'!$J$22-'Skenario A B C'!$K$22))</f>
        <v/>
      </c>
      <c r="U66">
        <f>IF(18&lt;'Skenario A B C'!$E$22,0,MAX(0,'Skenario A B C'!$J$22-'Skenario A B C'!$K$22))</f>
        <v/>
      </c>
      <c r="V66">
        <f>IF(19&lt;'Skenario A B C'!$E$22,0,MAX(0,'Skenario A B C'!$J$22-'Skenario A B C'!$K$22))</f>
        <v/>
      </c>
      <c r="W66">
        <f>IF(20&lt;'Skenario A B C'!$E$22,0,MAX(0,'Skenario A B C'!$J$22-'Skenario A B C'!$K$22))</f>
        <v/>
      </c>
      <c r="X66">
        <f>IF(21&lt;'Skenario A B C'!$E$22,0,MAX(0,'Skenario A B C'!$J$22-'Skenario A B C'!$K$22))</f>
        <v/>
      </c>
      <c r="Y66">
        <f>IF(22&lt;'Skenario A B C'!$E$22,0,MAX(0,'Skenario A B C'!$J$22-'Skenario A B C'!$K$22))</f>
        <v/>
      </c>
      <c r="Z66">
        <f>IF(23&lt;'Skenario A B C'!$E$22,0,MAX(0,'Skenario A B C'!$J$22-'Skenario A B C'!$K$22))</f>
        <v/>
      </c>
      <c r="AA66">
        <f>IF(24&lt;'Skenario A B C'!$E$22,0,MAX(0,'Skenario A B C'!$J$22-'Skenario A B C'!$K$22))</f>
        <v/>
      </c>
    </row>
    <row r="67">
      <c r="A67" t="inlineStr">
        <is>
          <t>Data Analyst</t>
        </is>
      </c>
      <c r="B67" s="6">
        <f>'Skenario A B C'!$F$23</f>
        <v/>
      </c>
      <c r="D67">
        <f>IF(1&lt;'Skenario A B C'!$E$23,0,MAX(0,'Skenario A B C'!$H$23-'Skenario A B C'!$K$23))</f>
        <v/>
      </c>
      <c r="E67">
        <f>IF(2&lt;'Skenario A B C'!$E$23,0,MAX(0,'Skenario A B C'!$H$23-'Skenario A B C'!$K$23))</f>
        <v/>
      </c>
      <c r="F67">
        <f>IF(3&lt;'Skenario A B C'!$E$23,0,MAX(0,'Skenario A B C'!$H$23-'Skenario A B C'!$K$23))</f>
        <v/>
      </c>
      <c r="G67">
        <f>IF(4&lt;'Skenario A B C'!$E$23,0,MAX(0,'Skenario A B C'!$I$23-'Skenario A B C'!$K$23))</f>
        <v/>
      </c>
      <c r="H67">
        <f>IF(5&lt;'Skenario A B C'!$E$23,0,MAX(0,'Skenario A B C'!$I$23-'Skenario A B C'!$K$23))</f>
        <v/>
      </c>
      <c r="I67">
        <f>IF(6&lt;'Skenario A B C'!$E$23,0,MAX(0,'Skenario A B C'!$I$23-'Skenario A B C'!$K$23))</f>
        <v/>
      </c>
      <c r="J67">
        <f>IF(7&lt;'Skenario A B C'!$E$23,0,MAX(0,'Skenario A B C'!$I$23-'Skenario A B C'!$K$23))</f>
        <v/>
      </c>
      <c r="K67">
        <f>IF(8&lt;'Skenario A B C'!$E$23,0,MAX(0,'Skenario A B C'!$I$23-'Skenario A B C'!$K$23))</f>
        <v/>
      </c>
      <c r="L67">
        <f>IF(9&lt;'Skenario A B C'!$E$23,0,MAX(0,'Skenario A B C'!$I$23-'Skenario A B C'!$K$23))</f>
        <v/>
      </c>
      <c r="M67">
        <f>IF(10&lt;'Skenario A B C'!$E$23,0,MAX(0,'Skenario A B C'!$I$23-'Skenario A B C'!$K$23))</f>
        <v/>
      </c>
      <c r="N67">
        <f>IF(11&lt;'Skenario A B C'!$E$23,0,MAX(0,'Skenario A B C'!$I$23-'Skenario A B C'!$K$23))</f>
        <v/>
      </c>
      <c r="O67">
        <f>IF(12&lt;'Skenario A B C'!$E$23,0,MAX(0,'Skenario A B C'!$I$23-'Skenario A B C'!$K$23))</f>
        <v/>
      </c>
      <c r="P67">
        <f>IF(13&lt;'Skenario A B C'!$E$23,0,MAX(0,'Skenario A B C'!$J$23-'Skenario A B C'!$K$23))</f>
        <v/>
      </c>
      <c r="Q67">
        <f>IF(14&lt;'Skenario A B C'!$E$23,0,MAX(0,'Skenario A B C'!$J$23-'Skenario A B C'!$K$23))</f>
        <v/>
      </c>
      <c r="R67">
        <f>IF(15&lt;'Skenario A B C'!$E$23,0,MAX(0,'Skenario A B C'!$J$23-'Skenario A B C'!$K$23))</f>
        <v/>
      </c>
      <c r="S67">
        <f>IF(16&lt;'Skenario A B C'!$E$23,0,MAX(0,'Skenario A B C'!$J$23-'Skenario A B C'!$K$23))</f>
        <v/>
      </c>
      <c r="T67">
        <f>IF(17&lt;'Skenario A B C'!$E$23,0,MAX(0,'Skenario A B C'!$J$23-'Skenario A B C'!$K$23))</f>
        <v/>
      </c>
      <c r="U67">
        <f>IF(18&lt;'Skenario A B C'!$E$23,0,MAX(0,'Skenario A B C'!$J$23-'Skenario A B C'!$K$23))</f>
        <v/>
      </c>
      <c r="V67">
        <f>IF(19&lt;'Skenario A B C'!$E$23,0,MAX(0,'Skenario A B C'!$J$23-'Skenario A B C'!$K$23))</f>
        <v/>
      </c>
      <c r="W67">
        <f>IF(20&lt;'Skenario A B C'!$E$23,0,MAX(0,'Skenario A B C'!$J$23-'Skenario A B C'!$K$23))</f>
        <v/>
      </c>
      <c r="X67">
        <f>IF(21&lt;'Skenario A B C'!$E$23,0,MAX(0,'Skenario A B C'!$J$23-'Skenario A B C'!$K$23))</f>
        <v/>
      </c>
      <c r="Y67">
        <f>IF(22&lt;'Skenario A B C'!$E$23,0,MAX(0,'Skenario A B C'!$J$23-'Skenario A B C'!$K$23))</f>
        <v/>
      </c>
      <c r="Z67">
        <f>IF(23&lt;'Skenario A B C'!$E$23,0,MAX(0,'Skenario A B C'!$J$23-'Skenario A B C'!$K$23))</f>
        <v/>
      </c>
      <c r="AA67">
        <f>IF(24&lt;'Skenario A B C'!$E$23,0,MAX(0,'Skenario A B C'!$J$23-'Skenario A B C'!$K$23))</f>
        <v/>
      </c>
    </row>
    <row r="68">
      <c r="A68" t="inlineStr">
        <is>
          <t>Direktur Operasi (COO)</t>
        </is>
      </c>
      <c r="B68" s="6">
        <f>'Skenario A B C'!$F$24</f>
        <v/>
      </c>
      <c r="D68">
        <f>IF(1&lt;'Skenario A B C'!$E$24,0,MAX(0,'Skenario A B C'!$H$24-'Skenario A B C'!$K$24))</f>
        <v/>
      </c>
      <c r="E68">
        <f>IF(2&lt;'Skenario A B C'!$E$24,0,MAX(0,'Skenario A B C'!$H$24-'Skenario A B C'!$K$24))</f>
        <v/>
      </c>
      <c r="F68">
        <f>IF(3&lt;'Skenario A B C'!$E$24,0,MAX(0,'Skenario A B C'!$H$24-'Skenario A B C'!$K$24))</f>
        <v/>
      </c>
      <c r="G68">
        <f>IF(4&lt;'Skenario A B C'!$E$24,0,MAX(0,'Skenario A B C'!$I$24-'Skenario A B C'!$K$24))</f>
        <v/>
      </c>
      <c r="H68">
        <f>IF(5&lt;'Skenario A B C'!$E$24,0,MAX(0,'Skenario A B C'!$I$24-'Skenario A B C'!$K$24))</f>
        <v/>
      </c>
      <c r="I68">
        <f>IF(6&lt;'Skenario A B C'!$E$24,0,MAX(0,'Skenario A B C'!$I$24-'Skenario A B C'!$K$24))</f>
        <v/>
      </c>
      <c r="J68">
        <f>IF(7&lt;'Skenario A B C'!$E$24,0,MAX(0,'Skenario A B C'!$I$24-'Skenario A B C'!$K$24))</f>
        <v/>
      </c>
      <c r="K68">
        <f>IF(8&lt;'Skenario A B C'!$E$24,0,MAX(0,'Skenario A B C'!$I$24-'Skenario A B C'!$K$24))</f>
        <v/>
      </c>
      <c r="L68">
        <f>IF(9&lt;'Skenario A B C'!$E$24,0,MAX(0,'Skenario A B C'!$I$24-'Skenario A B C'!$K$24))</f>
        <v/>
      </c>
      <c r="M68">
        <f>IF(10&lt;'Skenario A B C'!$E$24,0,MAX(0,'Skenario A B C'!$I$24-'Skenario A B C'!$K$24))</f>
        <v/>
      </c>
      <c r="N68">
        <f>IF(11&lt;'Skenario A B C'!$E$24,0,MAX(0,'Skenario A B C'!$I$24-'Skenario A B C'!$K$24))</f>
        <v/>
      </c>
      <c r="O68">
        <f>IF(12&lt;'Skenario A B C'!$E$24,0,MAX(0,'Skenario A B C'!$I$24-'Skenario A B C'!$K$24))</f>
        <v/>
      </c>
      <c r="P68">
        <f>IF(13&lt;'Skenario A B C'!$E$24,0,MAX(0,'Skenario A B C'!$J$24-'Skenario A B C'!$K$24))</f>
        <v/>
      </c>
      <c r="Q68">
        <f>IF(14&lt;'Skenario A B C'!$E$24,0,MAX(0,'Skenario A B C'!$J$24-'Skenario A B C'!$K$24))</f>
        <v/>
      </c>
      <c r="R68">
        <f>IF(15&lt;'Skenario A B C'!$E$24,0,MAX(0,'Skenario A B C'!$J$24-'Skenario A B C'!$K$24))</f>
        <v/>
      </c>
      <c r="S68">
        <f>IF(16&lt;'Skenario A B C'!$E$24,0,MAX(0,'Skenario A B C'!$J$24-'Skenario A B C'!$K$24))</f>
        <v/>
      </c>
      <c r="T68">
        <f>IF(17&lt;'Skenario A B C'!$E$24,0,MAX(0,'Skenario A B C'!$J$24-'Skenario A B C'!$K$24))</f>
        <v/>
      </c>
      <c r="U68">
        <f>IF(18&lt;'Skenario A B C'!$E$24,0,MAX(0,'Skenario A B C'!$J$24-'Skenario A B C'!$K$24))</f>
        <v/>
      </c>
      <c r="V68">
        <f>IF(19&lt;'Skenario A B C'!$E$24,0,MAX(0,'Skenario A B C'!$J$24-'Skenario A B C'!$K$24))</f>
        <v/>
      </c>
      <c r="W68">
        <f>IF(20&lt;'Skenario A B C'!$E$24,0,MAX(0,'Skenario A B C'!$J$24-'Skenario A B C'!$K$24))</f>
        <v/>
      </c>
      <c r="X68">
        <f>IF(21&lt;'Skenario A B C'!$E$24,0,MAX(0,'Skenario A B C'!$J$24-'Skenario A B C'!$K$24))</f>
        <v/>
      </c>
      <c r="Y68">
        <f>IF(22&lt;'Skenario A B C'!$E$24,0,MAX(0,'Skenario A B C'!$J$24-'Skenario A B C'!$K$24))</f>
        <v/>
      </c>
      <c r="Z68">
        <f>IF(23&lt;'Skenario A B C'!$E$24,0,MAX(0,'Skenario A B C'!$J$24-'Skenario A B C'!$K$24))</f>
        <v/>
      </c>
      <c r="AA68">
        <f>IF(24&lt;'Skenario A B C'!$E$24,0,MAX(0,'Skenario A B C'!$J$24-'Skenario A B C'!$K$24))</f>
        <v/>
      </c>
    </row>
    <row r="69">
      <c r="A69" t="inlineStr">
        <is>
          <t>City Manager Pekanbaru</t>
        </is>
      </c>
      <c r="B69" s="6">
        <f>'Skenario A B C'!$F$25</f>
        <v/>
      </c>
      <c r="D69">
        <f>IF(1&lt;'Skenario A B C'!$E$25,0,MAX(0,'Skenario A B C'!$H$25-'Skenario A B C'!$K$25))</f>
        <v/>
      </c>
      <c r="E69">
        <f>IF(2&lt;'Skenario A B C'!$E$25,0,MAX(0,'Skenario A B C'!$H$25-'Skenario A B C'!$K$25))</f>
        <v/>
      </c>
      <c r="F69">
        <f>IF(3&lt;'Skenario A B C'!$E$25,0,MAX(0,'Skenario A B C'!$H$25-'Skenario A B C'!$K$25))</f>
        <v/>
      </c>
      <c r="G69">
        <f>IF(4&lt;'Skenario A B C'!$E$25,0,MAX(0,'Skenario A B C'!$I$25-'Skenario A B C'!$K$25))</f>
        <v/>
      </c>
      <c r="H69">
        <f>IF(5&lt;'Skenario A B C'!$E$25,0,MAX(0,'Skenario A B C'!$I$25-'Skenario A B C'!$K$25))</f>
        <v/>
      </c>
      <c r="I69">
        <f>IF(6&lt;'Skenario A B C'!$E$25,0,MAX(0,'Skenario A B C'!$I$25-'Skenario A B C'!$K$25))</f>
        <v/>
      </c>
      <c r="J69">
        <f>IF(7&lt;'Skenario A B C'!$E$25,0,MAX(0,'Skenario A B C'!$I$25-'Skenario A B C'!$K$25))</f>
        <v/>
      </c>
      <c r="K69">
        <f>IF(8&lt;'Skenario A B C'!$E$25,0,MAX(0,'Skenario A B C'!$I$25-'Skenario A B C'!$K$25))</f>
        <v/>
      </c>
      <c r="L69">
        <f>IF(9&lt;'Skenario A B C'!$E$25,0,MAX(0,'Skenario A B C'!$I$25-'Skenario A B C'!$K$25))</f>
        <v/>
      </c>
      <c r="M69">
        <f>IF(10&lt;'Skenario A B C'!$E$25,0,MAX(0,'Skenario A B C'!$I$25-'Skenario A B C'!$K$25))</f>
        <v/>
      </c>
      <c r="N69">
        <f>IF(11&lt;'Skenario A B C'!$E$25,0,MAX(0,'Skenario A B C'!$I$25-'Skenario A B C'!$K$25))</f>
        <v/>
      </c>
      <c r="O69">
        <f>IF(12&lt;'Skenario A B C'!$E$25,0,MAX(0,'Skenario A B C'!$I$25-'Skenario A B C'!$K$25))</f>
        <v/>
      </c>
      <c r="P69">
        <f>IF(13&lt;'Skenario A B C'!$E$25,0,MAX(0,'Skenario A B C'!$J$25-'Skenario A B C'!$K$25))</f>
        <v/>
      </c>
      <c r="Q69">
        <f>IF(14&lt;'Skenario A B C'!$E$25,0,MAX(0,'Skenario A B C'!$J$25-'Skenario A B C'!$K$25))</f>
        <v/>
      </c>
      <c r="R69">
        <f>IF(15&lt;'Skenario A B C'!$E$25,0,MAX(0,'Skenario A B C'!$J$25-'Skenario A B C'!$K$25))</f>
        <v/>
      </c>
      <c r="S69">
        <f>IF(16&lt;'Skenario A B C'!$E$25,0,MAX(0,'Skenario A B C'!$J$25-'Skenario A B C'!$K$25))</f>
        <v/>
      </c>
      <c r="T69">
        <f>IF(17&lt;'Skenario A B C'!$E$25,0,MAX(0,'Skenario A B C'!$J$25-'Skenario A B C'!$K$25))</f>
        <v/>
      </c>
      <c r="U69">
        <f>IF(18&lt;'Skenario A B C'!$E$25,0,MAX(0,'Skenario A B C'!$J$25-'Skenario A B C'!$K$25))</f>
        <v/>
      </c>
      <c r="V69">
        <f>IF(19&lt;'Skenario A B C'!$E$25,0,MAX(0,'Skenario A B C'!$J$25-'Skenario A B C'!$K$25))</f>
        <v/>
      </c>
      <c r="W69">
        <f>IF(20&lt;'Skenario A B C'!$E$25,0,MAX(0,'Skenario A B C'!$J$25-'Skenario A B C'!$K$25))</f>
        <v/>
      </c>
      <c r="X69">
        <f>IF(21&lt;'Skenario A B C'!$E$25,0,MAX(0,'Skenario A B C'!$J$25-'Skenario A B C'!$K$25))</f>
        <v/>
      </c>
      <c r="Y69">
        <f>IF(22&lt;'Skenario A B C'!$E$25,0,MAX(0,'Skenario A B C'!$J$25-'Skenario A B C'!$K$25))</f>
        <v/>
      </c>
      <c r="Z69">
        <f>IF(23&lt;'Skenario A B C'!$E$25,0,MAX(0,'Skenario A B C'!$J$25-'Skenario A B C'!$K$25))</f>
        <v/>
      </c>
      <c r="AA69">
        <f>IF(24&lt;'Skenario A B C'!$E$25,0,MAX(0,'Skenario A B C'!$J$25-'Skenario A B C'!$K$25))</f>
        <v/>
      </c>
    </row>
    <row r="70">
      <c r="A70" t="inlineStr">
        <is>
          <t>Ops Supervisor Pekanbaru</t>
        </is>
      </c>
      <c r="B70" s="6">
        <f>'Skenario A B C'!$F$26</f>
        <v/>
      </c>
      <c r="D70">
        <f>IF(1&lt;'Skenario A B C'!$E$26,0,MAX(0,'Skenario A B C'!$H$26-'Skenario A B C'!$K$26))</f>
        <v/>
      </c>
      <c r="E70">
        <f>IF(2&lt;'Skenario A B C'!$E$26,0,MAX(0,'Skenario A B C'!$H$26-'Skenario A B C'!$K$26))</f>
        <v/>
      </c>
      <c r="F70">
        <f>IF(3&lt;'Skenario A B C'!$E$26,0,MAX(0,'Skenario A B C'!$H$26-'Skenario A B C'!$K$26))</f>
        <v/>
      </c>
      <c r="G70">
        <f>IF(4&lt;'Skenario A B C'!$E$26,0,MAX(0,'Skenario A B C'!$I$26-'Skenario A B C'!$K$26))</f>
        <v/>
      </c>
      <c r="H70">
        <f>IF(5&lt;'Skenario A B C'!$E$26,0,MAX(0,'Skenario A B C'!$I$26-'Skenario A B C'!$K$26))</f>
        <v/>
      </c>
      <c r="I70">
        <f>IF(6&lt;'Skenario A B C'!$E$26,0,MAX(0,'Skenario A B C'!$I$26-'Skenario A B C'!$K$26))</f>
        <v/>
      </c>
      <c r="J70">
        <f>IF(7&lt;'Skenario A B C'!$E$26,0,MAX(0,'Skenario A B C'!$I$26-'Skenario A B C'!$K$26))</f>
        <v/>
      </c>
      <c r="K70">
        <f>IF(8&lt;'Skenario A B C'!$E$26,0,MAX(0,'Skenario A B C'!$I$26-'Skenario A B C'!$K$26))</f>
        <v/>
      </c>
      <c r="L70">
        <f>IF(9&lt;'Skenario A B C'!$E$26,0,MAX(0,'Skenario A B C'!$I$26-'Skenario A B C'!$K$26))</f>
        <v/>
      </c>
      <c r="M70">
        <f>IF(10&lt;'Skenario A B C'!$E$26,0,MAX(0,'Skenario A B C'!$I$26-'Skenario A B C'!$K$26))</f>
        <v/>
      </c>
      <c r="N70">
        <f>IF(11&lt;'Skenario A B C'!$E$26,0,MAX(0,'Skenario A B C'!$I$26-'Skenario A B C'!$K$26))</f>
        <v/>
      </c>
      <c r="O70">
        <f>IF(12&lt;'Skenario A B C'!$E$26,0,MAX(0,'Skenario A B C'!$I$26-'Skenario A B C'!$K$26))</f>
        <v/>
      </c>
      <c r="P70">
        <f>IF(13&lt;'Skenario A B C'!$E$26,0,MAX(0,'Skenario A B C'!$J$26-'Skenario A B C'!$K$26))</f>
        <v/>
      </c>
      <c r="Q70">
        <f>IF(14&lt;'Skenario A B C'!$E$26,0,MAX(0,'Skenario A B C'!$J$26-'Skenario A B C'!$K$26))</f>
        <v/>
      </c>
      <c r="R70">
        <f>IF(15&lt;'Skenario A B C'!$E$26,0,MAX(0,'Skenario A B C'!$J$26-'Skenario A B C'!$K$26))</f>
        <v/>
      </c>
      <c r="S70">
        <f>IF(16&lt;'Skenario A B C'!$E$26,0,MAX(0,'Skenario A B C'!$J$26-'Skenario A B C'!$K$26))</f>
        <v/>
      </c>
      <c r="T70">
        <f>IF(17&lt;'Skenario A B C'!$E$26,0,MAX(0,'Skenario A B C'!$J$26-'Skenario A B C'!$K$26))</f>
        <v/>
      </c>
      <c r="U70">
        <f>IF(18&lt;'Skenario A B C'!$E$26,0,MAX(0,'Skenario A B C'!$J$26-'Skenario A B C'!$K$26))</f>
        <v/>
      </c>
      <c r="V70">
        <f>IF(19&lt;'Skenario A B C'!$E$26,0,MAX(0,'Skenario A B C'!$J$26-'Skenario A B C'!$K$26))</f>
        <v/>
      </c>
      <c r="W70">
        <f>IF(20&lt;'Skenario A B C'!$E$26,0,MAX(0,'Skenario A B C'!$J$26-'Skenario A B C'!$K$26))</f>
        <v/>
      </c>
      <c r="X70">
        <f>IF(21&lt;'Skenario A B C'!$E$26,0,MAX(0,'Skenario A B C'!$J$26-'Skenario A B C'!$K$26))</f>
        <v/>
      </c>
      <c r="Y70">
        <f>IF(22&lt;'Skenario A B C'!$E$26,0,MAX(0,'Skenario A B C'!$J$26-'Skenario A B C'!$K$26))</f>
        <v/>
      </c>
      <c r="Z70">
        <f>IF(23&lt;'Skenario A B C'!$E$26,0,MAX(0,'Skenario A B C'!$J$26-'Skenario A B C'!$K$26))</f>
        <v/>
      </c>
      <c r="AA70">
        <f>IF(24&lt;'Skenario A B C'!$E$26,0,MAX(0,'Skenario A B C'!$J$26-'Skenario A B C'!$K$26))</f>
        <v/>
      </c>
    </row>
    <row r="71">
      <c r="A71" t="inlineStr">
        <is>
          <t>Partner Acquisition Pekanbaru</t>
        </is>
      </c>
      <c r="B71" s="6">
        <f>'Skenario A B C'!$F$27</f>
        <v/>
      </c>
      <c r="D71">
        <f>IF(1&lt;'Skenario A B C'!$E$27,0,MAX(0,'Skenario A B C'!$H$27-'Skenario A B C'!$K$27))</f>
        <v/>
      </c>
      <c r="E71">
        <f>IF(2&lt;'Skenario A B C'!$E$27,0,MAX(0,'Skenario A B C'!$H$27-'Skenario A B C'!$K$27))</f>
        <v/>
      </c>
      <c r="F71">
        <f>IF(3&lt;'Skenario A B C'!$E$27,0,MAX(0,'Skenario A B C'!$H$27-'Skenario A B C'!$K$27))</f>
        <v/>
      </c>
      <c r="G71">
        <f>IF(4&lt;'Skenario A B C'!$E$27,0,MAX(0,'Skenario A B C'!$I$27-'Skenario A B C'!$K$27))</f>
        <v/>
      </c>
      <c r="H71">
        <f>IF(5&lt;'Skenario A B C'!$E$27,0,MAX(0,'Skenario A B C'!$I$27-'Skenario A B C'!$K$27))</f>
        <v/>
      </c>
      <c r="I71">
        <f>IF(6&lt;'Skenario A B C'!$E$27,0,MAX(0,'Skenario A B C'!$I$27-'Skenario A B C'!$K$27))</f>
        <v/>
      </c>
      <c r="J71">
        <f>IF(7&lt;'Skenario A B C'!$E$27,0,MAX(0,'Skenario A B C'!$I$27-'Skenario A B C'!$K$27))</f>
        <v/>
      </c>
      <c r="K71">
        <f>IF(8&lt;'Skenario A B C'!$E$27,0,MAX(0,'Skenario A B C'!$I$27-'Skenario A B C'!$K$27))</f>
        <v/>
      </c>
      <c r="L71">
        <f>IF(9&lt;'Skenario A B C'!$E$27,0,MAX(0,'Skenario A B C'!$I$27-'Skenario A B C'!$K$27))</f>
        <v/>
      </c>
      <c r="M71">
        <f>IF(10&lt;'Skenario A B C'!$E$27,0,MAX(0,'Skenario A B C'!$I$27-'Skenario A B C'!$K$27))</f>
        <v/>
      </c>
      <c r="N71">
        <f>IF(11&lt;'Skenario A B C'!$E$27,0,MAX(0,'Skenario A B C'!$I$27-'Skenario A B C'!$K$27))</f>
        <v/>
      </c>
      <c r="O71">
        <f>IF(12&lt;'Skenario A B C'!$E$27,0,MAX(0,'Skenario A B C'!$I$27-'Skenario A B C'!$K$27))</f>
        <v/>
      </c>
      <c r="P71">
        <f>IF(13&lt;'Skenario A B C'!$E$27,0,MAX(0,'Skenario A B C'!$J$27-'Skenario A B C'!$K$27))</f>
        <v/>
      </c>
      <c r="Q71">
        <f>IF(14&lt;'Skenario A B C'!$E$27,0,MAX(0,'Skenario A B C'!$J$27-'Skenario A B C'!$K$27))</f>
        <v/>
      </c>
      <c r="R71">
        <f>IF(15&lt;'Skenario A B C'!$E$27,0,MAX(0,'Skenario A B C'!$J$27-'Skenario A B C'!$K$27))</f>
        <v/>
      </c>
      <c r="S71">
        <f>IF(16&lt;'Skenario A B C'!$E$27,0,MAX(0,'Skenario A B C'!$J$27-'Skenario A B C'!$K$27))</f>
        <v/>
      </c>
      <c r="T71">
        <f>IF(17&lt;'Skenario A B C'!$E$27,0,MAX(0,'Skenario A B C'!$J$27-'Skenario A B C'!$K$27))</f>
        <v/>
      </c>
      <c r="U71">
        <f>IF(18&lt;'Skenario A B C'!$E$27,0,MAX(0,'Skenario A B C'!$J$27-'Skenario A B C'!$K$27))</f>
        <v/>
      </c>
      <c r="V71">
        <f>IF(19&lt;'Skenario A B C'!$E$27,0,MAX(0,'Skenario A B C'!$J$27-'Skenario A B C'!$K$27))</f>
        <v/>
      </c>
      <c r="W71">
        <f>IF(20&lt;'Skenario A B C'!$E$27,0,MAX(0,'Skenario A B C'!$J$27-'Skenario A B C'!$K$27))</f>
        <v/>
      </c>
      <c r="X71">
        <f>IF(21&lt;'Skenario A B C'!$E$27,0,MAX(0,'Skenario A B C'!$J$27-'Skenario A B C'!$K$27))</f>
        <v/>
      </c>
      <c r="Y71">
        <f>IF(22&lt;'Skenario A B C'!$E$27,0,MAX(0,'Skenario A B C'!$J$27-'Skenario A B C'!$K$27))</f>
        <v/>
      </c>
      <c r="Z71">
        <f>IF(23&lt;'Skenario A B C'!$E$27,0,MAX(0,'Skenario A B C'!$J$27-'Skenario A B C'!$K$27))</f>
        <v/>
      </c>
      <c r="AA71">
        <f>IF(24&lt;'Skenario A B C'!$E$27,0,MAX(0,'Skenario A B C'!$J$27-'Skenario A B C'!$K$27))</f>
        <v/>
      </c>
    </row>
    <row r="72">
      <c r="A72" t="inlineStr">
        <is>
          <t>Head of Customer Experience</t>
        </is>
      </c>
      <c r="B72" s="6">
        <f>'Skenario A B C'!$F$28</f>
        <v/>
      </c>
      <c r="D72">
        <f>IF(1&lt;'Skenario A B C'!$E$28,0,MAX(0,'Skenario A B C'!$H$28-'Skenario A B C'!$K$28))</f>
        <v/>
      </c>
      <c r="E72">
        <f>IF(2&lt;'Skenario A B C'!$E$28,0,MAX(0,'Skenario A B C'!$H$28-'Skenario A B C'!$K$28))</f>
        <v/>
      </c>
      <c r="F72">
        <f>IF(3&lt;'Skenario A B C'!$E$28,0,MAX(0,'Skenario A B C'!$H$28-'Skenario A B C'!$K$28))</f>
        <v/>
      </c>
      <c r="G72">
        <f>IF(4&lt;'Skenario A B C'!$E$28,0,MAX(0,'Skenario A B C'!$I$28-'Skenario A B C'!$K$28))</f>
        <v/>
      </c>
      <c r="H72">
        <f>IF(5&lt;'Skenario A B C'!$E$28,0,MAX(0,'Skenario A B C'!$I$28-'Skenario A B C'!$K$28))</f>
        <v/>
      </c>
      <c r="I72">
        <f>IF(6&lt;'Skenario A B C'!$E$28,0,MAX(0,'Skenario A B C'!$I$28-'Skenario A B C'!$K$28))</f>
        <v/>
      </c>
      <c r="J72">
        <f>IF(7&lt;'Skenario A B C'!$E$28,0,MAX(0,'Skenario A B C'!$I$28-'Skenario A B C'!$K$28))</f>
        <v/>
      </c>
      <c r="K72">
        <f>IF(8&lt;'Skenario A B C'!$E$28,0,MAX(0,'Skenario A B C'!$I$28-'Skenario A B C'!$K$28))</f>
        <v/>
      </c>
      <c r="L72">
        <f>IF(9&lt;'Skenario A B C'!$E$28,0,MAX(0,'Skenario A B C'!$I$28-'Skenario A B C'!$K$28))</f>
        <v/>
      </c>
      <c r="M72">
        <f>IF(10&lt;'Skenario A B C'!$E$28,0,MAX(0,'Skenario A B C'!$I$28-'Skenario A B C'!$K$28))</f>
        <v/>
      </c>
      <c r="N72">
        <f>IF(11&lt;'Skenario A B C'!$E$28,0,MAX(0,'Skenario A B C'!$I$28-'Skenario A B C'!$K$28))</f>
        <v/>
      </c>
      <c r="O72">
        <f>IF(12&lt;'Skenario A B C'!$E$28,0,MAX(0,'Skenario A B C'!$I$28-'Skenario A B C'!$K$28))</f>
        <v/>
      </c>
      <c r="P72">
        <f>IF(13&lt;'Skenario A B C'!$E$28,0,MAX(0,'Skenario A B C'!$J$28-'Skenario A B C'!$K$28))</f>
        <v/>
      </c>
      <c r="Q72">
        <f>IF(14&lt;'Skenario A B C'!$E$28,0,MAX(0,'Skenario A B C'!$J$28-'Skenario A B C'!$K$28))</f>
        <v/>
      </c>
      <c r="R72">
        <f>IF(15&lt;'Skenario A B C'!$E$28,0,MAX(0,'Skenario A B C'!$J$28-'Skenario A B C'!$K$28))</f>
        <v/>
      </c>
      <c r="S72">
        <f>IF(16&lt;'Skenario A B C'!$E$28,0,MAX(0,'Skenario A B C'!$J$28-'Skenario A B C'!$K$28))</f>
        <v/>
      </c>
      <c r="T72">
        <f>IF(17&lt;'Skenario A B C'!$E$28,0,MAX(0,'Skenario A B C'!$J$28-'Skenario A B C'!$K$28))</f>
        <v/>
      </c>
      <c r="U72">
        <f>IF(18&lt;'Skenario A B C'!$E$28,0,MAX(0,'Skenario A B C'!$J$28-'Skenario A B C'!$K$28))</f>
        <v/>
      </c>
      <c r="V72">
        <f>IF(19&lt;'Skenario A B C'!$E$28,0,MAX(0,'Skenario A B C'!$J$28-'Skenario A B C'!$K$28))</f>
        <v/>
      </c>
      <c r="W72">
        <f>IF(20&lt;'Skenario A B C'!$E$28,0,MAX(0,'Skenario A B C'!$J$28-'Skenario A B C'!$K$28))</f>
        <v/>
      </c>
      <c r="X72">
        <f>IF(21&lt;'Skenario A B C'!$E$28,0,MAX(0,'Skenario A B C'!$J$28-'Skenario A B C'!$K$28))</f>
        <v/>
      </c>
      <c r="Y72">
        <f>IF(22&lt;'Skenario A B C'!$E$28,0,MAX(0,'Skenario A B C'!$J$28-'Skenario A B C'!$K$28))</f>
        <v/>
      </c>
      <c r="Z72">
        <f>IF(23&lt;'Skenario A B C'!$E$28,0,MAX(0,'Skenario A B C'!$J$28-'Skenario A B C'!$K$28))</f>
        <v/>
      </c>
      <c r="AA72">
        <f>IF(24&lt;'Skenario A B C'!$E$28,0,MAX(0,'Skenario A B C'!$J$28-'Skenario A B C'!$K$28))</f>
        <v/>
      </c>
    </row>
    <row r="73">
      <c r="A73" t="inlineStr">
        <is>
          <t>CS Agent Pekanbaru (shift)</t>
        </is>
      </c>
      <c r="B73" s="6">
        <f>'Skenario A B C'!$F$29</f>
        <v/>
      </c>
      <c r="D73">
        <f>IF(1&lt;'Skenario A B C'!$E$29,0,MAX(0,'Skenario A B C'!$H$29-'Skenario A B C'!$K$29))</f>
        <v/>
      </c>
      <c r="E73">
        <f>IF(2&lt;'Skenario A B C'!$E$29,0,MAX(0,'Skenario A B C'!$H$29-'Skenario A B C'!$K$29))</f>
        <v/>
      </c>
      <c r="F73">
        <f>IF(3&lt;'Skenario A B C'!$E$29,0,MAX(0,'Skenario A B C'!$H$29-'Skenario A B C'!$K$29))</f>
        <v/>
      </c>
      <c r="G73">
        <f>IF(4&lt;'Skenario A B C'!$E$29,0,MAX(0,'Skenario A B C'!$I$29-'Skenario A B C'!$K$29))</f>
        <v/>
      </c>
      <c r="H73">
        <f>IF(5&lt;'Skenario A B C'!$E$29,0,MAX(0,'Skenario A B C'!$I$29-'Skenario A B C'!$K$29))</f>
        <v/>
      </c>
      <c r="I73">
        <f>IF(6&lt;'Skenario A B C'!$E$29,0,MAX(0,'Skenario A B C'!$I$29-'Skenario A B C'!$K$29))</f>
        <v/>
      </c>
      <c r="J73">
        <f>IF(7&lt;'Skenario A B C'!$E$29,0,MAX(0,'Skenario A B C'!$I$29-'Skenario A B C'!$K$29))</f>
        <v/>
      </c>
      <c r="K73">
        <f>IF(8&lt;'Skenario A B C'!$E$29,0,MAX(0,'Skenario A B C'!$I$29-'Skenario A B C'!$K$29))</f>
        <v/>
      </c>
      <c r="L73">
        <f>IF(9&lt;'Skenario A B C'!$E$29,0,MAX(0,'Skenario A B C'!$I$29-'Skenario A B C'!$K$29))</f>
        <v/>
      </c>
      <c r="M73">
        <f>IF(10&lt;'Skenario A B C'!$E$29,0,MAX(0,'Skenario A B C'!$I$29-'Skenario A B C'!$K$29))</f>
        <v/>
      </c>
      <c r="N73">
        <f>IF(11&lt;'Skenario A B C'!$E$29,0,MAX(0,'Skenario A B C'!$I$29-'Skenario A B C'!$K$29))</f>
        <v/>
      </c>
      <c r="O73">
        <f>IF(12&lt;'Skenario A B C'!$E$29,0,MAX(0,'Skenario A B C'!$I$29-'Skenario A B C'!$K$29))</f>
        <v/>
      </c>
      <c r="P73">
        <f>IF(13&lt;'Skenario A B C'!$E$29,0,MAX(0,'Skenario A B C'!$J$29-'Skenario A B C'!$K$29))</f>
        <v/>
      </c>
      <c r="Q73">
        <f>IF(14&lt;'Skenario A B C'!$E$29,0,MAX(0,'Skenario A B C'!$J$29-'Skenario A B C'!$K$29))</f>
        <v/>
      </c>
      <c r="R73">
        <f>IF(15&lt;'Skenario A B C'!$E$29,0,MAX(0,'Skenario A B C'!$J$29-'Skenario A B C'!$K$29))</f>
        <v/>
      </c>
      <c r="S73">
        <f>IF(16&lt;'Skenario A B C'!$E$29,0,MAX(0,'Skenario A B C'!$J$29-'Skenario A B C'!$K$29))</f>
        <v/>
      </c>
      <c r="T73">
        <f>IF(17&lt;'Skenario A B C'!$E$29,0,MAX(0,'Skenario A B C'!$J$29-'Skenario A B C'!$K$29))</f>
        <v/>
      </c>
      <c r="U73">
        <f>IF(18&lt;'Skenario A B C'!$E$29,0,MAX(0,'Skenario A B C'!$J$29-'Skenario A B C'!$K$29))</f>
        <v/>
      </c>
      <c r="V73">
        <f>IF(19&lt;'Skenario A B C'!$E$29,0,MAX(0,'Skenario A B C'!$J$29-'Skenario A B C'!$K$29))</f>
        <v/>
      </c>
      <c r="W73">
        <f>IF(20&lt;'Skenario A B C'!$E$29,0,MAX(0,'Skenario A B C'!$J$29-'Skenario A B C'!$K$29))</f>
        <v/>
      </c>
      <c r="X73">
        <f>IF(21&lt;'Skenario A B C'!$E$29,0,MAX(0,'Skenario A B C'!$J$29-'Skenario A B C'!$K$29))</f>
        <v/>
      </c>
      <c r="Y73">
        <f>IF(22&lt;'Skenario A B C'!$E$29,0,MAX(0,'Skenario A B C'!$J$29-'Skenario A B C'!$K$29))</f>
        <v/>
      </c>
      <c r="Z73">
        <f>IF(23&lt;'Skenario A B C'!$E$29,0,MAX(0,'Skenario A B C'!$J$29-'Skenario A B C'!$K$29))</f>
        <v/>
      </c>
      <c r="AA73">
        <f>IF(24&lt;'Skenario A B C'!$E$29,0,MAX(0,'Skenario A B C'!$J$29-'Skenario A B C'!$K$29))</f>
        <v/>
      </c>
    </row>
    <row r="74">
      <c r="A74" t="inlineStr">
        <is>
          <t>Trust &amp; Safety Officer</t>
        </is>
      </c>
      <c r="B74" s="6">
        <f>'Skenario A B C'!$F$30</f>
        <v/>
      </c>
      <c r="D74">
        <f>IF(1&lt;'Skenario A B C'!$E$30,0,MAX(0,'Skenario A B C'!$H$30-'Skenario A B C'!$K$30))</f>
        <v/>
      </c>
      <c r="E74">
        <f>IF(2&lt;'Skenario A B C'!$E$30,0,MAX(0,'Skenario A B C'!$H$30-'Skenario A B C'!$K$30))</f>
        <v/>
      </c>
      <c r="F74">
        <f>IF(3&lt;'Skenario A B C'!$E$30,0,MAX(0,'Skenario A B C'!$H$30-'Skenario A B C'!$K$30))</f>
        <v/>
      </c>
      <c r="G74">
        <f>IF(4&lt;'Skenario A B C'!$E$30,0,MAX(0,'Skenario A B C'!$I$30-'Skenario A B C'!$K$30))</f>
        <v/>
      </c>
      <c r="H74">
        <f>IF(5&lt;'Skenario A B C'!$E$30,0,MAX(0,'Skenario A B C'!$I$30-'Skenario A B C'!$K$30))</f>
        <v/>
      </c>
      <c r="I74">
        <f>IF(6&lt;'Skenario A B C'!$E$30,0,MAX(0,'Skenario A B C'!$I$30-'Skenario A B C'!$K$30))</f>
        <v/>
      </c>
      <c r="J74">
        <f>IF(7&lt;'Skenario A B C'!$E$30,0,MAX(0,'Skenario A B C'!$I$30-'Skenario A B C'!$K$30))</f>
        <v/>
      </c>
      <c r="K74">
        <f>IF(8&lt;'Skenario A B C'!$E$30,0,MAX(0,'Skenario A B C'!$I$30-'Skenario A B C'!$K$30))</f>
        <v/>
      </c>
      <c r="L74">
        <f>IF(9&lt;'Skenario A B C'!$E$30,0,MAX(0,'Skenario A B C'!$I$30-'Skenario A B C'!$K$30))</f>
        <v/>
      </c>
      <c r="M74">
        <f>IF(10&lt;'Skenario A B C'!$E$30,0,MAX(0,'Skenario A B C'!$I$30-'Skenario A B C'!$K$30))</f>
        <v/>
      </c>
      <c r="N74">
        <f>IF(11&lt;'Skenario A B C'!$E$30,0,MAX(0,'Skenario A B C'!$I$30-'Skenario A B C'!$K$30))</f>
        <v/>
      </c>
      <c r="O74">
        <f>IF(12&lt;'Skenario A B C'!$E$30,0,MAX(0,'Skenario A B C'!$I$30-'Skenario A B C'!$K$30))</f>
        <v/>
      </c>
      <c r="P74">
        <f>IF(13&lt;'Skenario A B C'!$E$30,0,MAX(0,'Skenario A B C'!$J$30-'Skenario A B C'!$K$30))</f>
        <v/>
      </c>
      <c r="Q74">
        <f>IF(14&lt;'Skenario A B C'!$E$30,0,MAX(0,'Skenario A B C'!$J$30-'Skenario A B C'!$K$30))</f>
        <v/>
      </c>
      <c r="R74">
        <f>IF(15&lt;'Skenario A B C'!$E$30,0,MAX(0,'Skenario A B C'!$J$30-'Skenario A B C'!$K$30))</f>
        <v/>
      </c>
      <c r="S74">
        <f>IF(16&lt;'Skenario A B C'!$E$30,0,MAX(0,'Skenario A B C'!$J$30-'Skenario A B C'!$K$30))</f>
        <v/>
      </c>
      <c r="T74">
        <f>IF(17&lt;'Skenario A B C'!$E$30,0,MAX(0,'Skenario A B C'!$J$30-'Skenario A B C'!$K$30))</f>
        <v/>
      </c>
      <c r="U74">
        <f>IF(18&lt;'Skenario A B C'!$E$30,0,MAX(0,'Skenario A B C'!$J$30-'Skenario A B C'!$K$30))</f>
        <v/>
      </c>
      <c r="V74">
        <f>IF(19&lt;'Skenario A B C'!$E$30,0,MAX(0,'Skenario A B C'!$J$30-'Skenario A B C'!$K$30))</f>
        <v/>
      </c>
      <c r="W74">
        <f>IF(20&lt;'Skenario A B C'!$E$30,0,MAX(0,'Skenario A B C'!$J$30-'Skenario A B C'!$K$30))</f>
        <v/>
      </c>
      <c r="X74">
        <f>IF(21&lt;'Skenario A B C'!$E$30,0,MAX(0,'Skenario A B C'!$J$30-'Skenario A B C'!$K$30))</f>
        <v/>
      </c>
      <c r="Y74">
        <f>IF(22&lt;'Skenario A B C'!$E$30,0,MAX(0,'Skenario A B C'!$J$30-'Skenario A B C'!$K$30))</f>
        <v/>
      </c>
      <c r="Z74">
        <f>IF(23&lt;'Skenario A B C'!$E$30,0,MAX(0,'Skenario A B C'!$J$30-'Skenario A B C'!$K$30))</f>
        <v/>
      </c>
      <c r="AA74">
        <f>IF(24&lt;'Skenario A B C'!$E$30,0,MAX(0,'Skenario A B C'!$J$30-'Skenario A B C'!$K$30))</f>
        <v/>
      </c>
    </row>
    <row r="75">
      <c r="A75" t="inlineStr">
        <is>
          <t>City Manager Padang</t>
        </is>
      </c>
      <c r="B75" s="6">
        <f>'Skenario A B C'!$F$31</f>
        <v/>
      </c>
      <c r="D75">
        <f>IF(1&lt;'Skenario A B C'!$E$31,0,MAX(0,'Skenario A B C'!$H$31-'Skenario A B C'!$K$31))</f>
        <v/>
      </c>
      <c r="E75">
        <f>IF(2&lt;'Skenario A B C'!$E$31,0,MAX(0,'Skenario A B C'!$H$31-'Skenario A B C'!$K$31))</f>
        <v/>
      </c>
      <c r="F75">
        <f>IF(3&lt;'Skenario A B C'!$E$31,0,MAX(0,'Skenario A B C'!$H$31-'Skenario A B C'!$K$31))</f>
        <v/>
      </c>
      <c r="G75">
        <f>IF(4&lt;'Skenario A B C'!$E$31,0,MAX(0,'Skenario A B C'!$I$31-'Skenario A B C'!$K$31))</f>
        <v/>
      </c>
      <c r="H75">
        <f>IF(5&lt;'Skenario A B C'!$E$31,0,MAX(0,'Skenario A B C'!$I$31-'Skenario A B C'!$K$31))</f>
        <v/>
      </c>
      <c r="I75">
        <f>IF(6&lt;'Skenario A B C'!$E$31,0,MAX(0,'Skenario A B C'!$I$31-'Skenario A B C'!$K$31))</f>
        <v/>
      </c>
      <c r="J75">
        <f>IF(7&lt;'Skenario A B C'!$E$31,0,MAX(0,'Skenario A B C'!$I$31-'Skenario A B C'!$K$31))</f>
        <v/>
      </c>
      <c r="K75">
        <f>IF(8&lt;'Skenario A B C'!$E$31,0,MAX(0,'Skenario A B C'!$I$31-'Skenario A B C'!$K$31))</f>
        <v/>
      </c>
      <c r="L75">
        <f>IF(9&lt;'Skenario A B C'!$E$31,0,MAX(0,'Skenario A B C'!$I$31-'Skenario A B C'!$K$31))</f>
        <v/>
      </c>
      <c r="M75">
        <f>IF(10&lt;'Skenario A B C'!$E$31,0,MAX(0,'Skenario A B C'!$I$31-'Skenario A B C'!$K$31))</f>
        <v/>
      </c>
      <c r="N75">
        <f>IF(11&lt;'Skenario A B C'!$E$31,0,MAX(0,'Skenario A B C'!$I$31-'Skenario A B C'!$K$31))</f>
        <v/>
      </c>
      <c r="O75">
        <f>IF(12&lt;'Skenario A B C'!$E$31,0,MAX(0,'Skenario A B C'!$I$31-'Skenario A B C'!$K$31))</f>
        <v/>
      </c>
      <c r="P75">
        <f>IF(13&lt;'Skenario A B C'!$E$31,0,MAX(0,'Skenario A B C'!$J$31-'Skenario A B C'!$K$31))</f>
        <v/>
      </c>
      <c r="Q75">
        <f>IF(14&lt;'Skenario A B C'!$E$31,0,MAX(0,'Skenario A B C'!$J$31-'Skenario A B C'!$K$31))</f>
        <v/>
      </c>
      <c r="R75">
        <f>IF(15&lt;'Skenario A B C'!$E$31,0,MAX(0,'Skenario A B C'!$J$31-'Skenario A B C'!$K$31))</f>
        <v/>
      </c>
      <c r="S75">
        <f>IF(16&lt;'Skenario A B C'!$E$31,0,MAX(0,'Skenario A B C'!$J$31-'Skenario A B C'!$K$31))</f>
        <v/>
      </c>
      <c r="T75">
        <f>IF(17&lt;'Skenario A B C'!$E$31,0,MAX(0,'Skenario A B C'!$J$31-'Skenario A B C'!$K$31))</f>
        <v/>
      </c>
      <c r="U75">
        <f>IF(18&lt;'Skenario A B C'!$E$31,0,MAX(0,'Skenario A B C'!$J$31-'Skenario A B C'!$K$31))</f>
        <v/>
      </c>
      <c r="V75">
        <f>IF(19&lt;'Skenario A B C'!$E$31,0,MAX(0,'Skenario A B C'!$J$31-'Skenario A B C'!$K$31))</f>
        <v/>
      </c>
      <c r="W75">
        <f>IF(20&lt;'Skenario A B C'!$E$31,0,MAX(0,'Skenario A B C'!$J$31-'Skenario A B C'!$K$31))</f>
        <v/>
      </c>
      <c r="X75">
        <f>IF(21&lt;'Skenario A B C'!$E$31,0,MAX(0,'Skenario A B C'!$J$31-'Skenario A B C'!$K$31))</f>
        <v/>
      </c>
      <c r="Y75">
        <f>IF(22&lt;'Skenario A B C'!$E$31,0,MAX(0,'Skenario A B C'!$J$31-'Skenario A B C'!$K$31))</f>
        <v/>
      </c>
      <c r="Z75">
        <f>IF(23&lt;'Skenario A B C'!$E$31,0,MAX(0,'Skenario A B C'!$J$31-'Skenario A B C'!$K$31))</f>
        <v/>
      </c>
      <c r="AA75">
        <f>IF(24&lt;'Skenario A B C'!$E$31,0,MAX(0,'Skenario A B C'!$J$31-'Skenario A B C'!$K$31))</f>
        <v/>
      </c>
    </row>
    <row r="76">
      <c r="A76" t="inlineStr">
        <is>
          <t>Partner Acquisition Padang</t>
        </is>
      </c>
      <c r="B76" s="6">
        <f>'Skenario A B C'!$F$32</f>
        <v/>
      </c>
      <c r="D76">
        <f>IF(1&lt;'Skenario A B C'!$E$32,0,MAX(0,'Skenario A B C'!$H$32-'Skenario A B C'!$K$32))</f>
        <v/>
      </c>
      <c r="E76">
        <f>IF(2&lt;'Skenario A B C'!$E$32,0,MAX(0,'Skenario A B C'!$H$32-'Skenario A B C'!$K$32))</f>
        <v/>
      </c>
      <c r="F76">
        <f>IF(3&lt;'Skenario A B C'!$E$32,0,MAX(0,'Skenario A B C'!$H$32-'Skenario A B C'!$K$32))</f>
        <v/>
      </c>
      <c r="G76">
        <f>IF(4&lt;'Skenario A B C'!$E$32,0,MAX(0,'Skenario A B C'!$I$32-'Skenario A B C'!$K$32))</f>
        <v/>
      </c>
      <c r="H76">
        <f>IF(5&lt;'Skenario A B C'!$E$32,0,MAX(0,'Skenario A B C'!$I$32-'Skenario A B C'!$K$32))</f>
        <v/>
      </c>
      <c r="I76">
        <f>IF(6&lt;'Skenario A B C'!$E$32,0,MAX(0,'Skenario A B C'!$I$32-'Skenario A B C'!$K$32))</f>
        <v/>
      </c>
      <c r="J76">
        <f>IF(7&lt;'Skenario A B C'!$E$32,0,MAX(0,'Skenario A B C'!$I$32-'Skenario A B C'!$K$32))</f>
        <v/>
      </c>
      <c r="K76">
        <f>IF(8&lt;'Skenario A B C'!$E$32,0,MAX(0,'Skenario A B C'!$I$32-'Skenario A B C'!$K$32))</f>
        <v/>
      </c>
      <c r="L76">
        <f>IF(9&lt;'Skenario A B C'!$E$32,0,MAX(0,'Skenario A B C'!$I$32-'Skenario A B C'!$K$32))</f>
        <v/>
      </c>
      <c r="M76">
        <f>IF(10&lt;'Skenario A B C'!$E$32,0,MAX(0,'Skenario A B C'!$I$32-'Skenario A B C'!$K$32))</f>
        <v/>
      </c>
      <c r="N76">
        <f>IF(11&lt;'Skenario A B C'!$E$32,0,MAX(0,'Skenario A B C'!$I$32-'Skenario A B C'!$K$32))</f>
        <v/>
      </c>
      <c r="O76">
        <f>IF(12&lt;'Skenario A B C'!$E$32,0,MAX(0,'Skenario A B C'!$I$32-'Skenario A B C'!$K$32))</f>
        <v/>
      </c>
      <c r="P76">
        <f>IF(13&lt;'Skenario A B C'!$E$32,0,MAX(0,'Skenario A B C'!$J$32-'Skenario A B C'!$K$32))</f>
        <v/>
      </c>
      <c r="Q76">
        <f>IF(14&lt;'Skenario A B C'!$E$32,0,MAX(0,'Skenario A B C'!$J$32-'Skenario A B C'!$K$32))</f>
        <v/>
      </c>
      <c r="R76">
        <f>IF(15&lt;'Skenario A B C'!$E$32,0,MAX(0,'Skenario A B C'!$J$32-'Skenario A B C'!$K$32))</f>
        <v/>
      </c>
      <c r="S76">
        <f>IF(16&lt;'Skenario A B C'!$E$32,0,MAX(0,'Skenario A B C'!$J$32-'Skenario A B C'!$K$32))</f>
        <v/>
      </c>
      <c r="T76">
        <f>IF(17&lt;'Skenario A B C'!$E$32,0,MAX(0,'Skenario A B C'!$J$32-'Skenario A B C'!$K$32))</f>
        <v/>
      </c>
      <c r="U76">
        <f>IF(18&lt;'Skenario A B C'!$E$32,0,MAX(0,'Skenario A B C'!$J$32-'Skenario A B C'!$K$32))</f>
        <v/>
      </c>
      <c r="V76">
        <f>IF(19&lt;'Skenario A B C'!$E$32,0,MAX(0,'Skenario A B C'!$J$32-'Skenario A B C'!$K$32))</f>
        <v/>
      </c>
      <c r="W76">
        <f>IF(20&lt;'Skenario A B C'!$E$32,0,MAX(0,'Skenario A B C'!$J$32-'Skenario A B C'!$K$32))</f>
        <v/>
      </c>
      <c r="X76">
        <f>IF(21&lt;'Skenario A B C'!$E$32,0,MAX(0,'Skenario A B C'!$J$32-'Skenario A B C'!$K$32))</f>
        <v/>
      </c>
      <c r="Y76">
        <f>IF(22&lt;'Skenario A B C'!$E$32,0,MAX(0,'Skenario A B C'!$J$32-'Skenario A B C'!$K$32))</f>
        <v/>
      </c>
      <c r="Z76">
        <f>IF(23&lt;'Skenario A B C'!$E$32,0,MAX(0,'Skenario A B C'!$J$32-'Skenario A B C'!$K$32))</f>
        <v/>
      </c>
      <c r="AA76">
        <f>IF(24&lt;'Skenario A B C'!$E$32,0,MAX(0,'Skenario A B C'!$J$32-'Skenario A B C'!$K$32))</f>
        <v/>
      </c>
    </row>
    <row r="77">
      <c r="A77" t="inlineStr">
        <is>
          <t>Ops Supervisor Padang</t>
        </is>
      </c>
      <c r="B77" s="6">
        <f>'Skenario A B C'!$F$33</f>
        <v/>
      </c>
      <c r="D77">
        <f>IF(1&lt;'Skenario A B C'!$E$33,0,MAX(0,'Skenario A B C'!$H$33-'Skenario A B C'!$K$33))</f>
        <v/>
      </c>
      <c r="E77">
        <f>IF(2&lt;'Skenario A B C'!$E$33,0,MAX(0,'Skenario A B C'!$H$33-'Skenario A B C'!$K$33))</f>
        <v/>
      </c>
      <c r="F77">
        <f>IF(3&lt;'Skenario A B C'!$E$33,0,MAX(0,'Skenario A B C'!$H$33-'Skenario A B C'!$K$33))</f>
        <v/>
      </c>
      <c r="G77">
        <f>IF(4&lt;'Skenario A B C'!$E$33,0,MAX(0,'Skenario A B C'!$I$33-'Skenario A B C'!$K$33))</f>
        <v/>
      </c>
      <c r="H77">
        <f>IF(5&lt;'Skenario A B C'!$E$33,0,MAX(0,'Skenario A B C'!$I$33-'Skenario A B C'!$K$33))</f>
        <v/>
      </c>
      <c r="I77">
        <f>IF(6&lt;'Skenario A B C'!$E$33,0,MAX(0,'Skenario A B C'!$I$33-'Skenario A B C'!$K$33))</f>
        <v/>
      </c>
      <c r="J77">
        <f>IF(7&lt;'Skenario A B C'!$E$33,0,MAX(0,'Skenario A B C'!$I$33-'Skenario A B C'!$K$33))</f>
        <v/>
      </c>
      <c r="K77">
        <f>IF(8&lt;'Skenario A B C'!$E$33,0,MAX(0,'Skenario A B C'!$I$33-'Skenario A B C'!$K$33))</f>
        <v/>
      </c>
      <c r="L77">
        <f>IF(9&lt;'Skenario A B C'!$E$33,0,MAX(0,'Skenario A B C'!$I$33-'Skenario A B C'!$K$33))</f>
        <v/>
      </c>
      <c r="M77">
        <f>IF(10&lt;'Skenario A B C'!$E$33,0,MAX(0,'Skenario A B C'!$I$33-'Skenario A B C'!$K$33))</f>
        <v/>
      </c>
      <c r="N77">
        <f>IF(11&lt;'Skenario A B C'!$E$33,0,MAX(0,'Skenario A B C'!$I$33-'Skenario A B C'!$K$33))</f>
        <v/>
      </c>
      <c r="O77">
        <f>IF(12&lt;'Skenario A B C'!$E$33,0,MAX(0,'Skenario A B C'!$I$33-'Skenario A B C'!$K$33))</f>
        <v/>
      </c>
      <c r="P77">
        <f>IF(13&lt;'Skenario A B C'!$E$33,0,MAX(0,'Skenario A B C'!$J$33-'Skenario A B C'!$K$33))</f>
        <v/>
      </c>
      <c r="Q77">
        <f>IF(14&lt;'Skenario A B C'!$E$33,0,MAX(0,'Skenario A B C'!$J$33-'Skenario A B C'!$K$33))</f>
        <v/>
      </c>
      <c r="R77">
        <f>IF(15&lt;'Skenario A B C'!$E$33,0,MAX(0,'Skenario A B C'!$J$33-'Skenario A B C'!$K$33))</f>
        <v/>
      </c>
      <c r="S77">
        <f>IF(16&lt;'Skenario A B C'!$E$33,0,MAX(0,'Skenario A B C'!$J$33-'Skenario A B C'!$K$33))</f>
        <v/>
      </c>
      <c r="T77">
        <f>IF(17&lt;'Skenario A B C'!$E$33,0,MAX(0,'Skenario A B C'!$J$33-'Skenario A B C'!$K$33))</f>
        <v/>
      </c>
      <c r="U77">
        <f>IF(18&lt;'Skenario A B C'!$E$33,0,MAX(0,'Skenario A B C'!$J$33-'Skenario A B C'!$K$33))</f>
        <v/>
      </c>
      <c r="V77">
        <f>IF(19&lt;'Skenario A B C'!$E$33,0,MAX(0,'Skenario A B C'!$J$33-'Skenario A B C'!$K$33))</f>
        <v/>
      </c>
      <c r="W77">
        <f>IF(20&lt;'Skenario A B C'!$E$33,0,MAX(0,'Skenario A B C'!$J$33-'Skenario A B C'!$K$33))</f>
        <v/>
      </c>
      <c r="X77">
        <f>IF(21&lt;'Skenario A B C'!$E$33,0,MAX(0,'Skenario A B C'!$J$33-'Skenario A B C'!$K$33))</f>
        <v/>
      </c>
      <c r="Y77">
        <f>IF(22&lt;'Skenario A B C'!$E$33,0,MAX(0,'Skenario A B C'!$J$33-'Skenario A B C'!$K$33))</f>
        <v/>
      </c>
      <c r="Z77">
        <f>IF(23&lt;'Skenario A B C'!$E$33,0,MAX(0,'Skenario A B C'!$J$33-'Skenario A B C'!$K$33))</f>
        <v/>
      </c>
      <c r="AA77">
        <f>IF(24&lt;'Skenario A B C'!$E$33,0,MAX(0,'Skenario A B C'!$J$33-'Skenario A B C'!$K$33))</f>
        <v/>
      </c>
    </row>
    <row r="78">
      <c r="A78" t="inlineStr">
        <is>
          <t>CS Agent Padang (shift)</t>
        </is>
      </c>
      <c r="B78" s="6">
        <f>'Skenario A B C'!$F$34</f>
        <v/>
      </c>
      <c r="D78">
        <f>IF(1&lt;'Skenario A B C'!$E$34,0,MAX(0,'Skenario A B C'!$H$34-'Skenario A B C'!$K$34))</f>
        <v/>
      </c>
      <c r="E78">
        <f>IF(2&lt;'Skenario A B C'!$E$34,0,MAX(0,'Skenario A B C'!$H$34-'Skenario A B C'!$K$34))</f>
        <v/>
      </c>
      <c r="F78">
        <f>IF(3&lt;'Skenario A B C'!$E$34,0,MAX(0,'Skenario A B C'!$H$34-'Skenario A B C'!$K$34))</f>
        <v/>
      </c>
      <c r="G78">
        <f>IF(4&lt;'Skenario A B C'!$E$34,0,MAX(0,'Skenario A B C'!$I$34-'Skenario A B C'!$K$34))</f>
        <v/>
      </c>
      <c r="H78">
        <f>IF(5&lt;'Skenario A B C'!$E$34,0,MAX(0,'Skenario A B C'!$I$34-'Skenario A B C'!$K$34))</f>
        <v/>
      </c>
      <c r="I78">
        <f>IF(6&lt;'Skenario A B C'!$E$34,0,MAX(0,'Skenario A B C'!$I$34-'Skenario A B C'!$K$34))</f>
        <v/>
      </c>
      <c r="J78">
        <f>IF(7&lt;'Skenario A B C'!$E$34,0,MAX(0,'Skenario A B C'!$I$34-'Skenario A B C'!$K$34))</f>
        <v/>
      </c>
      <c r="K78">
        <f>IF(8&lt;'Skenario A B C'!$E$34,0,MAX(0,'Skenario A B C'!$I$34-'Skenario A B C'!$K$34))</f>
        <v/>
      </c>
      <c r="L78">
        <f>IF(9&lt;'Skenario A B C'!$E$34,0,MAX(0,'Skenario A B C'!$I$34-'Skenario A B C'!$K$34))</f>
        <v/>
      </c>
      <c r="M78">
        <f>IF(10&lt;'Skenario A B C'!$E$34,0,MAX(0,'Skenario A B C'!$I$34-'Skenario A B C'!$K$34))</f>
        <v/>
      </c>
      <c r="N78">
        <f>IF(11&lt;'Skenario A B C'!$E$34,0,MAX(0,'Skenario A B C'!$I$34-'Skenario A B C'!$K$34))</f>
        <v/>
      </c>
      <c r="O78">
        <f>IF(12&lt;'Skenario A B C'!$E$34,0,MAX(0,'Skenario A B C'!$I$34-'Skenario A B C'!$K$34))</f>
        <v/>
      </c>
      <c r="P78">
        <f>IF(13&lt;'Skenario A B C'!$E$34,0,MAX(0,'Skenario A B C'!$J$34-'Skenario A B C'!$K$34))</f>
        <v/>
      </c>
      <c r="Q78">
        <f>IF(14&lt;'Skenario A B C'!$E$34,0,MAX(0,'Skenario A B C'!$J$34-'Skenario A B C'!$K$34))</f>
        <v/>
      </c>
      <c r="R78">
        <f>IF(15&lt;'Skenario A B C'!$E$34,0,MAX(0,'Skenario A B C'!$J$34-'Skenario A B C'!$K$34))</f>
        <v/>
      </c>
      <c r="S78">
        <f>IF(16&lt;'Skenario A B C'!$E$34,0,MAX(0,'Skenario A B C'!$J$34-'Skenario A B C'!$K$34))</f>
        <v/>
      </c>
      <c r="T78">
        <f>IF(17&lt;'Skenario A B C'!$E$34,0,MAX(0,'Skenario A B C'!$J$34-'Skenario A B C'!$K$34))</f>
        <v/>
      </c>
      <c r="U78">
        <f>IF(18&lt;'Skenario A B C'!$E$34,0,MAX(0,'Skenario A B C'!$J$34-'Skenario A B C'!$K$34))</f>
        <v/>
      </c>
      <c r="V78">
        <f>IF(19&lt;'Skenario A B C'!$E$34,0,MAX(0,'Skenario A B C'!$J$34-'Skenario A B C'!$K$34))</f>
        <v/>
      </c>
      <c r="W78">
        <f>IF(20&lt;'Skenario A B C'!$E$34,0,MAX(0,'Skenario A B C'!$J$34-'Skenario A B C'!$K$34))</f>
        <v/>
      </c>
      <c r="X78">
        <f>IF(21&lt;'Skenario A B C'!$E$34,0,MAX(0,'Skenario A B C'!$J$34-'Skenario A B C'!$K$34))</f>
        <v/>
      </c>
      <c r="Y78">
        <f>IF(22&lt;'Skenario A B C'!$E$34,0,MAX(0,'Skenario A B C'!$J$34-'Skenario A B C'!$K$34))</f>
        <v/>
      </c>
      <c r="Z78">
        <f>IF(23&lt;'Skenario A B C'!$E$34,0,MAX(0,'Skenario A B C'!$J$34-'Skenario A B C'!$K$34))</f>
        <v/>
      </c>
      <c r="AA78">
        <f>IF(24&lt;'Skenario A B C'!$E$34,0,MAX(0,'Skenario A B C'!$J$34-'Skenario A B C'!$K$34))</f>
        <v/>
      </c>
    </row>
    <row r="79">
      <c r="A79" t="inlineStr">
        <is>
          <t>Partner Acquisition Padang - gelombang 2</t>
        </is>
      </c>
      <c r="B79" s="6">
        <f>'Skenario A B C'!$F$35</f>
        <v/>
      </c>
      <c r="D79">
        <f>IF(1&lt;'Skenario A B C'!$E$35,0,MAX(0,'Skenario A B C'!$H$35-'Skenario A B C'!$K$35))</f>
        <v/>
      </c>
      <c r="E79">
        <f>IF(2&lt;'Skenario A B C'!$E$35,0,MAX(0,'Skenario A B C'!$H$35-'Skenario A B C'!$K$35))</f>
        <v/>
      </c>
      <c r="F79">
        <f>IF(3&lt;'Skenario A B C'!$E$35,0,MAX(0,'Skenario A B C'!$H$35-'Skenario A B C'!$K$35))</f>
        <v/>
      </c>
      <c r="G79">
        <f>IF(4&lt;'Skenario A B C'!$E$35,0,MAX(0,'Skenario A B C'!$I$35-'Skenario A B C'!$K$35))</f>
        <v/>
      </c>
      <c r="H79">
        <f>IF(5&lt;'Skenario A B C'!$E$35,0,MAX(0,'Skenario A B C'!$I$35-'Skenario A B C'!$K$35))</f>
        <v/>
      </c>
      <c r="I79">
        <f>IF(6&lt;'Skenario A B C'!$E$35,0,MAX(0,'Skenario A B C'!$I$35-'Skenario A B C'!$K$35))</f>
        <v/>
      </c>
      <c r="J79">
        <f>IF(7&lt;'Skenario A B C'!$E$35,0,MAX(0,'Skenario A B C'!$I$35-'Skenario A B C'!$K$35))</f>
        <v/>
      </c>
      <c r="K79">
        <f>IF(8&lt;'Skenario A B C'!$E$35,0,MAX(0,'Skenario A B C'!$I$35-'Skenario A B C'!$K$35))</f>
        <v/>
      </c>
      <c r="L79">
        <f>IF(9&lt;'Skenario A B C'!$E$35,0,MAX(0,'Skenario A B C'!$I$35-'Skenario A B C'!$K$35))</f>
        <v/>
      </c>
      <c r="M79">
        <f>IF(10&lt;'Skenario A B C'!$E$35,0,MAX(0,'Skenario A B C'!$I$35-'Skenario A B C'!$K$35))</f>
        <v/>
      </c>
      <c r="N79">
        <f>IF(11&lt;'Skenario A B C'!$E$35,0,MAX(0,'Skenario A B C'!$I$35-'Skenario A B C'!$K$35))</f>
        <v/>
      </c>
      <c r="O79">
        <f>IF(12&lt;'Skenario A B C'!$E$35,0,MAX(0,'Skenario A B C'!$I$35-'Skenario A B C'!$K$35))</f>
        <v/>
      </c>
      <c r="P79">
        <f>IF(13&lt;'Skenario A B C'!$E$35,0,MAX(0,'Skenario A B C'!$J$35-'Skenario A B C'!$K$35))</f>
        <v/>
      </c>
      <c r="Q79">
        <f>IF(14&lt;'Skenario A B C'!$E$35,0,MAX(0,'Skenario A B C'!$J$35-'Skenario A B C'!$K$35))</f>
        <v/>
      </c>
      <c r="R79">
        <f>IF(15&lt;'Skenario A B C'!$E$35,0,MAX(0,'Skenario A B C'!$J$35-'Skenario A B C'!$K$35))</f>
        <v/>
      </c>
      <c r="S79">
        <f>IF(16&lt;'Skenario A B C'!$E$35,0,MAX(0,'Skenario A B C'!$J$35-'Skenario A B C'!$K$35))</f>
        <v/>
      </c>
      <c r="T79">
        <f>IF(17&lt;'Skenario A B C'!$E$35,0,MAX(0,'Skenario A B C'!$J$35-'Skenario A B C'!$K$35))</f>
        <v/>
      </c>
      <c r="U79">
        <f>IF(18&lt;'Skenario A B C'!$E$35,0,MAX(0,'Skenario A B C'!$J$35-'Skenario A B C'!$K$35))</f>
        <v/>
      </c>
      <c r="V79">
        <f>IF(19&lt;'Skenario A B C'!$E$35,0,MAX(0,'Skenario A B C'!$J$35-'Skenario A B C'!$K$35))</f>
        <v/>
      </c>
      <c r="W79">
        <f>IF(20&lt;'Skenario A B C'!$E$35,0,MAX(0,'Skenario A B C'!$J$35-'Skenario A B C'!$K$35))</f>
        <v/>
      </c>
      <c r="X79">
        <f>IF(21&lt;'Skenario A B C'!$E$35,0,MAX(0,'Skenario A B C'!$J$35-'Skenario A B C'!$K$35))</f>
        <v/>
      </c>
      <c r="Y79">
        <f>IF(22&lt;'Skenario A B C'!$E$35,0,MAX(0,'Skenario A B C'!$J$35-'Skenario A B C'!$K$35))</f>
        <v/>
      </c>
      <c r="Z79">
        <f>IF(23&lt;'Skenario A B C'!$E$35,0,MAX(0,'Skenario A B C'!$J$35-'Skenario A B C'!$K$35))</f>
        <v/>
      </c>
      <c r="AA79">
        <f>IF(24&lt;'Skenario A B C'!$E$35,0,MAX(0,'Skenario A B C'!$J$35-'Skenario A B C'!$K$35))</f>
        <v/>
      </c>
    </row>
    <row r="80">
      <c r="A80" t="inlineStr">
        <is>
          <t>Head of Growth &amp; Partnership</t>
        </is>
      </c>
      <c r="B80" s="6">
        <f>'Skenario A B C'!$F$36</f>
        <v/>
      </c>
      <c r="D80">
        <f>IF(1&lt;'Skenario A B C'!$E$36,0,MAX(0,'Skenario A B C'!$H$36-'Skenario A B C'!$K$36))</f>
        <v/>
      </c>
      <c r="E80">
        <f>IF(2&lt;'Skenario A B C'!$E$36,0,MAX(0,'Skenario A B C'!$H$36-'Skenario A B C'!$K$36))</f>
        <v/>
      </c>
      <c r="F80">
        <f>IF(3&lt;'Skenario A B C'!$E$36,0,MAX(0,'Skenario A B C'!$H$36-'Skenario A B C'!$K$36))</f>
        <v/>
      </c>
      <c r="G80">
        <f>IF(4&lt;'Skenario A B C'!$E$36,0,MAX(0,'Skenario A B C'!$I$36-'Skenario A B C'!$K$36))</f>
        <v/>
      </c>
      <c r="H80">
        <f>IF(5&lt;'Skenario A B C'!$E$36,0,MAX(0,'Skenario A B C'!$I$36-'Skenario A B C'!$K$36))</f>
        <v/>
      </c>
      <c r="I80">
        <f>IF(6&lt;'Skenario A B C'!$E$36,0,MAX(0,'Skenario A B C'!$I$36-'Skenario A B C'!$K$36))</f>
        <v/>
      </c>
      <c r="J80">
        <f>IF(7&lt;'Skenario A B C'!$E$36,0,MAX(0,'Skenario A B C'!$I$36-'Skenario A B C'!$K$36))</f>
        <v/>
      </c>
      <c r="K80">
        <f>IF(8&lt;'Skenario A B C'!$E$36,0,MAX(0,'Skenario A B C'!$I$36-'Skenario A B C'!$K$36))</f>
        <v/>
      </c>
      <c r="L80">
        <f>IF(9&lt;'Skenario A B C'!$E$36,0,MAX(0,'Skenario A B C'!$I$36-'Skenario A B C'!$K$36))</f>
        <v/>
      </c>
      <c r="M80">
        <f>IF(10&lt;'Skenario A B C'!$E$36,0,MAX(0,'Skenario A B C'!$I$36-'Skenario A B C'!$K$36))</f>
        <v/>
      </c>
      <c r="N80">
        <f>IF(11&lt;'Skenario A B C'!$E$36,0,MAX(0,'Skenario A B C'!$I$36-'Skenario A B C'!$K$36))</f>
        <v/>
      </c>
      <c r="O80">
        <f>IF(12&lt;'Skenario A B C'!$E$36,0,MAX(0,'Skenario A B C'!$I$36-'Skenario A B C'!$K$36))</f>
        <v/>
      </c>
      <c r="P80">
        <f>IF(13&lt;'Skenario A B C'!$E$36,0,MAX(0,'Skenario A B C'!$J$36-'Skenario A B C'!$K$36))</f>
        <v/>
      </c>
      <c r="Q80">
        <f>IF(14&lt;'Skenario A B C'!$E$36,0,MAX(0,'Skenario A B C'!$J$36-'Skenario A B C'!$K$36))</f>
        <v/>
      </c>
      <c r="R80">
        <f>IF(15&lt;'Skenario A B C'!$E$36,0,MAX(0,'Skenario A B C'!$J$36-'Skenario A B C'!$K$36))</f>
        <v/>
      </c>
      <c r="S80">
        <f>IF(16&lt;'Skenario A B C'!$E$36,0,MAX(0,'Skenario A B C'!$J$36-'Skenario A B C'!$K$36))</f>
        <v/>
      </c>
      <c r="T80">
        <f>IF(17&lt;'Skenario A B C'!$E$36,0,MAX(0,'Skenario A B C'!$J$36-'Skenario A B C'!$K$36))</f>
        <v/>
      </c>
      <c r="U80">
        <f>IF(18&lt;'Skenario A B C'!$E$36,0,MAX(0,'Skenario A B C'!$J$36-'Skenario A B C'!$K$36))</f>
        <v/>
      </c>
      <c r="V80">
        <f>IF(19&lt;'Skenario A B C'!$E$36,0,MAX(0,'Skenario A B C'!$J$36-'Skenario A B C'!$K$36))</f>
        <v/>
      </c>
      <c r="W80">
        <f>IF(20&lt;'Skenario A B C'!$E$36,0,MAX(0,'Skenario A B C'!$J$36-'Skenario A B C'!$K$36))</f>
        <v/>
      </c>
      <c r="X80">
        <f>IF(21&lt;'Skenario A B C'!$E$36,0,MAX(0,'Skenario A B C'!$J$36-'Skenario A B C'!$K$36))</f>
        <v/>
      </c>
      <c r="Y80">
        <f>IF(22&lt;'Skenario A B C'!$E$36,0,MAX(0,'Skenario A B C'!$J$36-'Skenario A B C'!$K$36))</f>
        <v/>
      </c>
      <c r="Z80">
        <f>IF(23&lt;'Skenario A B C'!$E$36,0,MAX(0,'Skenario A B C'!$J$36-'Skenario A B C'!$K$36))</f>
        <v/>
      </c>
      <c r="AA80">
        <f>IF(24&lt;'Skenario A B C'!$E$36,0,MAX(0,'Skenario A B C'!$J$36-'Skenario A B C'!$K$36))</f>
        <v/>
      </c>
    </row>
    <row r="81">
      <c r="A81" t="inlineStr">
        <is>
          <t>Digital Marketing Staff</t>
        </is>
      </c>
      <c r="B81" s="6">
        <f>'Skenario A B C'!$F$37</f>
        <v/>
      </c>
      <c r="D81">
        <f>IF(1&lt;'Skenario A B C'!$E$37,0,MAX(0,'Skenario A B C'!$H$37-'Skenario A B C'!$K$37))</f>
        <v/>
      </c>
      <c r="E81">
        <f>IF(2&lt;'Skenario A B C'!$E$37,0,MAX(0,'Skenario A B C'!$H$37-'Skenario A B C'!$K$37))</f>
        <v/>
      </c>
      <c r="F81">
        <f>IF(3&lt;'Skenario A B C'!$E$37,0,MAX(0,'Skenario A B C'!$H$37-'Skenario A B C'!$K$37))</f>
        <v/>
      </c>
      <c r="G81">
        <f>IF(4&lt;'Skenario A B C'!$E$37,0,MAX(0,'Skenario A B C'!$I$37-'Skenario A B C'!$K$37))</f>
        <v/>
      </c>
      <c r="H81">
        <f>IF(5&lt;'Skenario A B C'!$E$37,0,MAX(0,'Skenario A B C'!$I$37-'Skenario A B C'!$K$37))</f>
        <v/>
      </c>
      <c r="I81">
        <f>IF(6&lt;'Skenario A B C'!$E$37,0,MAX(0,'Skenario A B C'!$I$37-'Skenario A B C'!$K$37))</f>
        <v/>
      </c>
      <c r="J81">
        <f>IF(7&lt;'Skenario A B C'!$E$37,0,MAX(0,'Skenario A B C'!$I$37-'Skenario A B C'!$K$37))</f>
        <v/>
      </c>
      <c r="K81">
        <f>IF(8&lt;'Skenario A B C'!$E$37,0,MAX(0,'Skenario A B C'!$I$37-'Skenario A B C'!$K$37))</f>
        <v/>
      </c>
      <c r="L81">
        <f>IF(9&lt;'Skenario A B C'!$E$37,0,MAX(0,'Skenario A B C'!$I$37-'Skenario A B C'!$K$37))</f>
        <v/>
      </c>
      <c r="M81">
        <f>IF(10&lt;'Skenario A B C'!$E$37,0,MAX(0,'Skenario A B C'!$I$37-'Skenario A B C'!$K$37))</f>
        <v/>
      </c>
      <c r="N81">
        <f>IF(11&lt;'Skenario A B C'!$E$37,0,MAX(0,'Skenario A B C'!$I$37-'Skenario A B C'!$K$37))</f>
        <v/>
      </c>
      <c r="O81">
        <f>IF(12&lt;'Skenario A B C'!$E$37,0,MAX(0,'Skenario A B C'!$I$37-'Skenario A B C'!$K$37))</f>
        <v/>
      </c>
      <c r="P81">
        <f>IF(13&lt;'Skenario A B C'!$E$37,0,MAX(0,'Skenario A B C'!$J$37-'Skenario A B C'!$K$37))</f>
        <v/>
      </c>
      <c r="Q81">
        <f>IF(14&lt;'Skenario A B C'!$E$37,0,MAX(0,'Skenario A B C'!$J$37-'Skenario A B C'!$K$37))</f>
        <v/>
      </c>
      <c r="R81">
        <f>IF(15&lt;'Skenario A B C'!$E$37,0,MAX(0,'Skenario A B C'!$J$37-'Skenario A B C'!$K$37))</f>
        <v/>
      </c>
      <c r="S81">
        <f>IF(16&lt;'Skenario A B C'!$E$37,0,MAX(0,'Skenario A B C'!$J$37-'Skenario A B C'!$K$37))</f>
        <v/>
      </c>
      <c r="T81">
        <f>IF(17&lt;'Skenario A B C'!$E$37,0,MAX(0,'Skenario A B C'!$J$37-'Skenario A B C'!$K$37))</f>
        <v/>
      </c>
      <c r="U81">
        <f>IF(18&lt;'Skenario A B C'!$E$37,0,MAX(0,'Skenario A B C'!$J$37-'Skenario A B C'!$K$37))</f>
        <v/>
      </c>
      <c r="V81">
        <f>IF(19&lt;'Skenario A B C'!$E$37,0,MAX(0,'Skenario A B C'!$J$37-'Skenario A B C'!$K$37))</f>
        <v/>
      </c>
      <c r="W81">
        <f>IF(20&lt;'Skenario A B C'!$E$37,0,MAX(0,'Skenario A B C'!$J$37-'Skenario A B C'!$K$37))</f>
        <v/>
      </c>
      <c r="X81">
        <f>IF(21&lt;'Skenario A B C'!$E$37,0,MAX(0,'Skenario A B C'!$J$37-'Skenario A B C'!$K$37))</f>
        <v/>
      </c>
      <c r="Y81">
        <f>IF(22&lt;'Skenario A B C'!$E$37,0,MAX(0,'Skenario A B C'!$J$37-'Skenario A B C'!$K$37))</f>
        <v/>
      </c>
      <c r="Z81">
        <f>IF(23&lt;'Skenario A B C'!$E$37,0,MAX(0,'Skenario A B C'!$J$37-'Skenario A B C'!$K$37))</f>
        <v/>
      </c>
      <c r="AA81">
        <f>IF(24&lt;'Skenario A B C'!$E$37,0,MAX(0,'Skenario A B C'!$J$37-'Skenario A B C'!$K$37))</f>
        <v/>
      </c>
    </row>
    <row r="82">
      <c r="A82" t="inlineStr">
        <is>
          <t>Merchant Acquisition Officer</t>
        </is>
      </c>
      <c r="B82" s="6">
        <f>'Skenario A B C'!$F$38</f>
        <v/>
      </c>
      <c r="D82">
        <f>IF(1&lt;'Skenario A B C'!$E$38,0,MAX(0,'Skenario A B C'!$H$38-'Skenario A B C'!$K$38))</f>
        <v/>
      </c>
      <c r="E82">
        <f>IF(2&lt;'Skenario A B C'!$E$38,0,MAX(0,'Skenario A B C'!$H$38-'Skenario A B C'!$K$38))</f>
        <v/>
      </c>
      <c r="F82">
        <f>IF(3&lt;'Skenario A B C'!$E$38,0,MAX(0,'Skenario A B C'!$H$38-'Skenario A B C'!$K$38))</f>
        <v/>
      </c>
      <c r="G82">
        <f>IF(4&lt;'Skenario A B C'!$E$38,0,MAX(0,'Skenario A B C'!$I$38-'Skenario A B C'!$K$38))</f>
        <v/>
      </c>
      <c r="H82">
        <f>IF(5&lt;'Skenario A B C'!$E$38,0,MAX(0,'Skenario A B C'!$I$38-'Skenario A B C'!$K$38))</f>
        <v/>
      </c>
      <c r="I82">
        <f>IF(6&lt;'Skenario A B C'!$E$38,0,MAX(0,'Skenario A B C'!$I$38-'Skenario A B C'!$K$38))</f>
        <v/>
      </c>
      <c r="J82">
        <f>IF(7&lt;'Skenario A B C'!$E$38,0,MAX(0,'Skenario A B C'!$I$38-'Skenario A B C'!$K$38))</f>
        <v/>
      </c>
      <c r="K82">
        <f>IF(8&lt;'Skenario A B C'!$E$38,0,MAX(0,'Skenario A B C'!$I$38-'Skenario A B C'!$K$38))</f>
        <v/>
      </c>
      <c r="L82">
        <f>IF(9&lt;'Skenario A B C'!$E$38,0,MAX(0,'Skenario A B C'!$I$38-'Skenario A B C'!$K$38))</f>
        <v/>
      </c>
      <c r="M82">
        <f>IF(10&lt;'Skenario A B C'!$E$38,0,MAX(0,'Skenario A B C'!$I$38-'Skenario A B C'!$K$38))</f>
        <v/>
      </c>
      <c r="N82">
        <f>IF(11&lt;'Skenario A B C'!$E$38,0,MAX(0,'Skenario A B C'!$I$38-'Skenario A B C'!$K$38))</f>
        <v/>
      </c>
      <c r="O82">
        <f>IF(12&lt;'Skenario A B C'!$E$38,0,MAX(0,'Skenario A B C'!$I$38-'Skenario A B C'!$K$38))</f>
        <v/>
      </c>
      <c r="P82">
        <f>IF(13&lt;'Skenario A B C'!$E$38,0,MAX(0,'Skenario A B C'!$J$38-'Skenario A B C'!$K$38))</f>
        <v/>
      </c>
      <c r="Q82">
        <f>IF(14&lt;'Skenario A B C'!$E$38,0,MAX(0,'Skenario A B C'!$J$38-'Skenario A B C'!$K$38))</f>
        <v/>
      </c>
      <c r="R82">
        <f>IF(15&lt;'Skenario A B C'!$E$38,0,MAX(0,'Skenario A B C'!$J$38-'Skenario A B C'!$K$38))</f>
        <v/>
      </c>
      <c r="S82">
        <f>IF(16&lt;'Skenario A B C'!$E$38,0,MAX(0,'Skenario A B C'!$J$38-'Skenario A B C'!$K$38))</f>
        <v/>
      </c>
      <c r="T82">
        <f>IF(17&lt;'Skenario A B C'!$E$38,0,MAX(0,'Skenario A B C'!$J$38-'Skenario A B C'!$K$38))</f>
        <v/>
      </c>
      <c r="U82">
        <f>IF(18&lt;'Skenario A B C'!$E$38,0,MAX(0,'Skenario A B C'!$J$38-'Skenario A B C'!$K$38))</f>
        <v/>
      </c>
      <c r="V82">
        <f>IF(19&lt;'Skenario A B C'!$E$38,0,MAX(0,'Skenario A B C'!$J$38-'Skenario A B C'!$K$38))</f>
        <v/>
      </c>
      <c r="W82">
        <f>IF(20&lt;'Skenario A B C'!$E$38,0,MAX(0,'Skenario A B C'!$J$38-'Skenario A B C'!$K$38))</f>
        <v/>
      </c>
      <c r="X82">
        <f>IF(21&lt;'Skenario A B C'!$E$38,0,MAX(0,'Skenario A B C'!$J$38-'Skenario A B C'!$K$38))</f>
        <v/>
      </c>
      <c r="Y82">
        <f>IF(22&lt;'Skenario A B C'!$E$38,0,MAX(0,'Skenario A B C'!$J$38-'Skenario A B C'!$K$38))</f>
        <v/>
      </c>
      <c r="Z82">
        <f>IF(23&lt;'Skenario A B C'!$E$38,0,MAX(0,'Skenario A B C'!$J$38-'Skenario A B C'!$K$38))</f>
        <v/>
      </c>
      <c r="AA82">
        <f>IF(24&lt;'Skenario A B C'!$E$38,0,MAX(0,'Skenario A B C'!$J$38-'Skenario A B C'!$K$38))</f>
        <v/>
      </c>
    </row>
    <row r="83">
      <c r="A83" t="inlineStr">
        <is>
          <t>Head of Finance</t>
        </is>
      </c>
      <c r="B83" s="6">
        <f>'Skenario A B C'!$F$39</f>
        <v/>
      </c>
      <c r="D83">
        <f>IF(1&lt;'Skenario A B C'!$E$39,0,MAX(0,'Skenario A B C'!$H$39-'Skenario A B C'!$K$39))</f>
        <v/>
      </c>
      <c r="E83">
        <f>IF(2&lt;'Skenario A B C'!$E$39,0,MAX(0,'Skenario A B C'!$H$39-'Skenario A B C'!$K$39))</f>
        <v/>
      </c>
      <c r="F83">
        <f>IF(3&lt;'Skenario A B C'!$E$39,0,MAX(0,'Skenario A B C'!$H$39-'Skenario A B C'!$K$39))</f>
        <v/>
      </c>
      <c r="G83">
        <f>IF(4&lt;'Skenario A B C'!$E$39,0,MAX(0,'Skenario A B C'!$I$39-'Skenario A B C'!$K$39))</f>
        <v/>
      </c>
      <c r="H83">
        <f>IF(5&lt;'Skenario A B C'!$E$39,0,MAX(0,'Skenario A B C'!$I$39-'Skenario A B C'!$K$39))</f>
        <v/>
      </c>
      <c r="I83">
        <f>IF(6&lt;'Skenario A B C'!$E$39,0,MAX(0,'Skenario A B C'!$I$39-'Skenario A B C'!$K$39))</f>
        <v/>
      </c>
      <c r="J83">
        <f>IF(7&lt;'Skenario A B C'!$E$39,0,MAX(0,'Skenario A B C'!$I$39-'Skenario A B C'!$K$39))</f>
        <v/>
      </c>
      <c r="K83">
        <f>IF(8&lt;'Skenario A B C'!$E$39,0,MAX(0,'Skenario A B C'!$I$39-'Skenario A B C'!$K$39))</f>
        <v/>
      </c>
      <c r="L83">
        <f>IF(9&lt;'Skenario A B C'!$E$39,0,MAX(0,'Skenario A B C'!$I$39-'Skenario A B C'!$K$39))</f>
        <v/>
      </c>
      <c r="M83">
        <f>IF(10&lt;'Skenario A B C'!$E$39,0,MAX(0,'Skenario A B C'!$I$39-'Skenario A B C'!$K$39))</f>
        <v/>
      </c>
      <c r="N83">
        <f>IF(11&lt;'Skenario A B C'!$E$39,0,MAX(0,'Skenario A B C'!$I$39-'Skenario A B C'!$K$39))</f>
        <v/>
      </c>
      <c r="O83">
        <f>IF(12&lt;'Skenario A B C'!$E$39,0,MAX(0,'Skenario A B C'!$I$39-'Skenario A B C'!$K$39))</f>
        <v/>
      </c>
      <c r="P83">
        <f>IF(13&lt;'Skenario A B C'!$E$39,0,MAX(0,'Skenario A B C'!$J$39-'Skenario A B C'!$K$39))</f>
        <v/>
      </c>
      <c r="Q83">
        <f>IF(14&lt;'Skenario A B C'!$E$39,0,MAX(0,'Skenario A B C'!$J$39-'Skenario A B C'!$K$39))</f>
        <v/>
      </c>
      <c r="R83">
        <f>IF(15&lt;'Skenario A B C'!$E$39,0,MAX(0,'Skenario A B C'!$J$39-'Skenario A B C'!$K$39))</f>
        <v/>
      </c>
      <c r="S83">
        <f>IF(16&lt;'Skenario A B C'!$E$39,0,MAX(0,'Skenario A B C'!$J$39-'Skenario A B C'!$K$39))</f>
        <v/>
      </c>
      <c r="T83">
        <f>IF(17&lt;'Skenario A B C'!$E$39,0,MAX(0,'Skenario A B C'!$J$39-'Skenario A B C'!$K$39))</f>
        <v/>
      </c>
      <c r="U83">
        <f>IF(18&lt;'Skenario A B C'!$E$39,0,MAX(0,'Skenario A B C'!$J$39-'Skenario A B C'!$K$39))</f>
        <v/>
      </c>
      <c r="V83">
        <f>IF(19&lt;'Skenario A B C'!$E$39,0,MAX(0,'Skenario A B C'!$J$39-'Skenario A B C'!$K$39))</f>
        <v/>
      </c>
      <c r="W83">
        <f>IF(20&lt;'Skenario A B C'!$E$39,0,MAX(0,'Skenario A B C'!$J$39-'Skenario A B C'!$K$39))</f>
        <v/>
      </c>
      <c r="X83">
        <f>IF(21&lt;'Skenario A B C'!$E$39,0,MAX(0,'Skenario A B C'!$J$39-'Skenario A B C'!$K$39))</f>
        <v/>
      </c>
      <c r="Y83">
        <f>IF(22&lt;'Skenario A B C'!$E$39,0,MAX(0,'Skenario A B C'!$J$39-'Skenario A B C'!$K$39))</f>
        <v/>
      </c>
      <c r="Z83">
        <f>IF(23&lt;'Skenario A B C'!$E$39,0,MAX(0,'Skenario A B C'!$J$39-'Skenario A B C'!$K$39))</f>
        <v/>
      </c>
      <c r="AA83">
        <f>IF(24&lt;'Skenario A B C'!$E$39,0,MAX(0,'Skenario A B C'!$J$39-'Skenario A B C'!$K$39))</f>
        <v/>
      </c>
    </row>
    <row r="84">
      <c r="A84" t="inlineStr">
        <is>
          <t>Finance &amp; Accounting Staff</t>
        </is>
      </c>
      <c r="B84" s="6">
        <f>'Skenario A B C'!$F$40</f>
        <v/>
      </c>
      <c r="D84">
        <f>IF(1&lt;'Skenario A B C'!$E$40,0,MAX(0,'Skenario A B C'!$H$40-'Skenario A B C'!$K$40))</f>
        <v/>
      </c>
      <c r="E84">
        <f>IF(2&lt;'Skenario A B C'!$E$40,0,MAX(0,'Skenario A B C'!$H$40-'Skenario A B C'!$K$40))</f>
        <v/>
      </c>
      <c r="F84">
        <f>IF(3&lt;'Skenario A B C'!$E$40,0,MAX(0,'Skenario A B C'!$H$40-'Skenario A B C'!$K$40))</f>
        <v/>
      </c>
      <c r="G84">
        <f>IF(4&lt;'Skenario A B C'!$E$40,0,MAX(0,'Skenario A B C'!$I$40-'Skenario A B C'!$K$40))</f>
        <v/>
      </c>
      <c r="H84">
        <f>IF(5&lt;'Skenario A B C'!$E$40,0,MAX(0,'Skenario A B C'!$I$40-'Skenario A B C'!$K$40))</f>
        <v/>
      </c>
      <c r="I84">
        <f>IF(6&lt;'Skenario A B C'!$E$40,0,MAX(0,'Skenario A B C'!$I$40-'Skenario A B C'!$K$40))</f>
        <v/>
      </c>
      <c r="J84">
        <f>IF(7&lt;'Skenario A B C'!$E$40,0,MAX(0,'Skenario A B C'!$I$40-'Skenario A B C'!$K$40))</f>
        <v/>
      </c>
      <c r="K84">
        <f>IF(8&lt;'Skenario A B C'!$E$40,0,MAX(0,'Skenario A B C'!$I$40-'Skenario A B C'!$K$40))</f>
        <v/>
      </c>
      <c r="L84">
        <f>IF(9&lt;'Skenario A B C'!$E$40,0,MAX(0,'Skenario A B C'!$I$40-'Skenario A B C'!$K$40))</f>
        <v/>
      </c>
      <c r="M84">
        <f>IF(10&lt;'Skenario A B C'!$E$40,0,MAX(0,'Skenario A B C'!$I$40-'Skenario A B C'!$K$40))</f>
        <v/>
      </c>
      <c r="N84">
        <f>IF(11&lt;'Skenario A B C'!$E$40,0,MAX(0,'Skenario A B C'!$I$40-'Skenario A B C'!$K$40))</f>
        <v/>
      </c>
      <c r="O84">
        <f>IF(12&lt;'Skenario A B C'!$E$40,0,MAX(0,'Skenario A B C'!$I$40-'Skenario A B C'!$K$40))</f>
        <v/>
      </c>
      <c r="P84">
        <f>IF(13&lt;'Skenario A B C'!$E$40,0,MAX(0,'Skenario A B C'!$J$40-'Skenario A B C'!$K$40))</f>
        <v/>
      </c>
      <c r="Q84">
        <f>IF(14&lt;'Skenario A B C'!$E$40,0,MAX(0,'Skenario A B C'!$J$40-'Skenario A B C'!$K$40))</f>
        <v/>
      </c>
      <c r="R84">
        <f>IF(15&lt;'Skenario A B C'!$E$40,0,MAX(0,'Skenario A B C'!$J$40-'Skenario A B C'!$K$40))</f>
        <v/>
      </c>
      <c r="S84">
        <f>IF(16&lt;'Skenario A B C'!$E$40,0,MAX(0,'Skenario A B C'!$J$40-'Skenario A B C'!$K$40))</f>
        <v/>
      </c>
      <c r="T84">
        <f>IF(17&lt;'Skenario A B C'!$E$40,0,MAX(0,'Skenario A B C'!$J$40-'Skenario A B C'!$K$40))</f>
        <v/>
      </c>
      <c r="U84">
        <f>IF(18&lt;'Skenario A B C'!$E$40,0,MAX(0,'Skenario A B C'!$J$40-'Skenario A B C'!$K$40))</f>
        <v/>
      </c>
      <c r="V84">
        <f>IF(19&lt;'Skenario A B C'!$E$40,0,MAX(0,'Skenario A B C'!$J$40-'Skenario A B C'!$K$40))</f>
        <v/>
      </c>
      <c r="W84">
        <f>IF(20&lt;'Skenario A B C'!$E$40,0,MAX(0,'Skenario A B C'!$J$40-'Skenario A B C'!$K$40))</f>
        <v/>
      </c>
      <c r="X84">
        <f>IF(21&lt;'Skenario A B C'!$E$40,0,MAX(0,'Skenario A B C'!$J$40-'Skenario A B C'!$K$40))</f>
        <v/>
      </c>
      <c r="Y84">
        <f>IF(22&lt;'Skenario A B C'!$E$40,0,MAX(0,'Skenario A B C'!$J$40-'Skenario A B C'!$K$40))</f>
        <v/>
      </c>
      <c r="Z84">
        <f>IF(23&lt;'Skenario A B C'!$E$40,0,MAX(0,'Skenario A B C'!$J$40-'Skenario A B C'!$K$40))</f>
        <v/>
      </c>
      <c r="AA84">
        <f>IF(24&lt;'Skenario A B C'!$E$40,0,MAX(0,'Skenario A B C'!$J$40-'Skenario A B C'!$K$40))</f>
        <v/>
      </c>
    </row>
    <row r="85">
      <c r="A85" t="inlineStr">
        <is>
          <t>Treasury/Settlement Officer</t>
        </is>
      </c>
      <c r="B85" s="6">
        <f>'Skenario A B C'!$F$41</f>
        <v/>
      </c>
      <c r="D85">
        <f>IF(1&lt;'Skenario A B C'!$E$41,0,MAX(0,'Skenario A B C'!$H$41-'Skenario A B C'!$K$41))</f>
        <v/>
      </c>
      <c r="E85">
        <f>IF(2&lt;'Skenario A B C'!$E$41,0,MAX(0,'Skenario A B C'!$H$41-'Skenario A B C'!$K$41))</f>
        <v/>
      </c>
      <c r="F85">
        <f>IF(3&lt;'Skenario A B C'!$E$41,0,MAX(0,'Skenario A B C'!$H$41-'Skenario A B C'!$K$41))</f>
        <v/>
      </c>
      <c r="G85">
        <f>IF(4&lt;'Skenario A B C'!$E$41,0,MAX(0,'Skenario A B C'!$I$41-'Skenario A B C'!$K$41))</f>
        <v/>
      </c>
      <c r="H85">
        <f>IF(5&lt;'Skenario A B C'!$E$41,0,MAX(0,'Skenario A B C'!$I$41-'Skenario A B C'!$K$41))</f>
        <v/>
      </c>
      <c r="I85">
        <f>IF(6&lt;'Skenario A B C'!$E$41,0,MAX(0,'Skenario A B C'!$I$41-'Skenario A B C'!$K$41))</f>
        <v/>
      </c>
      <c r="J85">
        <f>IF(7&lt;'Skenario A B C'!$E$41,0,MAX(0,'Skenario A B C'!$I$41-'Skenario A B C'!$K$41))</f>
        <v/>
      </c>
      <c r="K85">
        <f>IF(8&lt;'Skenario A B C'!$E$41,0,MAX(0,'Skenario A B C'!$I$41-'Skenario A B C'!$K$41))</f>
        <v/>
      </c>
      <c r="L85">
        <f>IF(9&lt;'Skenario A B C'!$E$41,0,MAX(0,'Skenario A B C'!$I$41-'Skenario A B C'!$K$41))</f>
        <v/>
      </c>
      <c r="M85">
        <f>IF(10&lt;'Skenario A B C'!$E$41,0,MAX(0,'Skenario A B C'!$I$41-'Skenario A B C'!$K$41))</f>
        <v/>
      </c>
      <c r="N85">
        <f>IF(11&lt;'Skenario A B C'!$E$41,0,MAX(0,'Skenario A B C'!$I$41-'Skenario A B C'!$K$41))</f>
        <v/>
      </c>
      <c r="O85">
        <f>IF(12&lt;'Skenario A B C'!$E$41,0,MAX(0,'Skenario A B C'!$I$41-'Skenario A B C'!$K$41))</f>
        <v/>
      </c>
      <c r="P85">
        <f>IF(13&lt;'Skenario A B C'!$E$41,0,MAX(0,'Skenario A B C'!$J$41-'Skenario A B C'!$K$41))</f>
        <v/>
      </c>
      <c r="Q85">
        <f>IF(14&lt;'Skenario A B C'!$E$41,0,MAX(0,'Skenario A B C'!$J$41-'Skenario A B C'!$K$41))</f>
        <v/>
      </c>
      <c r="R85">
        <f>IF(15&lt;'Skenario A B C'!$E$41,0,MAX(0,'Skenario A B C'!$J$41-'Skenario A B C'!$K$41))</f>
        <v/>
      </c>
      <c r="S85">
        <f>IF(16&lt;'Skenario A B C'!$E$41,0,MAX(0,'Skenario A B C'!$J$41-'Skenario A B C'!$K$41))</f>
        <v/>
      </c>
      <c r="T85">
        <f>IF(17&lt;'Skenario A B C'!$E$41,0,MAX(0,'Skenario A B C'!$J$41-'Skenario A B C'!$K$41))</f>
        <v/>
      </c>
      <c r="U85">
        <f>IF(18&lt;'Skenario A B C'!$E$41,0,MAX(0,'Skenario A B C'!$J$41-'Skenario A B C'!$K$41))</f>
        <v/>
      </c>
      <c r="V85">
        <f>IF(19&lt;'Skenario A B C'!$E$41,0,MAX(0,'Skenario A B C'!$J$41-'Skenario A B C'!$K$41))</f>
        <v/>
      </c>
      <c r="W85">
        <f>IF(20&lt;'Skenario A B C'!$E$41,0,MAX(0,'Skenario A B C'!$J$41-'Skenario A B C'!$K$41))</f>
        <v/>
      </c>
      <c r="X85">
        <f>IF(21&lt;'Skenario A B C'!$E$41,0,MAX(0,'Skenario A B C'!$J$41-'Skenario A B C'!$K$41))</f>
        <v/>
      </c>
      <c r="Y85">
        <f>IF(22&lt;'Skenario A B C'!$E$41,0,MAX(0,'Skenario A B C'!$J$41-'Skenario A B C'!$K$41))</f>
        <v/>
      </c>
      <c r="Z85">
        <f>IF(23&lt;'Skenario A B C'!$E$41,0,MAX(0,'Skenario A B C'!$J$41-'Skenario A B C'!$K$41))</f>
        <v/>
      </c>
      <c r="AA85">
        <f>IF(24&lt;'Skenario A B C'!$E$41,0,MAX(0,'Skenario A B C'!$J$41-'Skenario A B C'!$K$41))</f>
        <v/>
      </c>
    </row>
    <row r="86">
      <c r="A86" t="inlineStr">
        <is>
          <t>Finance &amp; Accounting Staff - Padang</t>
        </is>
      </c>
      <c r="B86" s="6">
        <f>'Skenario A B C'!$F$42</f>
        <v/>
      </c>
      <c r="D86">
        <f>IF(1&lt;'Skenario A B C'!$E$42,0,MAX(0,'Skenario A B C'!$H$42-'Skenario A B C'!$K$42))</f>
        <v/>
      </c>
      <c r="E86">
        <f>IF(2&lt;'Skenario A B C'!$E$42,0,MAX(0,'Skenario A B C'!$H$42-'Skenario A B C'!$K$42))</f>
        <v/>
      </c>
      <c r="F86">
        <f>IF(3&lt;'Skenario A B C'!$E$42,0,MAX(0,'Skenario A B C'!$H$42-'Skenario A B C'!$K$42))</f>
        <v/>
      </c>
      <c r="G86">
        <f>IF(4&lt;'Skenario A B C'!$E$42,0,MAX(0,'Skenario A B C'!$I$42-'Skenario A B C'!$K$42))</f>
        <v/>
      </c>
      <c r="H86">
        <f>IF(5&lt;'Skenario A B C'!$E$42,0,MAX(0,'Skenario A B C'!$I$42-'Skenario A B C'!$K$42))</f>
        <v/>
      </c>
      <c r="I86">
        <f>IF(6&lt;'Skenario A B C'!$E$42,0,MAX(0,'Skenario A B C'!$I$42-'Skenario A B C'!$K$42))</f>
        <v/>
      </c>
      <c r="J86">
        <f>IF(7&lt;'Skenario A B C'!$E$42,0,MAX(0,'Skenario A B C'!$I$42-'Skenario A B C'!$K$42))</f>
        <v/>
      </c>
      <c r="K86">
        <f>IF(8&lt;'Skenario A B C'!$E$42,0,MAX(0,'Skenario A B C'!$I$42-'Skenario A B C'!$K$42))</f>
        <v/>
      </c>
      <c r="L86">
        <f>IF(9&lt;'Skenario A B C'!$E$42,0,MAX(0,'Skenario A B C'!$I$42-'Skenario A B C'!$K$42))</f>
        <v/>
      </c>
      <c r="M86">
        <f>IF(10&lt;'Skenario A B C'!$E$42,0,MAX(0,'Skenario A B C'!$I$42-'Skenario A B C'!$K$42))</f>
        <v/>
      </c>
      <c r="N86">
        <f>IF(11&lt;'Skenario A B C'!$E$42,0,MAX(0,'Skenario A B C'!$I$42-'Skenario A B C'!$K$42))</f>
        <v/>
      </c>
      <c r="O86">
        <f>IF(12&lt;'Skenario A B C'!$E$42,0,MAX(0,'Skenario A B C'!$I$42-'Skenario A B C'!$K$42))</f>
        <v/>
      </c>
      <c r="P86">
        <f>IF(13&lt;'Skenario A B C'!$E$42,0,MAX(0,'Skenario A B C'!$J$42-'Skenario A B C'!$K$42))</f>
        <v/>
      </c>
      <c r="Q86">
        <f>IF(14&lt;'Skenario A B C'!$E$42,0,MAX(0,'Skenario A B C'!$J$42-'Skenario A B C'!$K$42))</f>
        <v/>
      </c>
      <c r="R86">
        <f>IF(15&lt;'Skenario A B C'!$E$42,0,MAX(0,'Skenario A B C'!$J$42-'Skenario A B C'!$K$42))</f>
        <v/>
      </c>
      <c r="S86">
        <f>IF(16&lt;'Skenario A B C'!$E$42,0,MAX(0,'Skenario A B C'!$J$42-'Skenario A B C'!$K$42))</f>
        <v/>
      </c>
      <c r="T86">
        <f>IF(17&lt;'Skenario A B C'!$E$42,0,MAX(0,'Skenario A B C'!$J$42-'Skenario A B C'!$K$42))</f>
        <v/>
      </c>
      <c r="U86">
        <f>IF(18&lt;'Skenario A B C'!$E$42,0,MAX(0,'Skenario A B C'!$J$42-'Skenario A B C'!$K$42))</f>
        <v/>
      </c>
      <c r="V86">
        <f>IF(19&lt;'Skenario A B C'!$E$42,0,MAX(0,'Skenario A B C'!$J$42-'Skenario A B C'!$K$42))</f>
        <v/>
      </c>
      <c r="W86">
        <f>IF(20&lt;'Skenario A B C'!$E$42,0,MAX(0,'Skenario A B C'!$J$42-'Skenario A B C'!$K$42))</f>
        <v/>
      </c>
      <c r="X86">
        <f>IF(21&lt;'Skenario A B C'!$E$42,0,MAX(0,'Skenario A B C'!$J$42-'Skenario A B C'!$K$42))</f>
        <v/>
      </c>
      <c r="Y86">
        <f>IF(22&lt;'Skenario A B C'!$E$42,0,MAX(0,'Skenario A B C'!$J$42-'Skenario A B C'!$K$42))</f>
        <v/>
      </c>
      <c r="Z86">
        <f>IF(23&lt;'Skenario A B C'!$E$42,0,MAX(0,'Skenario A B C'!$J$42-'Skenario A B C'!$K$42))</f>
        <v/>
      </c>
      <c r="AA86">
        <f>IF(24&lt;'Skenario A B C'!$E$42,0,MAX(0,'Skenario A B C'!$J$42-'Skenario A B C'!$K$42))</f>
        <v/>
      </c>
    </row>
    <row r="87">
      <c r="A87" t="inlineStr">
        <is>
          <t>Head of Legal &amp; Compliance (merangkap DPO)</t>
        </is>
      </c>
      <c r="B87" s="6">
        <f>'Skenario A B C'!$F$43</f>
        <v/>
      </c>
      <c r="D87">
        <f>IF(1&lt;'Skenario A B C'!$E$43,0,MAX(0,'Skenario A B C'!$H$43-'Skenario A B C'!$K$43))</f>
        <v/>
      </c>
      <c r="E87">
        <f>IF(2&lt;'Skenario A B C'!$E$43,0,MAX(0,'Skenario A B C'!$H$43-'Skenario A B C'!$K$43))</f>
        <v/>
      </c>
      <c r="F87">
        <f>IF(3&lt;'Skenario A B C'!$E$43,0,MAX(0,'Skenario A B C'!$H$43-'Skenario A B C'!$K$43))</f>
        <v/>
      </c>
      <c r="G87">
        <f>IF(4&lt;'Skenario A B C'!$E$43,0,MAX(0,'Skenario A B C'!$I$43-'Skenario A B C'!$K$43))</f>
        <v/>
      </c>
      <c r="H87">
        <f>IF(5&lt;'Skenario A B C'!$E$43,0,MAX(0,'Skenario A B C'!$I$43-'Skenario A B C'!$K$43))</f>
        <v/>
      </c>
      <c r="I87">
        <f>IF(6&lt;'Skenario A B C'!$E$43,0,MAX(0,'Skenario A B C'!$I$43-'Skenario A B C'!$K$43))</f>
        <v/>
      </c>
      <c r="J87">
        <f>IF(7&lt;'Skenario A B C'!$E$43,0,MAX(0,'Skenario A B C'!$I$43-'Skenario A B C'!$K$43))</f>
        <v/>
      </c>
      <c r="K87">
        <f>IF(8&lt;'Skenario A B C'!$E$43,0,MAX(0,'Skenario A B C'!$I$43-'Skenario A B C'!$K$43))</f>
        <v/>
      </c>
      <c r="L87">
        <f>IF(9&lt;'Skenario A B C'!$E$43,0,MAX(0,'Skenario A B C'!$I$43-'Skenario A B C'!$K$43))</f>
        <v/>
      </c>
      <c r="M87">
        <f>IF(10&lt;'Skenario A B C'!$E$43,0,MAX(0,'Skenario A B C'!$I$43-'Skenario A B C'!$K$43))</f>
        <v/>
      </c>
      <c r="N87">
        <f>IF(11&lt;'Skenario A B C'!$E$43,0,MAX(0,'Skenario A B C'!$I$43-'Skenario A B C'!$K$43))</f>
        <v/>
      </c>
      <c r="O87">
        <f>IF(12&lt;'Skenario A B C'!$E$43,0,MAX(0,'Skenario A B C'!$I$43-'Skenario A B C'!$K$43))</f>
        <v/>
      </c>
      <c r="P87">
        <f>IF(13&lt;'Skenario A B C'!$E$43,0,MAX(0,'Skenario A B C'!$J$43-'Skenario A B C'!$K$43))</f>
        <v/>
      </c>
      <c r="Q87">
        <f>IF(14&lt;'Skenario A B C'!$E$43,0,MAX(0,'Skenario A B C'!$J$43-'Skenario A B C'!$K$43))</f>
        <v/>
      </c>
      <c r="R87">
        <f>IF(15&lt;'Skenario A B C'!$E$43,0,MAX(0,'Skenario A B C'!$J$43-'Skenario A B C'!$K$43))</f>
        <v/>
      </c>
      <c r="S87">
        <f>IF(16&lt;'Skenario A B C'!$E$43,0,MAX(0,'Skenario A B C'!$J$43-'Skenario A B C'!$K$43))</f>
        <v/>
      </c>
      <c r="T87">
        <f>IF(17&lt;'Skenario A B C'!$E$43,0,MAX(0,'Skenario A B C'!$J$43-'Skenario A B C'!$K$43))</f>
        <v/>
      </c>
      <c r="U87">
        <f>IF(18&lt;'Skenario A B C'!$E$43,0,MAX(0,'Skenario A B C'!$J$43-'Skenario A B C'!$K$43))</f>
        <v/>
      </c>
      <c r="V87">
        <f>IF(19&lt;'Skenario A B C'!$E$43,0,MAX(0,'Skenario A B C'!$J$43-'Skenario A B C'!$K$43))</f>
        <v/>
      </c>
      <c r="W87">
        <f>IF(20&lt;'Skenario A B C'!$E$43,0,MAX(0,'Skenario A B C'!$J$43-'Skenario A B C'!$K$43))</f>
        <v/>
      </c>
      <c r="X87">
        <f>IF(21&lt;'Skenario A B C'!$E$43,0,MAX(0,'Skenario A B C'!$J$43-'Skenario A B C'!$K$43))</f>
        <v/>
      </c>
      <c r="Y87">
        <f>IF(22&lt;'Skenario A B C'!$E$43,0,MAX(0,'Skenario A B C'!$J$43-'Skenario A B C'!$K$43))</f>
        <v/>
      </c>
      <c r="Z87">
        <f>IF(23&lt;'Skenario A B C'!$E$43,0,MAX(0,'Skenario A B C'!$J$43-'Skenario A B C'!$K$43))</f>
        <v/>
      </c>
      <c r="AA87">
        <f>IF(24&lt;'Skenario A B C'!$E$43,0,MAX(0,'Skenario A B C'!$J$43-'Skenario A B C'!$K$43))</f>
        <v/>
      </c>
    </row>
    <row r="89">
      <c r="A89" s="3" t="inlineStr">
        <is>
          <t>C. JUMLAH ORANG AKTIF PER BULAN - SKENARIO C (AI-maksimal)</t>
        </is>
      </c>
    </row>
    <row r="90">
      <c r="A90" t="inlineStr">
        <is>
          <t>Direktur Utama (CEO)</t>
        </is>
      </c>
      <c r="B90" s="6">
        <f>'Skenario A B C'!$F$6</f>
        <v/>
      </c>
      <c r="D90">
        <f>IF(1&lt;'Skenario A B C'!$E$6,0,MAX(0,'Skenario A B C'!$H$6-'Skenario A B C'!$L$6))</f>
        <v/>
      </c>
      <c r="E90">
        <f>IF(2&lt;'Skenario A B C'!$E$6,0,MAX(0,'Skenario A B C'!$H$6-'Skenario A B C'!$L$6))</f>
        <v/>
      </c>
      <c r="F90">
        <f>IF(3&lt;'Skenario A B C'!$E$6,0,MAX(0,'Skenario A B C'!$H$6-'Skenario A B C'!$L$6))</f>
        <v/>
      </c>
      <c r="G90">
        <f>IF(4&lt;'Skenario A B C'!$E$6,0,MAX(0,'Skenario A B C'!$I$6-'Skenario A B C'!$L$6))</f>
        <v/>
      </c>
      <c r="H90">
        <f>IF(5&lt;'Skenario A B C'!$E$6,0,MAX(0,'Skenario A B C'!$I$6-'Skenario A B C'!$L$6))</f>
        <v/>
      </c>
      <c r="I90">
        <f>IF(6&lt;'Skenario A B C'!$E$6,0,MAX(0,'Skenario A B C'!$I$6-'Skenario A B C'!$L$6))</f>
        <v/>
      </c>
      <c r="J90">
        <f>IF(7&lt;'Skenario A B C'!$E$6,0,MAX(0,'Skenario A B C'!$I$6-'Skenario A B C'!$L$6))</f>
        <v/>
      </c>
      <c r="K90">
        <f>IF(8&lt;'Skenario A B C'!$E$6,0,MAX(0,'Skenario A B C'!$I$6-'Skenario A B C'!$L$6))</f>
        <v/>
      </c>
      <c r="L90">
        <f>IF(9&lt;'Skenario A B C'!$E$6,0,MAX(0,'Skenario A B C'!$I$6-'Skenario A B C'!$L$6))</f>
        <v/>
      </c>
      <c r="M90">
        <f>IF(10&lt;'Skenario A B C'!$E$6,0,MAX(0,'Skenario A B C'!$I$6-'Skenario A B C'!$L$6))</f>
        <v/>
      </c>
      <c r="N90">
        <f>IF(11&lt;'Skenario A B C'!$E$6,0,MAX(0,'Skenario A B C'!$I$6-'Skenario A B C'!$L$6))</f>
        <v/>
      </c>
      <c r="O90">
        <f>IF(12&lt;'Skenario A B C'!$E$6,0,MAX(0,'Skenario A B C'!$I$6-'Skenario A B C'!$L$6))</f>
        <v/>
      </c>
      <c r="P90">
        <f>IF(13&lt;'Skenario A B C'!$E$6,0,MAX(0,'Skenario A B C'!$J$6-'Skenario A B C'!$L$6))</f>
        <v/>
      </c>
      <c r="Q90">
        <f>IF(14&lt;'Skenario A B C'!$E$6,0,MAX(0,'Skenario A B C'!$J$6-'Skenario A B C'!$L$6))</f>
        <v/>
      </c>
      <c r="R90">
        <f>IF(15&lt;'Skenario A B C'!$E$6,0,MAX(0,'Skenario A B C'!$J$6-'Skenario A B C'!$L$6))</f>
        <v/>
      </c>
      <c r="S90">
        <f>IF(16&lt;'Skenario A B C'!$E$6,0,MAX(0,'Skenario A B C'!$J$6-'Skenario A B C'!$L$6))</f>
        <v/>
      </c>
      <c r="T90">
        <f>IF(17&lt;'Skenario A B C'!$E$6,0,MAX(0,'Skenario A B C'!$J$6-'Skenario A B C'!$L$6))</f>
        <v/>
      </c>
      <c r="U90">
        <f>IF(18&lt;'Skenario A B C'!$E$6,0,MAX(0,'Skenario A B C'!$J$6-'Skenario A B C'!$L$6))</f>
        <v/>
      </c>
      <c r="V90">
        <f>IF(19&lt;'Skenario A B C'!$E$6,0,MAX(0,'Skenario A B C'!$J$6-'Skenario A B C'!$L$6))</f>
        <v/>
      </c>
      <c r="W90">
        <f>IF(20&lt;'Skenario A B C'!$E$6,0,MAX(0,'Skenario A B C'!$J$6-'Skenario A B C'!$L$6))</f>
        <v/>
      </c>
      <c r="X90">
        <f>IF(21&lt;'Skenario A B C'!$E$6,0,MAX(0,'Skenario A B C'!$J$6-'Skenario A B C'!$L$6))</f>
        <v/>
      </c>
      <c r="Y90">
        <f>IF(22&lt;'Skenario A B C'!$E$6,0,MAX(0,'Skenario A B C'!$J$6-'Skenario A B C'!$L$6))</f>
        <v/>
      </c>
      <c r="Z90">
        <f>IF(23&lt;'Skenario A B C'!$E$6,0,MAX(0,'Skenario A B C'!$J$6-'Skenario A B C'!$L$6))</f>
        <v/>
      </c>
      <c r="AA90">
        <f>IF(24&lt;'Skenario A B C'!$E$6,0,MAX(0,'Skenario A B C'!$J$6-'Skenario A B C'!$L$6))</f>
        <v/>
      </c>
    </row>
    <row r="91">
      <c r="A91" t="inlineStr">
        <is>
          <t>HR &amp; GA Generalist</t>
        </is>
      </c>
      <c r="B91" s="6">
        <f>'Skenario A B C'!$F$7</f>
        <v/>
      </c>
      <c r="D91">
        <f>IF(1&lt;'Skenario A B C'!$E$7,0,MAX(0,'Skenario A B C'!$H$7-'Skenario A B C'!$L$7))</f>
        <v/>
      </c>
      <c r="E91">
        <f>IF(2&lt;'Skenario A B C'!$E$7,0,MAX(0,'Skenario A B C'!$H$7-'Skenario A B C'!$L$7))</f>
        <v/>
      </c>
      <c r="F91">
        <f>IF(3&lt;'Skenario A B C'!$E$7,0,MAX(0,'Skenario A B C'!$H$7-'Skenario A B C'!$L$7))</f>
        <v/>
      </c>
      <c r="G91">
        <f>IF(4&lt;'Skenario A B C'!$E$7,0,MAX(0,'Skenario A B C'!$I$7-'Skenario A B C'!$L$7))</f>
        <v/>
      </c>
      <c r="H91">
        <f>IF(5&lt;'Skenario A B C'!$E$7,0,MAX(0,'Skenario A B C'!$I$7-'Skenario A B C'!$L$7))</f>
        <v/>
      </c>
      <c r="I91">
        <f>IF(6&lt;'Skenario A B C'!$E$7,0,MAX(0,'Skenario A B C'!$I$7-'Skenario A B C'!$L$7))</f>
        <v/>
      </c>
      <c r="J91">
        <f>IF(7&lt;'Skenario A B C'!$E$7,0,MAX(0,'Skenario A B C'!$I$7-'Skenario A B C'!$L$7))</f>
        <v/>
      </c>
      <c r="K91">
        <f>IF(8&lt;'Skenario A B C'!$E$7,0,MAX(0,'Skenario A B C'!$I$7-'Skenario A B C'!$L$7))</f>
        <v/>
      </c>
      <c r="L91">
        <f>IF(9&lt;'Skenario A B C'!$E$7,0,MAX(0,'Skenario A B C'!$I$7-'Skenario A B C'!$L$7))</f>
        <v/>
      </c>
      <c r="M91">
        <f>IF(10&lt;'Skenario A B C'!$E$7,0,MAX(0,'Skenario A B C'!$I$7-'Skenario A B C'!$L$7))</f>
        <v/>
      </c>
      <c r="N91">
        <f>IF(11&lt;'Skenario A B C'!$E$7,0,MAX(0,'Skenario A B C'!$I$7-'Skenario A B C'!$L$7))</f>
        <v/>
      </c>
      <c r="O91">
        <f>IF(12&lt;'Skenario A B C'!$E$7,0,MAX(0,'Skenario A B C'!$I$7-'Skenario A B C'!$L$7))</f>
        <v/>
      </c>
      <c r="P91">
        <f>IF(13&lt;'Skenario A B C'!$E$7,0,MAX(0,'Skenario A B C'!$J$7-'Skenario A B C'!$L$7))</f>
        <v/>
      </c>
      <c r="Q91">
        <f>IF(14&lt;'Skenario A B C'!$E$7,0,MAX(0,'Skenario A B C'!$J$7-'Skenario A B C'!$L$7))</f>
        <v/>
      </c>
      <c r="R91">
        <f>IF(15&lt;'Skenario A B C'!$E$7,0,MAX(0,'Skenario A B C'!$J$7-'Skenario A B C'!$L$7))</f>
        <v/>
      </c>
      <c r="S91">
        <f>IF(16&lt;'Skenario A B C'!$E$7,0,MAX(0,'Skenario A B C'!$J$7-'Skenario A B C'!$L$7))</f>
        <v/>
      </c>
      <c r="T91">
        <f>IF(17&lt;'Skenario A B C'!$E$7,0,MAX(0,'Skenario A B C'!$J$7-'Skenario A B C'!$L$7))</f>
        <v/>
      </c>
      <c r="U91">
        <f>IF(18&lt;'Skenario A B C'!$E$7,0,MAX(0,'Skenario A B C'!$J$7-'Skenario A B C'!$L$7))</f>
        <v/>
      </c>
      <c r="V91">
        <f>IF(19&lt;'Skenario A B C'!$E$7,0,MAX(0,'Skenario A B C'!$J$7-'Skenario A B C'!$L$7))</f>
        <v/>
      </c>
      <c r="W91">
        <f>IF(20&lt;'Skenario A B C'!$E$7,0,MAX(0,'Skenario A B C'!$J$7-'Skenario A B C'!$L$7))</f>
        <v/>
      </c>
      <c r="X91">
        <f>IF(21&lt;'Skenario A B C'!$E$7,0,MAX(0,'Skenario A B C'!$J$7-'Skenario A B C'!$L$7))</f>
        <v/>
      </c>
      <c r="Y91">
        <f>IF(22&lt;'Skenario A B C'!$E$7,0,MAX(0,'Skenario A B C'!$J$7-'Skenario A B C'!$L$7))</f>
        <v/>
      </c>
      <c r="Z91">
        <f>IF(23&lt;'Skenario A B C'!$E$7,0,MAX(0,'Skenario A B C'!$J$7-'Skenario A B C'!$L$7))</f>
        <v/>
      </c>
      <c r="AA91">
        <f>IF(24&lt;'Skenario A B C'!$E$7,0,MAX(0,'Skenario A B C'!$J$7-'Skenario A B C'!$L$7))</f>
        <v/>
      </c>
    </row>
    <row r="92">
      <c r="A92" t="inlineStr">
        <is>
          <t>Direktur Teknologi (CTO)</t>
        </is>
      </c>
      <c r="B92" s="6">
        <f>'Skenario A B C'!$F$8</f>
        <v/>
      </c>
      <c r="D92">
        <f>IF(1&lt;'Skenario A B C'!$E$8,0,MAX(0,'Skenario A B C'!$H$8-'Skenario A B C'!$L$8))</f>
        <v/>
      </c>
      <c r="E92">
        <f>IF(2&lt;'Skenario A B C'!$E$8,0,MAX(0,'Skenario A B C'!$H$8-'Skenario A B C'!$L$8))</f>
        <v/>
      </c>
      <c r="F92">
        <f>IF(3&lt;'Skenario A B C'!$E$8,0,MAX(0,'Skenario A B C'!$H$8-'Skenario A B C'!$L$8))</f>
        <v/>
      </c>
      <c r="G92">
        <f>IF(4&lt;'Skenario A B C'!$E$8,0,MAX(0,'Skenario A B C'!$I$8-'Skenario A B C'!$L$8))</f>
        <v/>
      </c>
      <c r="H92">
        <f>IF(5&lt;'Skenario A B C'!$E$8,0,MAX(0,'Skenario A B C'!$I$8-'Skenario A B C'!$L$8))</f>
        <v/>
      </c>
      <c r="I92">
        <f>IF(6&lt;'Skenario A B C'!$E$8,0,MAX(0,'Skenario A B C'!$I$8-'Skenario A B C'!$L$8))</f>
        <v/>
      </c>
      <c r="J92">
        <f>IF(7&lt;'Skenario A B C'!$E$8,0,MAX(0,'Skenario A B C'!$I$8-'Skenario A B C'!$L$8))</f>
        <v/>
      </c>
      <c r="K92">
        <f>IF(8&lt;'Skenario A B C'!$E$8,0,MAX(0,'Skenario A B C'!$I$8-'Skenario A B C'!$L$8))</f>
        <v/>
      </c>
      <c r="L92">
        <f>IF(9&lt;'Skenario A B C'!$E$8,0,MAX(0,'Skenario A B C'!$I$8-'Skenario A B C'!$L$8))</f>
        <v/>
      </c>
      <c r="M92">
        <f>IF(10&lt;'Skenario A B C'!$E$8,0,MAX(0,'Skenario A B C'!$I$8-'Skenario A B C'!$L$8))</f>
        <v/>
      </c>
      <c r="N92">
        <f>IF(11&lt;'Skenario A B C'!$E$8,0,MAX(0,'Skenario A B C'!$I$8-'Skenario A B C'!$L$8))</f>
        <v/>
      </c>
      <c r="O92">
        <f>IF(12&lt;'Skenario A B C'!$E$8,0,MAX(0,'Skenario A B C'!$I$8-'Skenario A B C'!$L$8))</f>
        <v/>
      </c>
      <c r="P92">
        <f>IF(13&lt;'Skenario A B C'!$E$8,0,MAX(0,'Skenario A B C'!$J$8-'Skenario A B C'!$L$8))</f>
        <v/>
      </c>
      <c r="Q92">
        <f>IF(14&lt;'Skenario A B C'!$E$8,0,MAX(0,'Skenario A B C'!$J$8-'Skenario A B C'!$L$8))</f>
        <v/>
      </c>
      <c r="R92">
        <f>IF(15&lt;'Skenario A B C'!$E$8,0,MAX(0,'Skenario A B C'!$J$8-'Skenario A B C'!$L$8))</f>
        <v/>
      </c>
      <c r="S92">
        <f>IF(16&lt;'Skenario A B C'!$E$8,0,MAX(0,'Skenario A B C'!$J$8-'Skenario A B C'!$L$8))</f>
        <v/>
      </c>
      <c r="T92">
        <f>IF(17&lt;'Skenario A B C'!$E$8,0,MAX(0,'Skenario A B C'!$J$8-'Skenario A B C'!$L$8))</f>
        <v/>
      </c>
      <c r="U92">
        <f>IF(18&lt;'Skenario A B C'!$E$8,0,MAX(0,'Skenario A B C'!$J$8-'Skenario A B C'!$L$8))</f>
        <v/>
      </c>
      <c r="V92">
        <f>IF(19&lt;'Skenario A B C'!$E$8,0,MAX(0,'Skenario A B C'!$J$8-'Skenario A B C'!$L$8))</f>
        <v/>
      </c>
      <c r="W92">
        <f>IF(20&lt;'Skenario A B C'!$E$8,0,MAX(0,'Skenario A B C'!$J$8-'Skenario A B C'!$L$8))</f>
        <v/>
      </c>
      <c r="X92">
        <f>IF(21&lt;'Skenario A B C'!$E$8,0,MAX(0,'Skenario A B C'!$J$8-'Skenario A B C'!$L$8))</f>
        <v/>
      </c>
      <c r="Y92">
        <f>IF(22&lt;'Skenario A B C'!$E$8,0,MAX(0,'Skenario A B C'!$J$8-'Skenario A B C'!$L$8))</f>
        <v/>
      </c>
      <c r="Z92">
        <f>IF(23&lt;'Skenario A B C'!$E$8,0,MAX(0,'Skenario A B C'!$J$8-'Skenario A B C'!$L$8))</f>
        <v/>
      </c>
      <c r="AA92">
        <f>IF(24&lt;'Skenario A B C'!$E$8,0,MAX(0,'Skenario A B C'!$J$8-'Skenario A B C'!$L$8))</f>
        <v/>
      </c>
    </row>
    <row r="93">
      <c r="A93" t="inlineStr">
        <is>
          <t>Engineering Manager</t>
        </is>
      </c>
      <c r="B93" s="6">
        <f>'Skenario A B C'!$F$9</f>
        <v/>
      </c>
      <c r="D93">
        <f>IF(1&lt;'Skenario A B C'!$E$9,0,MAX(0,'Skenario A B C'!$H$9-'Skenario A B C'!$L$9))</f>
        <v/>
      </c>
      <c r="E93">
        <f>IF(2&lt;'Skenario A B C'!$E$9,0,MAX(0,'Skenario A B C'!$H$9-'Skenario A B C'!$L$9))</f>
        <v/>
      </c>
      <c r="F93">
        <f>IF(3&lt;'Skenario A B C'!$E$9,0,MAX(0,'Skenario A B C'!$H$9-'Skenario A B C'!$L$9))</f>
        <v/>
      </c>
      <c r="G93">
        <f>IF(4&lt;'Skenario A B C'!$E$9,0,MAX(0,'Skenario A B C'!$I$9-'Skenario A B C'!$L$9))</f>
        <v/>
      </c>
      <c r="H93">
        <f>IF(5&lt;'Skenario A B C'!$E$9,0,MAX(0,'Skenario A B C'!$I$9-'Skenario A B C'!$L$9))</f>
        <v/>
      </c>
      <c r="I93">
        <f>IF(6&lt;'Skenario A B C'!$E$9,0,MAX(0,'Skenario A B C'!$I$9-'Skenario A B C'!$L$9))</f>
        <v/>
      </c>
      <c r="J93">
        <f>IF(7&lt;'Skenario A B C'!$E$9,0,MAX(0,'Skenario A B C'!$I$9-'Skenario A B C'!$L$9))</f>
        <v/>
      </c>
      <c r="K93">
        <f>IF(8&lt;'Skenario A B C'!$E$9,0,MAX(0,'Skenario A B C'!$I$9-'Skenario A B C'!$L$9))</f>
        <v/>
      </c>
      <c r="L93">
        <f>IF(9&lt;'Skenario A B C'!$E$9,0,MAX(0,'Skenario A B C'!$I$9-'Skenario A B C'!$L$9))</f>
        <v/>
      </c>
      <c r="M93">
        <f>IF(10&lt;'Skenario A B C'!$E$9,0,MAX(0,'Skenario A B C'!$I$9-'Skenario A B C'!$L$9))</f>
        <v/>
      </c>
      <c r="N93">
        <f>IF(11&lt;'Skenario A B C'!$E$9,0,MAX(0,'Skenario A B C'!$I$9-'Skenario A B C'!$L$9))</f>
        <v/>
      </c>
      <c r="O93">
        <f>IF(12&lt;'Skenario A B C'!$E$9,0,MAX(0,'Skenario A B C'!$I$9-'Skenario A B C'!$L$9))</f>
        <v/>
      </c>
      <c r="P93">
        <f>IF(13&lt;'Skenario A B C'!$E$9,0,MAX(0,'Skenario A B C'!$J$9-'Skenario A B C'!$L$9))</f>
        <v/>
      </c>
      <c r="Q93">
        <f>IF(14&lt;'Skenario A B C'!$E$9,0,MAX(0,'Skenario A B C'!$J$9-'Skenario A B C'!$L$9))</f>
        <v/>
      </c>
      <c r="R93">
        <f>IF(15&lt;'Skenario A B C'!$E$9,0,MAX(0,'Skenario A B C'!$J$9-'Skenario A B C'!$L$9))</f>
        <v/>
      </c>
      <c r="S93">
        <f>IF(16&lt;'Skenario A B C'!$E$9,0,MAX(0,'Skenario A B C'!$J$9-'Skenario A B C'!$L$9))</f>
        <v/>
      </c>
      <c r="T93">
        <f>IF(17&lt;'Skenario A B C'!$E$9,0,MAX(0,'Skenario A B C'!$J$9-'Skenario A B C'!$L$9))</f>
        <v/>
      </c>
      <c r="U93">
        <f>IF(18&lt;'Skenario A B C'!$E$9,0,MAX(0,'Skenario A B C'!$J$9-'Skenario A B C'!$L$9))</f>
        <v/>
      </c>
      <c r="V93">
        <f>IF(19&lt;'Skenario A B C'!$E$9,0,MAX(0,'Skenario A B C'!$J$9-'Skenario A B C'!$L$9))</f>
        <v/>
      </c>
      <c r="W93">
        <f>IF(20&lt;'Skenario A B C'!$E$9,0,MAX(0,'Skenario A B C'!$J$9-'Skenario A B C'!$L$9))</f>
        <v/>
      </c>
      <c r="X93">
        <f>IF(21&lt;'Skenario A B C'!$E$9,0,MAX(0,'Skenario A B C'!$J$9-'Skenario A B C'!$L$9))</f>
        <v/>
      </c>
      <c r="Y93">
        <f>IF(22&lt;'Skenario A B C'!$E$9,0,MAX(0,'Skenario A B C'!$J$9-'Skenario A B C'!$L$9))</f>
        <v/>
      </c>
      <c r="Z93">
        <f>IF(23&lt;'Skenario A B C'!$E$9,0,MAX(0,'Skenario A B C'!$J$9-'Skenario A B C'!$L$9))</f>
        <v/>
      </c>
      <c r="AA93">
        <f>IF(24&lt;'Skenario A B C'!$E$9,0,MAX(0,'Skenario A B C'!$J$9-'Skenario A B C'!$L$9))</f>
        <v/>
      </c>
    </row>
    <row r="94">
      <c r="A94" t="inlineStr">
        <is>
          <t>Mobile Engineer (Senior)</t>
        </is>
      </c>
      <c r="B94" s="6">
        <f>'Skenario A B C'!$F$10</f>
        <v/>
      </c>
      <c r="D94">
        <f>IF(1&lt;'Skenario A B C'!$E$10,0,MAX(0,'Skenario A B C'!$H$10-'Skenario A B C'!$L$10))</f>
        <v/>
      </c>
      <c r="E94">
        <f>IF(2&lt;'Skenario A B C'!$E$10,0,MAX(0,'Skenario A B C'!$H$10-'Skenario A B C'!$L$10))</f>
        <v/>
      </c>
      <c r="F94">
        <f>IF(3&lt;'Skenario A B C'!$E$10,0,MAX(0,'Skenario A B C'!$H$10-'Skenario A B C'!$L$10))</f>
        <v/>
      </c>
      <c r="G94">
        <f>IF(4&lt;'Skenario A B C'!$E$10,0,MAX(0,'Skenario A B C'!$I$10-'Skenario A B C'!$L$10))</f>
        <v/>
      </c>
      <c r="H94">
        <f>IF(5&lt;'Skenario A B C'!$E$10,0,MAX(0,'Skenario A B C'!$I$10-'Skenario A B C'!$L$10))</f>
        <v/>
      </c>
      <c r="I94">
        <f>IF(6&lt;'Skenario A B C'!$E$10,0,MAX(0,'Skenario A B C'!$I$10-'Skenario A B C'!$L$10))</f>
        <v/>
      </c>
      <c r="J94">
        <f>IF(7&lt;'Skenario A B C'!$E$10,0,MAX(0,'Skenario A B C'!$I$10-'Skenario A B C'!$L$10))</f>
        <v/>
      </c>
      <c r="K94">
        <f>IF(8&lt;'Skenario A B C'!$E$10,0,MAX(0,'Skenario A B C'!$I$10-'Skenario A B C'!$L$10))</f>
        <v/>
      </c>
      <c r="L94">
        <f>IF(9&lt;'Skenario A B C'!$E$10,0,MAX(0,'Skenario A B C'!$I$10-'Skenario A B C'!$L$10))</f>
        <v/>
      </c>
      <c r="M94">
        <f>IF(10&lt;'Skenario A B C'!$E$10,0,MAX(0,'Skenario A B C'!$I$10-'Skenario A B C'!$L$10))</f>
        <v/>
      </c>
      <c r="N94">
        <f>IF(11&lt;'Skenario A B C'!$E$10,0,MAX(0,'Skenario A B C'!$I$10-'Skenario A B C'!$L$10))</f>
        <v/>
      </c>
      <c r="O94">
        <f>IF(12&lt;'Skenario A B C'!$E$10,0,MAX(0,'Skenario A B C'!$I$10-'Skenario A B C'!$L$10))</f>
        <v/>
      </c>
      <c r="P94">
        <f>IF(13&lt;'Skenario A B C'!$E$10,0,MAX(0,'Skenario A B C'!$J$10-'Skenario A B C'!$L$10))</f>
        <v/>
      </c>
      <c r="Q94">
        <f>IF(14&lt;'Skenario A B C'!$E$10,0,MAX(0,'Skenario A B C'!$J$10-'Skenario A B C'!$L$10))</f>
        <v/>
      </c>
      <c r="R94">
        <f>IF(15&lt;'Skenario A B C'!$E$10,0,MAX(0,'Skenario A B C'!$J$10-'Skenario A B C'!$L$10))</f>
        <v/>
      </c>
      <c r="S94">
        <f>IF(16&lt;'Skenario A B C'!$E$10,0,MAX(0,'Skenario A B C'!$J$10-'Skenario A B C'!$L$10))</f>
        <v/>
      </c>
      <c r="T94">
        <f>IF(17&lt;'Skenario A B C'!$E$10,0,MAX(0,'Skenario A B C'!$J$10-'Skenario A B C'!$L$10))</f>
        <v/>
      </c>
      <c r="U94">
        <f>IF(18&lt;'Skenario A B C'!$E$10,0,MAX(0,'Skenario A B C'!$J$10-'Skenario A B C'!$L$10))</f>
        <v/>
      </c>
      <c r="V94">
        <f>IF(19&lt;'Skenario A B C'!$E$10,0,MAX(0,'Skenario A B C'!$J$10-'Skenario A B C'!$L$10))</f>
        <v/>
      </c>
      <c r="W94">
        <f>IF(20&lt;'Skenario A B C'!$E$10,0,MAX(0,'Skenario A B C'!$J$10-'Skenario A B C'!$L$10))</f>
        <v/>
      </c>
      <c r="X94">
        <f>IF(21&lt;'Skenario A B C'!$E$10,0,MAX(0,'Skenario A B C'!$J$10-'Skenario A B C'!$L$10))</f>
        <v/>
      </c>
      <c r="Y94">
        <f>IF(22&lt;'Skenario A B C'!$E$10,0,MAX(0,'Skenario A B C'!$J$10-'Skenario A B C'!$L$10))</f>
        <v/>
      </c>
      <c r="Z94">
        <f>IF(23&lt;'Skenario A B C'!$E$10,0,MAX(0,'Skenario A B C'!$J$10-'Skenario A B C'!$L$10))</f>
        <v/>
      </c>
      <c r="AA94">
        <f>IF(24&lt;'Skenario A B C'!$E$10,0,MAX(0,'Skenario A B C'!$J$10-'Skenario A B C'!$L$10))</f>
        <v/>
      </c>
    </row>
    <row r="95">
      <c r="A95" t="inlineStr">
        <is>
          <t>Mobile Engineer (Mid)</t>
        </is>
      </c>
      <c r="B95" s="6">
        <f>'Skenario A B C'!$F$11</f>
        <v/>
      </c>
      <c r="D95">
        <f>IF(1&lt;'Skenario A B C'!$E$11,0,MAX(0,'Skenario A B C'!$H$11-'Skenario A B C'!$L$11))</f>
        <v/>
      </c>
      <c r="E95">
        <f>IF(2&lt;'Skenario A B C'!$E$11,0,MAX(0,'Skenario A B C'!$H$11-'Skenario A B C'!$L$11))</f>
        <v/>
      </c>
      <c r="F95">
        <f>IF(3&lt;'Skenario A B C'!$E$11,0,MAX(0,'Skenario A B C'!$H$11-'Skenario A B C'!$L$11))</f>
        <v/>
      </c>
      <c r="G95">
        <f>IF(4&lt;'Skenario A B C'!$E$11,0,MAX(0,'Skenario A B C'!$I$11-'Skenario A B C'!$L$11))</f>
        <v/>
      </c>
      <c r="H95">
        <f>IF(5&lt;'Skenario A B C'!$E$11,0,MAX(0,'Skenario A B C'!$I$11-'Skenario A B C'!$L$11))</f>
        <v/>
      </c>
      <c r="I95">
        <f>IF(6&lt;'Skenario A B C'!$E$11,0,MAX(0,'Skenario A B C'!$I$11-'Skenario A B C'!$L$11))</f>
        <v/>
      </c>
      <c r="J95">
        <f>IF(7&lt;'Skenario A B C'!$E$11,0,MAX(0,'Skenario A B C'!$I$11-'Skenario A B C'!$L$11))</f>
        <v/>
      </c>
      <c r="K95">
        <f>IF(8&lt;'Skenario A B C'!$E$11,0,MAX(0,'Skenario A B C'!$I$11-'Skenario A B C'!$L$11))</f>
        <v/>
      </c>
      <c r="L95">
        <f>IF(9&lt;'Skenario A B C'!$E$11,0,MAX(0,'Skenario A B C'!$I$11-'Skenario A B C'!$L$11))</f>
        <v/>
      </c>
      <c r="M95">
        <f>IF(10&lt;'Skenario A B C'!$E$11,0,MAX(0,'Skenario A B C'!$I$11-'Skenario A B C'!$L$11))</f>
        <v/>
      </c>
      <c r="N95">
        <f>IF(11&lt;'Skenario A B C'!$E$11,0,MAX(0,'Skenario A B C'!$I$11-'Skenario A B C'!$L$11))</f>
        <v/>
      </c>
      <c r="O95">
        <f>IF(12&lt;'Skenario A B C'!$E$11,0,MAX(0,'Skenario A B C'!$I$11-'Skenario A B C'!$L$11))</f>
        <v/>
      </c>
      <c r="P95">
        <f>IF(13&lt;'Skenario A B C'!$E$11,0,MAX(0,'Skenario A B C'!$J$11-'Skenario A B C'!$L$11))</f>
        <v/>
      </c>
      <c r="Q95">
        <f>IF(14&lt;'Skenario A B C'!$E$11,0,MAX(0,'Skenario A B C'!$J$11-'Skenario A B C'!$L$11))</f>
        <v/>
      </c>
      <c r="R95">
        <f>IF(15&lt;'Skenario A B C'!$E$11,0,MAX(0,'Skenario A B C'!$J$11-'Skenario A B C'!$L$11))</f>
        <v/>
      </c>
      <c r="S95">
        <f>IF(16&lt;'Skenario A B C'!$E$11,0,MAX(0,'Skenario A B C'!$J$11-'Skenario A B C'!$L$11))</f>
        <v/>
      </c>
      <c r="T95">
        <f>IF(17&lt;'Skenario A B C'!$E$11,0,MAX(0,'Skenario A B C'!$J$11-'Skenario A B C'!$L$11))</f>
        <v/>
      </c>
      <c r="U95">
        <f>IF(18&lt;'Skenario A B C'!$E$11,0,MAX(0,'Skenario A B C'!$J$11-'Skenario A B C'!$L$11))</f>
        <v/>
      </c>
      <c r="V95">
        <f>IF(19&lt;'Skenario A B C'!$E$11,0,MAX(0,'Skenario A B C'!$J$11-'Skenario A B C'!$L$11))</f>
        <v/>
      </c>
      <c r="W95">
        <f>IF(20&lt;'Skenario A B C'!$E$11,0,MAX(0,'Skenario A B C'!$J$11-'Skenario A B C'!$L$11))</f>
        <v/>
      </c>
      <c r="X95">
        <f>IF(21&lt;'Skenario A B C'!$E$11,0,MAX(0,'Skenario A B C'!$J$11-'Skenario A B C'!$L$11))</f>
        <v/>
      </c>
      <c r="Y95">
        <f>IF(22&lt;'Skenario A B C'!$E$11,0,MAX(0,'Skenario A B C'!$J$11-'Skenario A B C'!$L$11))</f>
        <v/>
      </c>
      <c r="Z95">
        <f>IF(23&lt;'Skenario A B C'!$E$11,0,MAX(0,'Skenario A B C'!$J$11-'Skenario A B C'!$L$11))</f>
        <v/>
      </c>
      <c r="AA95">
        <f>IF(24&lt;'Skenario A B C'!$E$11,0,MAX(0,'Skenario A B C'!$J$11-'Skenario A B C'!$L$11))</f>
        <v/>
      </c>
    </row>
    <row r="96">
      <c r="A96" t="inlineStr">
        <is>
          <t>Mobile Engineer (Mid) - gelombang 2</t>
        </is>
      </c>
      <c r="B96" s="6">
        <f>'Skenario A B C'!$F$12</f>
        <v/>
      </c>
      <c r="D96">
        <f>IF(1&lt;'Skenario A B C'!$E$12,0,MAX(0,'Skenario A B C'!$H$12-'Skenario A B C'!$L$12))</f>
        <v/>
      </c>
      <c r="E96">
        <f>IF(2&lt;'Skenario A B C'!$E$12,0,MAX(0,'Skenario A B C'!$H$12-'Skenario A B C'!$L$12))</f>
        <v/>
      </c>
      <c r="F96">
        <f>IF(3&lt;'Skenario A B C'!$E$12,0,MAX(0,'Skenario A B C'!$H$12-'Skenario A B C'!$L$12))</f>
        <v/>
      </c>
      <c r="G96">
        <f>IF(4&lt;'Skenario A B C'!$E$12,0,MAX(0,'Skenario A B C'!$I$12-'Skenario A B C'!$L$12))</f>
        <v/>
      </c>
      <c r="H96">
        <f>IF(5&lt;'Skenario A B C'!$E$12,0,MAX(0,'Skenario A B C'!$I$12-'Skenario A B C'!$L$12))</f>
        <v/>
      </c>
      <c r="I96">
        <f>IF(6&lt;'Skenario A B C'!$E$12,0,MAX(0,'Skenario A B C'!$I$12-'Skenario A B C'!$L$12))</f>
        <v/>
      </c>
      <c r="J96">
        <f>IF(7&lt;'Skenario A B C'!$E$12,0,MAX(0,'Skenario A B C'!$I$12-'Skenario A B C'!$L$12))</f>
        <v/>
      </c>
      <c r="K96">
        <f>IF(8&lt;'Skenario A B C'!$E$12,0,MAX(0,'Skenario A B C'!$I$12-'Skenario A B C'!$L$12))</f>
        <v/>
      </c>
      <c r="L96">
        <f>IF(9&lt;'Skenario A B C'!$E$12,0,MAX(0,'Skenario A B C'!$I$12-'Skenario A B C'!$L$12))</f>
        <v/>
      </c>
      <c r="M96">
        <f>IF(10&lt;'Skenario A B C'!$E$12,0,MAX(0,'Skenario A B C'!$I$12-'Skenario A B C'!$L$12))</f>
        <v/>
      </c>
      <c r="N96">
        <f>IF(11&lt;'Skenario A B C'!$E$12,0,MAX(0,'Skenario A B C'!$I$12-'Skenario A B C'!$L$12))</f>
        <v/>
      </c>
      <c r="O96">
        <f>IF(12&lt;'Skenario A B C'!$E$12,0,MAX(0,'Skenario A B C'!$I$12-'Skenario A B C'!$L$12))</f>
        <v/>
      </c>
      <c r="P96">
        <f>IF(13&lt;'Skenario A B C'!$E$12,0,MAX(0,'Skenario A B C'!$J$12-'Skenario A B C'!$L$12))</f>
        <v/>
      </c>
      <c r="Q96">
        <f>IF(14&lt;'Skenario A B C'!$E$12,0,MAX(0,'Skenario A B C'!$J$12-'Skenario A B C'!$L$12))</f>
        <v/>
      </c>
      <c r="R96">
        <f>IF(15&lt;'Skenario A B C'!$E$12,0,MAX(0,'Skenario A B C'!$J$12-'Skenario A B C'!$L$12))</f>
        <v/>
      </c>
      <c r="S96">
        <f>IF(16&lt;'Skenario A B C'!$E$12,0,MAX(0,'Skenario A B C'!$J$12-'Skenario A B C'!$L$12))</f>
        <v/>
      </c>
      <c r="T96">
        <f>IF(17&lt;'Skenario A B C'!$E$12,0,MAX(0,'Skenario A B C'!$J$12-'Skenario A B C'!$L$12))</f>
        <v/>
      </c>
      <c r="U96">
        <f>IF(18&lt;'Skenario A B C'!$E$12,0,MAX(0,'Skenario A B C'!$J$12-'Skenario A B C'!$L$12))</f>
        <v/>
      </c>
      <c r="V96">
        <f>IF(19&lt;'Skenario A B C'!$E$12,0,MAX(0,'Skenario A B C'!$J$12-'Skenario A B C'!$L$12))</f>
        <v/>
      </c>
      <c r="W96">
        <f>IF(20&lt;'Skenario A B C'!$E$12,0,MAX(0,'Skenario A B C'!$J$12-'Skenario A B C'!$L$12))</f>
        <v/>
      </c>
      <c r="X96">
        <f>IF(21&lt;'Skenario A B C'!$E$12,0,MAX(0,'Skenario A B C'!$J$12-'Skenario A B C'!$L$12))</f>
        <v/>
      </c>
      <c r="Y96">
        <f>IF(22&lt;'Skenario A B C'!$E$12,0,MAX(0,'Skenario A B C'!$J$12-'Skenario A B C'!$L$12))</f>
        <v/>
      </c>
      <c r="Z96">
        <f>IF(23&lt;'Skenario A B C'!$E$12,0,MAX(0,'Skenario A B C'!$J$12-'Skenario A B C'!$L$12))</f>
        <v/>
      </c>
      <c r="AA96">
        <f>IF(24&lt;'Skenario A B C'!$E$12,0,MAX(0,'Skenario A B C'!$J$12-'Skenario A B C'!$L$12))</f>
        <v/>
      </c>
    </row>
    <row r="97">
      <c r="A97" t="inlineStr">
        <is>
          <t>Backend Engineer (Senior)</t>
        </is>
      </c>
      <c r="B97" s="6">
        <f>'Skenario A B C'!$F$13</f>
        <v/>
      </c>
      <c r="D97">
        <f>IF(1&lt;'Skenario A B C'!$E$13,0,MAX(0,'Skenario A B C'!$H$13-'Skenario A B C'!$L$13))</f>
        <v/>
      </c>
      <c r="E97">
        <f>IF(2&lt;'Skenario A B C'!$E$13,0,MAX(0,'Skenario A B C'!$H$13-'Skenario A B C'!$L$13))</f>
        <v/>
      </c>
      <c r="F97">
        <f>IF(3&lt;'Skenario A B C'!$E$13,0,MAX(0,'Skenario A B C'!$H$13-'Skenario A B C'!$L$13))</f>
        <v/>
      </c>
      <c r="G97">
        <f>IF(4&lt;'Skenario A B C'!$E$13,0,MAX(0,'Skenario A B C'!$I$13-'Skenario A B C'!$L$13))</f>
        <v/>
      </c>
      <c r="H97">
        <f>IF(5&lt;'Skenario A B C'!$E$13,0,MAX(0,'Skenario A B C'!$I$13-'Skenario A B C'!$L$13))</f>
        <v/>
      </c>
      <c r="I97">
        <f>IF(6&lt;'Skenario A B C'!$E$13,0,MAX(0,'Skenario A B C'!$I$13-'Skenario A B C'!$L$13))</f>
        <v/>
      </c>
      <c r="J97">
        <f>IF(7&lt;'Skenario A B C'!$E$13,0,MAX(0,'Skenario A B C'!$I$13-'Skenario A B C'!$L$13))</f>
        <v/>
      </c>
      <c r="K97">
        <f>IF(8&lt;'Skenario A B C'!$E$13,0,MAX(0,'Skenario A B C'!$I$13-'Skenario A B C'!$L$13))</f>
        <v/>
      </c>
      <c r="L97">
        <f>IF(9&lt;'Skenario A B C'!$E$13,0,MAX(0,'Skenario A B C'!$I$13-'Skenario A B C'!$L$13))</f>
        <v/>
      </c>
      <c r="M97">
        <f>IF(10&lt;'Skenario A B C'!$E$13,0,MAX(0,'Skenario A B C'!$I$13-'Skenario A B C'!$L$13))</f>
        <v/>
      </c>
      <c r="N97">
        <f>IF(11&lt;'Skenario A B C'!$E$13,0,MAX(0,'Skenario A B C'!$I$13-'Skenario A B C'!$L$13))</f>
        <v/>
      </c>
      <c r="O97">
        <f>IF(12&lt;'Skenario A B C'!$E$13,0,MAX(0,'Skenario A B C'!$I$13-'Skenario A B C'!$L$13))</f>
        <v/>
      </c>
      <c r="P97">
        <f>IF(13&lt;'Skenario A B C'!$E$13,0,MAX(0,'Skenario A B C'!$J$13-'Skenario A B C'!$L$13))</f>
        <v/>
      </c>
      <c r="Q97">
        <f>IF(14&lt;'Skenario A B C'!$E$13,0,MAX(0,'Skenario A B C'!$J$13-'Skenario A B C'!$L$13))</f>
        <v/>
      </c>
      <c r="R97">
        <f>IF(15&lt;'Skenario A B C'!$E$13,0,MAX(0,'Skenario A B C'!$J$13-'Skenario A B C'!$L$13))</f>
        <v/>
      </c>
      <c r="S97">
        <f>IF(16&lt;'Skenario A B C'!$E$13,0,MAX(0,'Skenario A B C'!$J$13-'Skenario A B C'!$L$13))</f>
        <v/>
      </c>
      <c r="T97">
        <f>IF(17&lt;'Skenario A B C'!$E$13,0,MAX(0,'Skenario A B C'!$J$13-'Skenario A B C'!$L$13))</f>
        <v/>
      </c>
      <c r="U97">
        <f>IF(18&lt;'Skenario A B C'!$E$13,0,MAX(0,'Skenario A B C'!$J$13-'Skenario A B C'!$L$13))</f>
        <v/>
      </c>
      <c r="V97">
        <f>IF(19&lt;'Skenario A B C'!$E$13,0,MAX(0,'Skenario A B C'!$J$13-'Skenario A B C'!$L$13))</f>
        <v/>
      </c>
      <c r="W97">
        <f>IF(20&lt;'Skenario A B C'!$E$13,0,MAX(0,'Skenario A B C'!$J$13-'Skenario A B C'!$L$13))</f>
        <v/>
      </c>
      <c r="X97">
        <f>IF(21&lt;'Skenario A B C'!$E$13,0,MAX(0,'Skenario A B C'!$J$13-'Skenario A B C'!$L$13))</f>
        <v/>
      </c>
      <c r="Y97">
        <f>IF(22&lt;'Skenario A B C'!$E$13,0,MAX(0,'Skenario A B C'!$J$13-'Skenario A B C'!$L$13))</f>
        <v/>
      </c>
      <c r="Z97">
        <f>IF(23&lt;'Skenario A B C'!$E$13,0,MAX(0,'Skenario A B C'!$J$13-'Skenario A B C'!$L$13))</f>
        <v/>
      </c>
      <c r="AA97">
        <f>IF(24&lt;'Skenario A B C'!$E$13,0,MAX(0,'Skenario A B C'!$J$13-'Skenario A B C'!$L$13))</f>
        <v/>
      </c>
    </row>
    <row r="98">
      <c r="A98" t="inlineStr">
        <is>
          <t>Backend Engineer (Senior) - gelombang 2</t>
        </is>
      </c>
      <c r="B98" s="6">
        <f>'Skenario A B C'!$F$14</f>
        <v/>
      </c>
      <c r="D98">
        <f>IF(1&lt;'Skenario A B C'!$E$14,0,MAX(0,'Skenario A B C'!$H$14-'Skenario A B C'!$L$14))</f>
        <v/>
      </c>
      <c r="E98">
        <f>IF(2&lt;'Skenario A B C'!$E$14,0,MAX(0,'Skenario A B C'!$H$14-'Skenario A B C'!$L$14))</f>
        <v/>
      </c>
      <c r="F98">
        <f>IF(3&lt;'Skenario A B C'!$E$14,0,MAX(0,'Skenario A B C'!$H$14-'Skenario A B C'!$L$14))</f>
        <v/>
      </c>
      <c r="G98">
        <f>IF(4&lt;'Skenario A B C'!$E$14,0,MAX(0,'Skenario A B C'!$I$14-'Skenario A B C'!$L$14))</f>
        <v/>
      </c>
      <c r="H98">
        <f>IF(5&lt;'Skenario A B C'!$E$14,0,MAX(0,'Skenario A B C'!$I$14-'Skenario A B C'!$L$14))</f>
        <v/>
      </c>
      <c r="I98">
        <f>IF(6&lt;'Skenario A B C'!$E$14,0,MAX(0,'Skenario A B C'!$I$14-'Skenario A B C'!$L$14))</f>
        <v/>
      </c>
      <c r="J98">
        <f>IF(7&lt;'Skenario A B C'!$E$14,0,MAX(0,'Skenario A B C'!$I$14-'Skenario A B C'!$L$14))</f>
        <v/>
      </c>
      <c r="K98">
        <f>IF(8&lt;'Skenario A B C'!$E$14,0,MAX(0,'Skenario A B C'!$I$14-'Skenario A B C'!$L$14))</f>
        <v/>
      </c>
      <c r="L98">
        <f>IF(9&lt;'Skenario A B C'!$E$14,0,MAX(0,'Skenario A B C'!$I$14-'Skenario A B C'!$L$14))</f>
        <v/>
      </c>
      <c r="M98">
        <f>IF(10&lt;'Skenario A B C'!$E$14,0,MAX(0,'Skenario A B C'!$I$14-'Skenario A B C'!$L$14))</f>
        <v/>
      </c>
      <c r="N98">
        <f>IF(11&lt;'Skenario A B C'!$E$14,0,MAX(0,'Skenario A B C'!$I$14-'Skenario A B C'!$L$14))</f>
        <v/>
      </c>
      <c r="O98">
        <f>IF(12&lt;'Skenario A B C'!$E$14,0,MAX(0,'Skenario A B C'!$I$14-'Skenario A B C'!$L$14))</f>
        <v/>
      </c>
      <c r="P98">
        <f>IF(13&lt;'Skenario A B C'!$E$14,0,MAX(0,'Skenario A B C'!$J$14-'Skenario A B C'!$L$14))</f>
        <v/>
      </c>
      <c r="Q98">
        <f>IF(14&lt;'Skenario A B C'!$E$14,0,MAX(0,'Skenario A B C'!$J$14-'Skenario A B C'!$L$14))</f>
        <v/>
      </c>
      <c r="R98">
        <f>IF(15&lt;'Skenario A B C'!$E$14,0,MAX(0,'Skenario A B C'!$J$14-'Skenario A B C'!$L$14))</f>
        <v/>
      </c>
      <c r="S98">
        <f>IF(16&lt;'Skenario A B C'!$E$14,0,MAX(0,'Skenario A B C'!$J$14-'Skenario A B C'!$L$14))</f>
        <v/>
      </c>
      <c r="T98">
        <f>IF(17&lt;'Skenario A B C'!$E$14,0,MAX(0,'Skenario A B C'!$J$14-'Skenario A B C'!$L$14))</f>
        <v/>
      </c>
      <c r="U98">
        <f>IF(18&lt;'Skenario A B C'!$E$14,0,MAX(0,'Skenario A B C'!$J$14-'Skenario A B C'!$L$14))</f>
        <v/>
      </c>
      <c r="V98">
        <f>IF(19&lt;'Skenario A B C'!$E$14,0,MAX(0,'Skenario A B C'!$J$14-'Skenario A B C'!$L$14))</f>
        <v/>
      </c>
      <c r="W98">
        <f>IF(20&lt;'Skenario A B C'!$E$14,0,MAX(0,'Skenario A B C'!$J$14-'Skenario A B C'!$L$14))</f>
        <v/>
      </c>
      <c r="X98">
        <f>IF(21&lt;'Skenario A B C'!$E$14,0,MAX(0,'Skenario A B C'!$J$14-'Skenario A B C'!$L$14))</f>
        <v/>
      </c>
      <c r="Y98">
        <f>IF(22&lt;'Skenario A B C'!$E$14,0,MAX(0,'Skenario A B C'!$J$14-'Skenario A B C'!$L$14))</f>
        <v/>
      </c>
      <c r="Z98">
        <f>IF(23&lt;'Skenario A B C'!$E$14,0,MAX(0,'Skenario A B C'!$J$14-'Skenario A B C'!$L$14))</f>
        <v/>
      </c>
      <c r="AA98">
        <f>IF(24&lt;'Skenario A B C'!$E$14,0,MAX(0,'Skenario A B C'!$J$14-'Skenario A B C'!$L$14))</f>
        <v/>
      </c>
    </row>
    <row r="99">
      <c r="A99" t="inlineStr">
        <is>
          <t>Backend Engineer (Mid)</t>
        </is>
      </c>
      <c r="B99" s="6">
        <f>'Skenario A B C'!$F$15</f>
        <v/>
      </c>
      <c r="D99">
        <f>IF(1&lt;'Skenario A B C'!$E$15,0,MAX(0,'Skenario A B C'!$H$15-'Skenario A B C'!$L$15))</f>
        <v/>
      </c>
      <c r="E99">
        <f>IF(2&lt;'Skenario A B C'!$E$15,0,MAX(0,'Skenario A B C'!$H$15-'Skenario A B C'!$L$15))</f>
        <v/>
      </c>
      <c r="F99">
        <f>IF(3&lt;'Skenario A B C'!$E$15,0,MAX(0,'Skenario A B C'!$H$15-'Skenario A B C'!$L$15))</f>
        <v/>
      </c>
      <c r="G99">
        <f>IF(4&lt;'Skenario A B C'!$E$15,0,MAX(0,'Skenario A B C'!$I$15-'Skenario A B C'!$L$15))</f>
        <v/>
      </c>
      <c r="H99">
        <f>IF(5&lt;'Skenario A B C'!$E$15,0,MAX(0,'Skenario A B C'!$I$15-'Skenario A B C'!$L$15))</f>
        <v/>
      </c>
      <c r="I99">
        <f>IF(6&lt;'Skenario A B C'!$E$15,0,MAX(0,'Skenario A B C'!$I$15-'Skenario A B C'!$L$15))</f>
        <v/>
      </c>
      <c r="J99">
        <f>IF(7&lt;'Skenario A B C'!$E$15,0,MAX(0,'Skenario A B C'!$I$15-'Skenario A B C'!$L$15))</f>
        <v/>
      </c>
      <c r="K99">
        <f>IF(8&lt;'Skenario A B C'!$E$15,0,MAX(0,'Skenario A B C'!$I$15-'Skenario A B C'!$L$15))</f>
        <v/>
      </c>
      <c r="L99">
        <f>IF(9&lt;'Skenario A B C'!$E$15,0,MAX(0,'Skenario A B C'!$I$15-'Skenario A B C'!$L$15))</f>
        <v/>
      </c>
      <c r="M99">
        <f>IF(10&lt;'Skenario A B C'!$E$15,0,MAX(0,'Skenario A B C'!$I$15-'Skenario A B C'!$L$15))</f>
        <v/>
      </c>
      <c r="N99">
        <f>IF(11&lt;'Skenario A B C'!$E$15,0,MAX(0,'Skenario A B C'!$I$15-'Skenario A B C'!$L$15))</f>
        <v/>
      </c>
      <c r="O99">
        <f>IF(12&lt;'Skenario A B C'!$E$15,0,MAX(0,'Skenario A B C'!$I$15-'Skenario A B C'!$L$15))</f>
        <v/>
      </c>
      <c r="P99">
        <f>IF(13&lt;'Skenario A B C'!$E$15,0,MAX(0,'Skenario A B C'!$J$15-'Skenario A B C'!$L$15))</f>
        <v/>
      </c>
      <c r="Q99">
        <f>IF(14&lt;'Skenario A B C'!$E$15,0,MAX(0,'Skenario A B C'!$J$15-'Skenario A B C'!$L$15))</f>
        <v/>
      </c>
      <c r="R99">
        <f>IF(15&lt;'Skenario A B C'!$E$15,0,MAX(0,'Skenario A B C'!$J$15-'Skenario A B C'!$L$15))</f>
        <v/>
      </c>
      <c r="S99">
        <f>IF(16&lt;'Skenario A B C'!$E$15,0,MAX(0,'Skenario A B C'!$J$15-'Skenario A B C'!$L$15))</f>
        <v/>
      </c>
      <c r="T99">
        <f>IF(17&lt;'Skenario A B C'!$E$15,0,MAX(0,'Skenario A B C'!$J$15-'Skenario A B C'!$L$15))</f>
        <v/>
      </c>
      <c r="U99">
        <f>IF(18&lt;'Skenario A B C'!$E$15,0,MAX(0,'Skenario A B C'!$J$15-'Skenario A B C'!$L$15))</f>
        <v/>
      </c>
      <c r="V99">
        <f>IF(19&lt;'Skenario A B C'!$E$15,0,MAX(0,'Skenario A B C'!$J$15-'Skenario A B C'!$L$15))</f>
        <v/>
      </c>
      <c r="W99">
        <f>IF(20&lt;'Skenario A B C'!$E$15,0,MAX(0,'Skenario A B C'!$J$15-'Skenario A B C'!$L$15))</f>
        <v/>
      </c>
      <c r="X99">
        <f>IF(21&lt;'Skenario A B C'!$E$15,0,MAX(0,'Skenario A B C'!$J$15-'Skenario A B C'!$L$15))</f>
        <v/>
      </c>
      <c r="Y99">
        <f>IF(22&lt;'Skenario A B C'!$E$15,0,MAX(0,'Skenario A B C'!$J$15-'Skenario A B C'!$L$15))</f>
        <v/>
      </c>
      <c r="Z99">
        <f>IF(23&lt;'Skenario A B C'!$E$15,0,MAX(0,'Skenario A B C'!$J$15-'Skenario A B C'!$L$15))</f>
        <v/>
      </c>
      <c r="AA99">
        <f>IF(24&lt;'Skenario A B C'!$E$15,0,MAX(0,'Skenario A B C'!$J$15-'Skenario A B C'!$L$15))</f>
        <v/>
      </c>
    </row>
    <row r="100">
      <c r="A100" t="inlineStr">
        <is>
          <t>Backend Engineer (Mid) - gelombang 2</t>
        </is>
      </c>
      <c r="B100" s="6">
        <f>'Skenario A B C'!$F$16</f>
        <v/>
      </c>
      <c r="D100">
        <f>IF(1&lt;'Skenario A B C'!$E$16,0,MAX(0,'Skenario A B C'!$H$16-'Skenario A B C'!$L$16))</f>
        <v/>
      </c>
      <c r="E100">
        <f>IF(2&lt;'Skenario A B C'!$E$16,0,MAX(0,'Skenario A B C'!$H$16-'Skenario A B C'!$L$16))</f>
        <v/>
      </c>
      <c r="F100">
        <f>IF(3&lt;'Skenario A B C'!$E$16,0,MAX(0,'Skenario A B C'!$H$16-'Skenario A B C'!$L$16))</f>
        <v/>
      </c>
      <c r="G100">
        <f>IF(4&lt;'Skenario A B C'!$E$16,0,MAX(0,'Skenario A B C'!$I$16-'Skenario A B C'!$L$16))</f>
        <v/>
      </c>
      <c r="H100">
        <f>IF(5&lt;'Skenario A B C'!$E$16,0,MAX(0,'Skenario A B C'!$I$16-'Skenario A B C'!$L$16))</f>
        <v/>
      </c>
      <c r="I100">
        <f>IF(6&lt;'Skenario A B C'!$E$16,0,MAX(0,'Skenario A B C'!$I$16-'Skenario A B C'!$L$16))</f>
        <v/>
      </c>
      <c r="J100">
        <f>IF(7&lt;'Skenario A B C'!$E$16,0,MAX(0,'Skenario A B C'!$I$16-'Skenario A B C'!$L$16))</f>
        <v/>
      </c>
      <c r="K100">
        <f>IF(8&lt;'Skenario A B C'!$E$16,0,MAX(0,'Skenario A B C'!$I$16-'Skenario A B C'!$L$16))</f>
        <v/>
      </c>
      <c r="L100">
        <f>IF(9&lt;'Skenario A B C'!$E$16,0,MAX(0,'Skenario A B C'!$I$16-'Skenario A B C'!$L$16))</f>
        <v/>
      </c>
      <c r="M100">
        <f>IF(10&lt;'Skenario A B C'!$E$16,0,MAX(0,'Skenario A B C'!$I$16-'Skenario A B C'!$L$16))</f>
        <v/>
      </c>
      <c r="N100">
        <f>IF(11&lt;'Skenario A B C'!$E$16,0,MAX(0,'Skenario A B C'!$I$16-'Skenario A B C'!$L$16))</f>
        <v/>
      </c>
      <c r="O100">
        <f>IF(12&lt;'Skenario A B C'!$E$16,0,MAX(0,'Skenario A B C'!$I$16-'Skenario A B C'!$L$16))</f>
        <v/>
      </c>
      <c r="P100">
        <f>IF(13&lt;'Skenario A B C'!$E$16,0,MAX(0,'Skenario A B C'!$J$16-'Skenario A B C'!$L$16))</f>
        <v/>
      </c>
      <c r="Q100">
        <f>IF(14&lt;'Skenario A B C'!$E$16,0,MAX(0,'Skenario A B C'!$J$16-'Skenario A B C'!$L$16))</f>
        <v/>
      </c>
      <c r="R100">
        <f>IF(15&lt;'Skenario A B C'!$E$16,0,MAX(0,'Skenario A B C'!$J$16-'Skenario A B C'!$L$16))</f>
        <v/>
      </c>
      <c r="S100">
        <f>IF(16&lt;'Skenario A B C'!$E$16,0,MAX(0,'Skenario A B C'!$J$16-'Skenario A B C'!$L$16))</f>
        <v/>
      </c>
      <c r="T100">
        <f>IF(17&lt;'Skenario A B C'!$E$16,0,MAX(0,'Skenario A B C'!$J$16-'Skenario A B C'!$L$16))</f>
        <v/>
      </c>
      <c r="U100">
        <f>IF(18&lt;'Skenario A B C'!$E$16,0,MAX(0,'Skenario A B C'!$J$16-'Skenario A B C'!$L$16))</f>
        <v/>
      </c>
      <c r="V100">
        <f>IF(19&lt;'Skenario A B C'!$E$16,0,MAX(0,'Skenario A B C'!$J$16-'Skenario A B C'!$L$16))</f>
        <v/>
      </c>
      <c r="W100">
        <f>IF(20&lt;'Skenario A B C'!$E$16,0,MAX(0,'Skenario A B C'!$J$16-'Skenario A B C'!$L$16))</f>
        <v/>
      </c>
      <c r="X100">
        <f>IF(21&lt;'Skenario A B C'!$E$16,0,MAX(0,'Skenario A B C'!$J$16-'Skenario A B C'!$L$16))</f>
        <v/>
      </c>
      <c r="Y100">
        <f>IF(22&lt;'Skenario A B C'!$E$16,0,MAX(0,'Skenario A B C'!$J$16-'Skenario A B C'!$L$16))</f>
        <v/>
      </c>
      <c r="Z100">
        <f>IF(23&lt;'Skenario A B C'!$E$16,0,MAX(0,'Skenario A B C'!$J$16-'Skenario A B C'!$L$16))</f>
        <v/>
      </c>
      <c r="AA100">
        <f>IF(24&lt;'Skenario A B C'!$E$16,0,MAX(0,'Skenario A B C'!$J$16-'Skenario A B C'!$L$16))</f>
        <v/>
      </c>
    </row>
    <row r="101">
      <c r="A101" t="inlineStr">
        <is>
          <t>QA Engineer</t>
        </is>
      </c>
      <c r="B101" s="6">
        <f>'Skenario A B C'!$F$17</f>
        <v/>
      </c>
      <c r="D101">
        <f>IF(1&lt;'Skenario A B C'!$E$17,0,MAX(0,'Skenario A B C'!$H$17-'Skenario A B C'!$L$17))</f>
        <v/>
      </c>
      <c r="E101">
        <f>IF(2&lt;'Skenario A B C'!$E$17,0,MAX(0,'Skenario A B C'!$H$17-'Skenario A B C'!$L$17))</f>
        <v/>
      </c>
      <c r="F101">
        <f>IF(3&lt;'Skenario A B C'!$E$17,0,MAX(0,'Skenario A B C'!$H$17-'Skenario A B C'!$L$17))</f>
        <v/>
      </c>
      <c r="G101">
        <f>IF(4&lt;'Skenario A B C'!$E$17,0,MAX(0,'Skenario A B C'!$I$17-'Skenario A B C'!$L$17))</f>
        <v/>
      </c>
      <c r="H101">
        <f>IF(5&lt;'Skenario A B C'!$E$17,0,MAX(0,'Skenario A B C'!$I$17-'Skenario A B C'!$L$17))</f>
        <v/>
      </c>
      <c r="I101">
        <f>IF(6&lt;'Skenario A B C'!$E$17,0,MAX(0,'Skenario A B C'!$I$17-'Skenario A B C'!$L$17))</f>
        <v/>
      </c>
      <c r="J101">
        <f>IF(7&lt;'Skenario A B C'!$E$17,0,MAX(0,'Skenario A B C'!$I$17-'Skenario A B C'!$L$17))</f>
        <v/>
      </c>
      <c r="K101">
        <f>IF(8&lt;'Skenario A B C'!$E$17,0,MAX(0,'Skenario A B C'!$I$17-'Skenario A B C'!$L$17))</f>
        <v/>
      </c>
      <c r="L101">
        <f>IF(9&lt;'Skenario A B C'!$E$17,0,MAX(0,'Skenario A B C'!$I$17-'Skenario A B C'!$L$17))</f>
        <v/>
      </c>
      <c r="M101">
        <f>IF(10&lt;'Skenario A B C'!$E$17,0,MAX(0,'Skenario A B C'!$I$17-'Skenario A B C'!$L$17))</f>
        <v/>
      </c>
      <c r="N101">
        <f>IF(11&lt;'Skenario A B C'!$E$17,0,MAX(0,'Skenario A B C'!$I$17-'Skenario A B C'!$L$17))</f>
        <v/>
      </c>
      <c r="O101">
        <f>IF(12&lt;'Skenario A B C'!$E$17,0,MAX(0,'Skenario A B C'!$I$17-'Skenario A B C'!$L$17))</f>
        <v/>
      </c>
      <c r="P101">
        <f>IF(13&lt;'Skenario A B C'!$E$17,0,MAX(0,'Skenario A B C'!$J$17-'Skenario A B C'!$L$17))</f>
        <v/>
      </c>
      <c r="Q101">
        <f>IF(14&lt;'Skenario A B C'!$E$17,0,MAX(0,'Skenario A B C'!$J$17-'Skenario A B C'!$L$17))</f>
        <v/>
      </c>
      <c r="R101">
        <f>IF(15&lt;'Skenario A B C'!$E$17,0,MAX(0,'Skenario A B C'!$J$17-'Skenario A B C'!$L$17))</f>
        <v/>
      </c>
      <c r="S101">
        <f>IF(16&lt;'Skenario A B C'!$E$17,0,MAX(0,'Skenario A B C'!$J$17-'Skenario A B C'!$L$17))</f>
        <v/>
      </c>
      <c r="T101">
        <f>IF(17&lt;'Skenario A B C'!$E$17,0,MAX(0,'Skenario A B C'!$J$17-'Skenario A B C'!$L$17))</f>
        <v/>
      </c>
      <c r="U101">
        <f>IF(18&lt;'Skenario A B C'!$E$17,0,MAX(0,'Skenario A B C'!$J$17-'Skenario A B C'!$L$17))</f>
        <v/>
      </c>
      <c r="V101">
        <f>IF(19&lt;'Skenario A B C'!$E$17,0,MAX(0,'Skenario A B C'!$J$17-'Skenario A B C'!$L$17))</f>
        <v/>
      </c>
      <c r="W101">
        <f>IF(20&lt;'Skenario A B C'!$E$17,0,MAX(0,'Skenario A B C'!$J$17-'Skenario A B C'!$L$17))</f>
        <v/>
      </c>
      <c r="X101">
        <f>IF(21&lt;'Skenario A B C'!$E$17,0,MAX(0,'Skenario A B C'!$J$17-'Skenario A B C'!$L$17))</f>
        <v/>
      </c>
      <c r="Y101">
        <f>IF(22&lt;'Skenario A B C'!$E$17,0,MAX(0,'Skenario A B C'!$J$17-'Skenario A B C'!$L$17))</f>
        <v/>
      </c>
      <c r="Z101">
        <f>IF(23&lt;'Skenario A B C'!$E$17,0,MAX(0,'Skenario A B C'!$J$17-'Skenario A B C'!$L$17))</f>
        <v/>
      </c>
      <c r="AA101">
        <f>IF(24&lt;'Skenario A B C'!$E$17,0,MAX(0,'Skenario A B C'!$J$17-'Skenario A B C'!$L$17))</f>
        <v/>
      </c>
    </row>
    <row r="102">
      <c r="A102" t="inlineStr">
        <is>
          <t>QA Engineer - gelombang 2</t>
        </is>
      </c>
      <c r="B102" s="6">
        <f>'Skenario A B C'!$F$18</f>
        <v/>
      </c>
      <c r="D102">
        <f>IF(1&lt;'Skenario A B C'!$E$18,0,MAX(0,'Skenario A B C'!$H$18-'Skenario A B C'!$L$18))</f>
        <v/>
      </c>
      <c r="E102">
        <f>IF(2&lt;'Skenario A B C'!$E$18,0,MAX(0,'Skenario A B C'!$H$18-'Skenario A B C'!$L$18))</f>
        <v/>
      </c>
      <c r="F102">
        <f>IF(3&lt;'Skenario A B C'!$E$18,0,MAX(0,'Skenario A B C'!$H$18-'Skenario A B C'!$L$18))</f>
        <v/>
      </c>
      <c r="G102">
        <f>IF(4&lt;'Skenario A B C'!$E$18,0,MAX(0,'Skenario A B C'!$I$18-'Skenario A B C'!$L$18))</f>
        <v/>
      </c>
      <c r="H102">
        <f>IF(5&lt;'Skenario A B C'!$E$18,0,MAX(0,'Skenario A B C'!$I$18-'Skenario A B C'!$L$18))</f>
        <v/>
      </c>
      <c r="I102">
        <f>IF(6&lt;'Skenario A B C'!$E$18,0,MAX(0,'Skenario A B C'!$I$18-'Skenario A B C'!$L$18))</f>
        <v/>
      </c>
      <c r="J102">
        <f>IF(7&lt;'Skenario A B C'!$E$18,0,MAX(0,'Skenario A B C'!$I$18-'Skenario A B C'!$L$18))</f>
        <v/>
      </c>
      <c r="K102">
        <f>IF(8&lt;'Skenario A B C'!$E$18,0,MAX(0,'Skenario A B C'!$I$18-'Skenario A B C'!$L$18))</f>
        <v/>
      </c>
      <c r="L102">
        <f>IF(9&lt;'Skenario A B C'!$E$18,0,MAX(0,'Skenario A B C'!$I$18-'Skenario A B C'!$L$18))</f>
        <v/>
      </c>
      <c r="M102">
        <f>IF(10&lt;'Skenario A B C'!$E$18,0,MAX(0,'Skenario A B C'!$I$18-'Skenario A B C'!$L$18))</f>
        <v/>
      </c>
      <c r="N102">
        <f>IF(11&lt;'Skenario A B C'!$E$18,0,MAX(0,'Skenario A B C'!$I$18-'Skenario A B C'!$L$18))</f>
        <v/>
      </c>
      <c r="O102">
        <f>IF(12&lt;'Skenario A B C'!$E$18,0,MAX(0,'Skenario A B C'!$I$18-'Skenario A B C'!$L$18))</f>
        <v/>
      </c>
      <c r="P102">
        <f>IF(13&lt;'Skenario A B C'!$E$18,0,MAX(0,'Skenario A B C'!$J$18-'Skenario A B C'!$L$18))</f>
        <v/>
      </c>
      <c r="Q102">
        <f>IF(14&lt;'Skenario A B C'!$E$18,0,MAX(0,'Skenario A B C'!$J$18-'Skenario A B C'!$L$18))</f>
        <v/>
      </c>
      <c r="R102">
        <f>IF(15&lt;'Skenario A B C'!$E$18,0,MAX(0,'Skenario A B C'!$J$18-'Skenario A B C'!$L$18))</f>
        <v/>
      </c>
      <c r="S102">
        <f>IF(16&lt;'Skenario A B C'!$E$18,0,MAX(0,'Skenario A B C'!$J$18-'Skenario A B C'!$L$18))</f>
        <v/>
      </c>
      <c r="T102">
        <f>IF(17&lt;'Skenario A B C'!$E$18,0,MAX(0,'Skenario A B C'!$J$18-'Skenario A B C'!$L$18))</f>
        <v/>
      </c>
      <c r="U102">
        <f>IF(18&lt;'Skenario A B C'!$E$18,0,MAX(0,'Skenario A B C'!$J$18-'Skenario A B C'!$L$18))</f>
        <v/>
      </c>
      <c r="V102">
        <f>IF(19&lt;'Skenario A B C'!$E$18,0,MAX(0,'Skenario A B C'!$J$18-'Skenario A B C'!$L$18))</f>
        <v/>
      </c>
      <c r="W102">
        <f>IF(20&lt;'Skenario A B C'!$E$18,0,MAX(0,'Skenario A B C'!$J$18-'Skenario A B C'!$L$18))</f>
        <v/>
      </c>
      <c r="X102">
        <f>IF(21&lt;'Skenario A B C'!$E$18,0,MAX(0,'Skenario A B C'!$J$18-'Skenario A B C'!$L$18))</f>
        <v/>
      </c>
      <c r="Y102">
        <f>IF(22&lt;'Skenario A B C'!$E$18,0,MAX(0,'Skenario A B C'!$J$18-'Skenario A B C'!$L$18))</f>
        <v/>
      </c>
      <c r="Z102">
        <f>IF(23&lt;'Skenario A B C'!$E$18,0,MAX(0,'Skenario A B C'!$J$18-'Skenario A B C'!$L$18))</f>
        <v/>
      </c>
      <c r="AA102">
        <f>IF(24&lt;'Skenario A B C'!$E$18,0,MAX(0,'Skenario A B C'!$J$18-'Skenario A B C'!$L$18))</f>
        <v/>
      </c>
    </row>
    <row r="103">
      <c r="A103" t="inlineStr">
        <is>
          <t>Junior Software Engineer</t>
        </is>
      </c>
      <c r="B103" s="6">
        <f>'Skenario A B C'!$F$19</f>
        <v/>
      </c>
      <c r="D103">
        <f>IF(1&lt;'Skenario A B C'!$E$19,0,MAX(0,'Skenario A B C'!$H$19-'Skenario A B C'!$L$19))</f>
        <v/>
      </c>
      <c r="E103">
        <f>IF(2&lt;'Skenario A B C'!$E$19,0,MAX(0,'Skenario A B C'!$H$19-'Skenario A B C'!$L$19))</f>
        <v/>
      </c>
      <c r="F103">
        <f>IF(3&lt;'Skenario A B C'!$E$19,0,MAX(0,'Skenario A B C'!$H$19-'Skenario A B C'!$L$19))</f>
        <v/>
      </c>
      <c r="G103">
        <f>IF(4&lt;'Skenario A B C'!$E$19,0,MAX(0,'Skenario A B C'!$I$19-'Skenario A B C'!$L$19))</f>
        <v/>
      </c>
      <c r="H103">
        <f>IF(5&lt;'Skenario A B C'!$E$19,0,MAX(0,'Skenario A B C'!$I$19-'Skenario A B C'!$L$19))</f>
        <v/>
      </c>
      <c r="I103">
        <f>IF(6&lt;'Skenario A B C'!$E$19,0,MAX(0,'Skenario A B C'!$I$19-'Skenario A B C'!$L$19))</f>
        <v/>
      </c>
      <c r="J103">
        <f>IF(7&lt;'Skenario A B C'!$E$19,0,MAX(0,'Skenario A B C'!$I$19-'Skenario A B C'!$L$19))</f>
        <v/>
      </c>
      <c r="K103">
        <f>IF(8&lt;'Skenario A B C'!$E$19,0,MAX(0,'Skenario A B C'!$I$19-'Skenario A B C'!$L$19))</f>
        <v/>
      </c>
      <c r="L103">
        <f>IF(9&lt;'Skenario A B C'!$E$19,0,MAX(0,'Skenario A B C'!$I$19-'Skenario A B C'!$L$19))</f>
        <v/>
      </c>
      <c r="M103">
        <f>IF(10&lt;'Skenario A B C'!$E$19,0,MAX(0,'Skenario A B C'!$I$19-'Skenario A B C'!$L$19))</f>
        <v/>
      </c>
      <c r="N103">
        <f>IF(11&lt;'Skenario A B C'!$E$19,0,MAX(0,'Skenario A B C'!$I$19-'Skenario A B C'!$L$19))</f>
        <v/>
      </c>
      <c r="O103">
        <f>IF(12&lt;'Skenario A B C'!$E$19,0,MAX(0,'Skenario A B C'!$I$19-'Skenario A B C'!$L$19))</f>
        <v/>
      </c>
      <c r="P103">
        <f>IF(13&lt;'Skenario A B C'!$E$19,0,MAX(0,'Skenario A B C'!$J$19-'Skenario A B C'!$L$19))</f>
        <v/>
      </c>
      <c r="Q103">
        <f>IF(14&lt;'Skenario A B C'!$E$19,0,MAX(0,'Skenario A B C'!$J$19-'Skenario A B C'!$L$19))</f>
        <v/>
      </c>
      <c r="R103">
        <f>IF(15&lt;'Skenario A B C'!$E$19,0,MAX(0,'Skenario A B C'!$J$19-'Skenario A B C'!$L$19))</f>
        <v/>
      </c>
      <c r="S103">
        <f>IF(16&lt;'Skenario A B C'!$E$19,0,MAX(0,'Skenario A B C'!$J$19-'Skenario A B C'!$L$19))</f>
        <v/>
      </c>
      <c r="T103">
        <f>IF(17&lt;'Skenario A B C'!$E$19,0,MAX(0,'Skenario A B C'!$J$19-'Skenario A B C'!$L$19))</f>
        <v/>
      </c>
      <c r="U103">
        <f>IF(18&lt;'Skenario A B C'!$E$19,0,MAX(0,'Skenario A B C'!$J$19-'Skenario A B C'!$L$19))</f>
        <v/>
      </c>
      <c r="V103">
        <f>IF(19&lt;'Skenario A B C'!$E$19,0,MAX(0,'Skenario A B C'!$J$19-'Skenario A B C'!$L$19))</f>
        <v/>
      </c>
      <c r="W103">
        <f>IF(20&lt;'Skenario A B C'!$E$19,0,MAX(0,'Skenario A B C'!$J$19-'Skenario A B C'!$L$19))</f>
        <v/>
      </c>
      <c r="X103">
        <f>IF(21&lt;'Skenario A B C'!$E$19,0,MAX(0,'Skenario A B C'!$J$19-'Skenario A B C'!$L$19))</f>
        <v/>
      </c>
      <c r="Y103">
        <f>IF(22&lt;'Skenario A B C'!$E$19,0,MAX(0,'Skenario A B C'!$J$19-'Skenario A B C'!$L$19))</f>
        <v/>
      </c>
      <c r="Z103">
        <f>IF(23&lt;'Skenario A B C'!$E$19,0,MAX(0,'Skenario A B C'!$J$19-'Skenario A B C'!$L$19))</f>
        <v/>
      </c>
      <c r="AA103">
        <f>IF(24&lt;'Skenario A B C'!$E$19,0,MAX(0,'Skenario A B C'!$J$19-'Skenario A B C'!$L$19))</f>
        <v/>
      </c>
    </row>
    <row r="104">
      <c r="A104" t="inlineStr">
        <is>
          <t>Junior Software Engineer - Padang</t>
        </is>
      </c>
      <c r="B104" s="6">
        <f>'Skenario A B C'!$F$20</f>
        <v/>
      </c>
      <c r="D104">
        <f>IF(1&lt;'Skenario A B C'!$E$20,0,MAX(0,'Skenario A B C'!$H$20-'Skenario A B C'!$L$20))</f>
        <v/>
      </c>
      <c r="E104">
        <f>IF(2&lt;'Skenario A B C'!$E$20,0,MAX(0,'Skenario A B C'!$H$20-'Skenario A B C'!$L$20))</f>
        <v/>
      </c>
      <c r="F104">
        <f>IF(3&lt;'Skenario A B C'!$E$20,0,MAX(0,'Skenario A B C'!$H$20-'Skenario A B C'!$L$20))</f>
        <v/>
      </c>
      <c r="G104">
        <f>IF(4&lt;'Skenario A B C'!$E$20,0,MAX(0,'Skenario A B C'!$I$20-'Skenario A B C'!$L$20))</f>
        <v/>
      </c>
      <c r="H104">
        <f>IF(5&lt;'Skenario A B C'!$E$20,0,MAX(0,'Skenario A B C'!$I$20-'Skenario A B C'!$L$20))</f>
        <v/>
      </c>
      <c r="I104">
        <f>IF(6&lt;'Skenario A B C'!$E$20,0,MAX(0,'Skenario A B C'!$I$20-'Skenario A B C'!$L$20))</f>
        <v/>
      </c>
      <c r="J104">
        <f>IF(7&lt;'Skenario A B C'!$E$20,0,MAX(0,'Skenario A B C'!$I$20-'Skenario A B C'!$L$20))</f>
        <v/>
      </c>
      <c r="K104">
        <f>IF(8&lt;'Skenario A B C'!$E$20,0,MAX(0,'Skenario A B C'!$I$20-'Skenario A B C'!$L$20))</f>
        <v/>
      </c>
      <c r="L104">
        <f>IF(9&lt;'Skenario A B C'!$E$20,0,MAX(0,'Skenario A B C'!$I$20-'Skenario A B C'!$L$20))</f>
        <v/>
      </c>
      <c r="M104">
        <f>IF(10&lt;'Skenario A B C'!$E$20,0,MAX(0,'Skenario A B C'!$I$20-'Skenario A B C'!$L$20))</f>
        <v/>
      </c>
      <c r="N104">
        <f>IF(11&lt;'Skenario A B C'!$E$20,0,MAX(0,'Skenario A B C'!$I$20-'Skenario A B C'!$L$20))</f>
        <v/>
      </c>
      <c r="O104">
        <f>IF(12&lt;'Skenario A B C'!$E$20,0,MAX(0,'Skenario A B C'!$I$20-'Skenario A B C'!$L$20))</f>
        <v/>
      </c>
      <c r="P104">
        <f>IF(13&lt;'Skenario A B C'!$E$20,0,MAX(0,'Skenario A B C'!$J$20-'Skenario A B C'!$L$20))</f>
        <v/>
      </c>
      <c r="Q104">
        <f>IF(14&lt;'Skenario A B C'!$E$20,0,MAX(0,'Skenario A B C'!$J$20-'Skenario A B C'!$L$20))</f>
        <v/>
      </c>
      <c r="R104">
        <f>IF(15&lt;'Skenario A B C'!$E$20,0,MAX(0,'Skenario A B C'!$J$20-'Skenario A B C'!$L$20))</f>
        <v/>
      </c>
      <c r="S104">
        <f>IF(16&lt;'Skenario A B C'!$E$20,0,MAX(0,'Skenario A B C'!$J$20-'Skenario A B C'!$L$20))</f>
        <v/>
      </c>
      <c r="T104">
        <f>IF(17&lt;'Skenario A B C'!$E$20,0,MAX(0,'Skenario A B C'!$J$20-'Skenario A B C'!$L$20))</f>
        <v/>
      </c>
      <c r="U104">
        <f>IF(18&lt;'Skenario A B C'!$E$20,0,MAX(0,'Skenario A B C'!$J$20-'Skenario A B C'!$L$20))</f>
        <v/>
      </c>
      <c r="V104">
        <f>IF(19&lt;'Skenario A B C'!$E$20,0,MAX(0,'Skenario A B C'!$J$20-'Skenario A B C'!$L$20))</f>
        <v/>
      </c>
      <c r="W104">
        <f>IF(20&lt;'Skenario A B C'!$E$20,0,MAX(0,'Skenario A B C'!$J$20-'Skenario A B C'!$L$20))</f>
        <v/>
      </c>
      <c r="X104">
        <f>IF(21&lt;'Skenario A B C'!$E$20,0,MAX(0,'Skenario A B C'!$J$20-'Skenario A B C'!$L$20))</f>
        <v/>
      </c>
      <c r="Y104">
        <f>IF(22&lt;'Skenario A B C'!$E$20,0,MAX(0,'Skenario A B C'!$J$20-'Skenario A B C'!$L$20))</f>
        <v/>
      </c>
      <c r="Z104">
        <f>IF(23&lt;'Skenario A B C'!$E$20,0,MAX(0,'Skenario A B C'!$J$20-'Skenario A B C'!$L$20))</f>
        <v/>
      </c>
      <c r="AA104">
        <f>IF(24&lt;'Skenario A B C'!$E$20,0,MAX(0,'Skenario A B C'!$J$20-'Skenario A B C'!$L$20))</f>
        <v/>
      </c>
    </row>
    <row r="105">
      <c r="A105" t="inlineStr">
        <is>
          <t>Product Designer (UI/UX)</t>
        </is>
      </c>
      <c r="B105" s="6">
        <f>'Skenario A B C'!$F$21</f>
        <v/>
      </c>
      <c r="D105">
        <f>IF(1&lt;'Skenario A B C'!$E$21,0,MAX(0,'Skenario A B C'!$H$21-'Skenario A B C'!$L$21))</f>
        <v/>
      </c>
      <c r="E105">
        <f>IF(2&lt;'Skenario A B C'!$E$21,0,MAX(0,'Skenario A B C'!$H$21-'Skenario A B C'!$L$21))</f>
        <v/>
      </c>
      <c r="F105">
        <f>IF(3&lt;'Skenario A B C'!$E$21,0,MAX(0,'Skenario A B C'!$H$21-'Skenario A B C'!$L$21))</f>
        <v/>
      </c>
      <c r="G105">
        <f>IF(4&lt;'Skenario A B C'!$E$21,0,MAX(0,'Skenario A B C'!$I$21-'Skenario A B C'!$L$21))</f>
        <v/>
      </c>
      <c r="H105">
        <f>IF(5&lt;'Skenario A B C'!$E$21,0,MAX(0,'Skenario A B C'!$I$21-'Skenario A B C'!$L$21))</f>
        <v/>
      </c>
      <c r="I105">
        <f>IF(6&lt;'Skenario A B C'!$E$21,0,MAX(0,'Skenario A B C'!$I$21-'Skenario A B C'!$L$21))</f>
        <v/>
      </c>
      <c r="J105">
        <f>IF(7&lt;'Skenario A B C'!$E$21,0,MAX(0,'Skenario A B C'!$I$21-'Skenario A B C'!$L$21))</f>
        <v/>
      </c>
      <c r="K105">
        <f>IF(8&lt;'Skenario A B C'!$E$21,0,MAX(0,'Skenario A B C'!$I$21-'Skenario A B C'!$L$21))</f>
        <v/>
      </c>
      <c r="L105">
        <f>IF(9&lt;'Skenario A B C'!$E$21,0,MAX(0,'Skenario A B C'!$I$21-'Skenario A B C'!$L$21))</f>
        <v/>
      </c>
      <c r="M105">
        <f>IF(10&lt;'Skenario A B C'!$E$21,0,MAX(0,'Skenario A B C'!$I$21-'Skenario A B C'!$L$21))</f>
        <v/>
      </c>
      <c r="N105">
        <f>IF(11&lt;'Skenario A B C'!$E$21,0,MAX(0,'Skenario A B C'!$I$21-'Skenario A B C'!$L$21))</f>
        <v/>
      </c>
      <c r="O105">
        <f>IF(12&lt;'Skenario A B C'!$E$21,0,MAX(0,'Skenario A B C'!$I$21-'Skenario A B C'!$L$21))</f>
        <v/>
      </c>
      <c r="P105">
        <f>IF(13&lt;'Skenario A B C'!$E$21,0,MAX(0,'Skenario A B C'!$J$21-'Skenario A B C'!$L$21))</f>
        <v/>
      </c>
      <c r="Q105">
        <f>IF(14&lt;'Skenario A B C'!$E$21,0,MAX(0,'Skenario A B C'!$J$21-'Skenario A B C'!$L$21))</f>
        <v/>
      </c>
      <c r="R105">
        <f>IF(15&lt;'Skenario A B C'!$E$21,0,MAX(0,'Skenario A B C'!$J$21-'Skenario A B C'!$L$21))</f>
        <v/>
      </c>
      <c r="S105">
        <f>IF(16&lt;'Skenario A B C'!$E$21,0,MAX(0,'Skenario A B C'!$J$21-'Skenario A B C'!$L$21))</f>
        <v/>
      </c>
      <c r="T105">
        <f>IF(17&lt;'Skenario A B C'!$E$21,0,MAX(0,'Skenario A B C'!$J$21-'Skenario A B C'!$L$21))</f>
        <v/>
      </c>
      <c r="U105">
        <f>IF(18&lt;'Skenario A B C'!$E$21,0,MAX(0,'Skenario A B C'!$J$21-'Skenario A B C'!$L$21))</f>
        <v/>
      </c>
      <c r="V105">
        <f>IF(19&lt;'Skenario A B C'!$E$21,0,MAX(0,'Skenario A B C'!$J$21-'Skenario A B C'!$L$21))</f>
        <v/>
      </c>
      <c r="W105">
        <f>IF(20&lt;'Skenario A B C'!$E$21,0,MAX(0,'Skenario A B C'!$J$21-'Skenario A B C'!$L$21))</f>
        <v/>
      </c>
      <c r="X105">
        <f>IF(21&lt;'Skenario A B C'!$E$21,0,MAX(0,'Skenario A B C'!$J$21-'Skenario A B C'!$L$21))</f>
        <v/>
      </c>
      <c r="Y105">
        <f>IF(22&lt;'Skenario A B C'!$E$21,0,MAX(0,'Skenario A B C'!$J$21-'Skenario A B C'!$L$21))</f>
        <v/>
      </c>
      <c r="Z105">
        <f>IF(23&lt;'Skenario A B C'!$E$21,0,MAX(0,'Skenario A B C'!$J$21-'Skenario A B C'!$L$21))</f>
        <v/>
      </c>
      <c r="AA105">
        <f>IF(24&lt;'Skenario A B C'!$E$21,0,MAX(0,'Skenario A B C'!$J$21-'Skenario A B C'!$L$21))</f>
        <v/>
      </c>
    </row>
    <row r="106">
      <c r="A106" t="inlineStr">
        <is>
          <t>Product Designer (UI/UX) - gelombang 2</t>
        </is>
      </c>
      <c r="B106" s="6">
        <f>'Skenario A B C'!$F$22</f>
        <v/>
      </c>
      <c r="D106">
        <f>IF(1&lt;'Skenario A B C'!$E$22,0,MAX(0,'Skenario A B C'!$H$22-'Skenario A B C'!$L$22))</f>
        <v/>
      </c>
      <c r="E106">
        <f>IF(2&lt;'Skenario A B C'!$E$22,0,MAX(0,'Skenario A B C'!$H$22-'Skenario A B C'!$L$22))</f>
        <v/>
      </c>
      <c r="F106">
        <f>IF(3&lt;'Skenario A B C'!$E$22,0,MAX(0,'Skenario A B C'!$H$22-'Skenario A B C'!$L$22))</f>
        <v/>
      </c>
      <c r="G106">
        <f>IF(4&lt;'Skenario A B C'!$E$22,0,MAX(0,'Skenario A B C'!$I$22-'Skenario A B C'!$L$22))</f>
        <v/>
      </c>
      <c r="H106">
        <f>IF(5&lt;'Skenario A B C'!$E$22,0,MAX(0,'Skenario A B C'!$I$22-'Skenario A B C'!$L$22))</f>
        <v/>
      </c>
      <c r="I106">
        <f>IF(6&lt;'Skenario A B C'!$E$22,0,MAX(0,'Skenario A B C'!$I$22-'Skenario A B C'!$L$22))</f>
        <v/>
      </c>
      <c r="J106">
        <f>IF(7&lt;'Skenario A B C'!$E$22,0,MAX(0,'Skenario A B C'!$I$22-'Skenario A B C'!$L$22))</f>
        <v/>
      </c>
      <c r="K106">
        <f>IF(8&lt;'Skenario A B C'!$E$22,0,MAX(0,'Skenario A B C'!$I$22-'Skenario A B C'!$L$22))</f>
        <v/>
      </c>
      <c r="L106">
        <f>IF(9&lt;'Skenario A B C'!$E$22,0,MAX(0,'Skenario A B C'!$I$22-'Skenario A B C'!$L$22))</f>
        <v/>
      </c>
      <c r="M106">
        <f>IF(10&lt;'Skenario A B C'!$E$22,0,MAX(0,'Skenario A B C'!$I$22-'Skenario A B C'!$L$22))</f>
        <v/>
      </c>
      <c r="N106">
        <f>IF(11&lt;'Skenario A B C'!$E$22,0,MAX(0,'Skenario A B C'!$I$22-'Skenario A B C'!$L$22))</f>
        <v/>
      </c>
      <c r="O106">
        <f>IF(12&lt;'Skenario A B C'!$E$22,0,MAX(0,'Skenario A B C'!$I$22-'Skenario A B C'!$L$22))</f>
        <v/>
      </c>
      <c r="P106">
        <f>IF(13&lt;'Skenario A B C'!$E$22,0,MAX(0,'Skenario A B C'!$J$22-'Skenario A B C'!$L$22))</f>
        <v/>
      </c>
      <c r="Q106">
        <f>IF(14&lt;'Skenario A B C'!$E$22,0,MAX(0,'Skenario A B C'!$J$22-'Skenario A B C'!$L$22))</f>
        <v/>
      </c>
      <c r="R106">
        <f>IF(15&lt;'Skenario A B C'!$E$22,0,MAX(0,'Skenario A B C'!$J$22-'Skenario A B C'!$L$22))</f>
        <v/>
      </c>
      <c r="S106">
        <f>IF(16&lt;'Skenario A B C'!$E$22,0,MAX(0,'Skenario A B C'!$J$22-'Skenario A B C'!$L$22))</f>
        <v/>
      </c>
      <c r="T106">
        <f>IF(17&lt;'Skenario A B C'!$E$22,0,MAX(0,'Skenario A B C'!$J$22-'Skenario A B C'!$L$22))</f>
        <v/>
      </c>
      <c r="U106">
        <f>IF(18&lt;'Skenario A B C'!$E$22,0,MAX(0,'Skenario A B C'!$J$22-'Skenario A B C'!$L$22))</f>
        <v/>
      </c>
      <c r="V106">
        <f>IF(19&lt;'Skenario A B C'!$E$22,0,MAX(0,'Skenario A B C'!$J$22-'Skenario A B C'!$L$22))</f>
        <v/>
      </c>
      <c r="W106">
        <f>IF(20&lt;'Skenario A B C'!$E$22,0,MAX(0,'Skenario A B C'!$J$22-'Skenario A B C'!$L$22))</f>
        <v/>
      </c>
      <c r="X106">
        <f>IF(21&lt;'Skenario A B C'!$E$22,0,MAX(0,'Skenario A B C'!$J$22-'Skenario A B C'!$L$22))</f>
        <v/>
      </c>
      <c r="Y106">
        <f>IF(22&lt;'Skenario A B C'!$E$22,0,MAX(0,'Skenario A B C'!$J$22-'Skenario A B C'!$L$22))</f>
        <v/>
      </c>
      <c r="Z106">
        <f>IF(23&lt;'Skenario A B C'!$E$22,0,MAX(0,'Skenario A B C'!$J$22-'Skenario A B C'!$L$22))</f>
        <v/>
      </c>
      <c r="AA106">
        <f>IF(24&lt;'Skenario A B C'!$E$22,0,MAX(0,'Skenario A B C'!$J$22-'Skenario A B C'!$L$22))</f>
        <v/>
      </c>
    </row>
    <row r="107">
      <c r="A107" t="inlineStr">
        <is>
          <t>Data Analyst</t>
        </is>
      </c>
      <c r="B107" s="6">
        <f>'Skenario A B C'!$F$23</f>
        <v/>
      </c>
      <c r="D107">
        <f>IF(1&lt;'Skenario A B C'!$E$23,0,MAX(0,'Skenario A B C'!$H$23-'Skenario A B C'!$L$23))</f>
        <v/>
      </c>
      <c r="E107">
        <f>IF(2&lt;'Skenario A B C'!$E$23,0,MAX(0,'Skenario A B C'!$H$23-'Skenario A B C'!$L$23))</f>
        <v/>
      </c>
      <c r="F107">
        <f>IF(3&lt;'Skenario A B C'!$E$23,0,MAX(0,'Skenario A B C'!$H$23-'Skenario A B C'!$L$23))</f>
        <v/>
      </c>
      <c r="G107">
        <f>IF(4&lt;'Skenario A B C'!$E$23,0,MAX(0,'Skenario A B C'!$I$23-'Skenario A B C'!$L$23))</f>
        <v/>
      </c>
      <c r="H107">
        <f>IF(5&lt;'Skenario A B C'!$E$23,0,MAX(0,'Skenario A B C'!$I$23-'Skenario A B C'!$L$23))</f>
        <v/>
      </c>
      <c r="I107">
        <f>IF(6&lt;'Skenario A B C'!$E$23,0,MAX(0,'Skenario A B C'!$I$23-'Skenario A B C'!$L$23))</f>
        <v/>
      </c>
      <c r="J107">
        <f>IF(7&lt;'Skenario A B C'!$E$23,0,MAX(0,'Skenario A B C'!$I$23-'Skenario A B C'!$L$23))</f>
        <v/>
      </c>
      <c r="K107">
        <f>IF(8&lt;'Skenario A B C'!$E$23,0,MAX(0,'Skenario A B C'!$I$23-'Skenario A B C'!$L$23))</f>
        <v/>
      </c>
      <c r="L107">
        <f>IF(9&lt;'Skenario A B C'!$E$23,0,MAX(0,'Skenario A B C'!$I$23-'Skenario A B C'!$L$23))</f>
        <v/>
      </c>
      <c r="M107">
        <f>IF(10&lt;'Skenario A B C'!$E$23,0,MAX(0,'Skenario A B C'!$I$23-'Skenario A B C'!$L$23))</f>
        <v/>
      </c>
      <c r="N107">
        <f>IF(11&lt;'Skenario A B C'!$E$23,0,MAX(0,'Skenario A B C'!$I$23-'Skenario A B C'!$L$23))</f>
        <v/>
      </c>
      <c r="O107">
        <f>IF(12&lt;'Skenario A B C'!$E$23,0,MAX(0,'Skenario A B C'!$I$23-'Skenario A B C'!$L$23))</f>
        <v/>
      </c>
      <c r="P107">
        <f>IF(13&lt;'Skenario A B C'!$E$23,0,MAX(0,'Skenario A B C'!$J$23-'Skenario A B C'!$L$23))</f>
        <v/>
      </c>
      <c r="Q107">
        <f>IF(14&lt;'Skenario A B C'!$E$23,0,MAX(0,'Skenario A B C'!$J$23-'Skenario A B C'!$L$23))</f>
        <v/>
      </c>
      <c r="R107">
        <f>IF(15&lt;'Skenario A B C'!$E$23,0,MAX(0,'Skenario A B C'!$J$23-'Skenario A B C'!$L$23))</f>
        <v/>
      </c>
      <c r="S107">
        <f>IF(16&lt;'Skenario A B C'!$E$23,0,MAX(0,'Skenario A B C'!$J$23-'Skenario A B C'!$L$23))</f>
        <v/>
      </c>
      <c r="T107">
        <f>IF(17&lt;'Skenario A B C'!$E$23,0,MAX(0,'Skenario A B C'!$J$23-'Skenario A B C'!$L$23))</f>
        <v/>
      </c>
      <c r="U107">
        <f>IF(18&lt;'Skenario A B C'!$E$23,0,MAX(0,'Skenario A B C'!$J$23-'Skenario A B C'!$L$23))</f>
        <v/>
      </c>
      <c r="V107">
        <f>IF(19&lt;'Skenario A B C'!$E$23,0,MAX(0,'Skenario A B C'!$J$23-'Skenario A B C'!$L$23))</f>
        <v/>
      </c>
      <c r="W107">
        <f>IF(20&lt;'Skenario A B C'!$E$23,0,MAX(0,'Skenario A B C'!$J$23-'Skenario A B C'!$L$23))</f>
        <v/>
      </c>
      <c r="X107">
        <f>IF(21&lt;'Skenario A B C'!$E$23,0,MAX(0,'Skenario A B C'!$J$23-'Skenario A B C'!$L$23))</f>
        <v/>
      </c>
      <c r="Y107">
        <f>IF(22&lt;'Skenario A B C'!$E$23,0,MAX(0,'Skenario A B C'!$J$23-'Skenario A B C'!$L$23))</f>
        <v/>
      </c>
      <c r="Z107">
        <f>IF(23&lt;'Skenario A B C'!$E$23,0,MAX(0,'Skenario A B C'!$J$23-'Skenario A B C'!$L$23))</f>
        <v/>
      </c>
      <c r="AA107">
        <f>IF(24&lt;'Skenario A B C'!$E$23,0,MAX(0,'Skenario A B C'!$J$23-'Skenario A B C'!$L$23))</f>
        <v/>
      </c>
    </row>
    <row r="108">
      <c r="A108" t="inlineStr">
        <is>
          <t>Direktur Operasi (COO)</t>
        </is>
      </c>
      <c r="B108" s="6">
        <f>'Skenario A B C'!$F$24</f>
        <v/>
      </c>
      <c r="D108">
        <f>IF(1&lt;'Skenario A B C'!$E$24,0,MAX(0,'Skenario A B C'!$H$24-'Skenario A B C'!$L$24))</f>
        <v/>
      </c>
      <c r="E108">
        <f>IF(2&lt;'Skenario A B C'!$E$24,0,MAX(0,'Skenario A B C'!$H$24-'Skenario A B C'!$L$24))</f>
        <v/>
      </c>
      <c r="F108">
        <f>IF(3&lt;'Skenario A B C'!$E$24,0,MAX(0,'Skenario A B C'!$H$24-'Skenario A B C'!$L$24))</f>
        <v/>
      </c>
      <c r="G108">
        <f>IF(4&lt;'Skenario A B C'!$E$24,0,MAX(0,'Skenario A B C'!$I$24-'Skenario A B C'!$L$24))</f>
        <v/>
      </c>
      <c r="H108">
        <f>IF(5&lt;'Skenario A B C'!$E$24,0,MAX(0,'Skenario A B C'!$I$24-'Skenario A B C'!$L$24))</f>
        <v/>
      </c>
      <c r="I108">
        <f>IF(6&lt;'Skenario A B C'!$E$24,0,MAX(0,'Skenario A B C'!$I$24-'Skenario A B C'!$L$24))</f>
        <v/>
      </c>
      <c r="J108">
        <f>IF(7&lt;'Skenario A B C'!$E$24,0,MAX(0,'Skenario A B C'!$I$24-'Skenario A B C'!$L$24))</f>
        <v/>
      </c>
      <c r="K108">
        <f>IF(8&lt;'Skenario A B C'!$E$24,0,MAX(0,'Skenario A B C'!$I$24-'Skenario A B C'!$L$24))</f>
        <v/>
      </c>
      <c r="L108">
        <f>IF(9&lt;'Skenario A B C'!$E$24,0,MAX(0,'Skenario A B C'!$I$24-'Skenario A B C'!$L$24))</f>
        <v/>
      </c>
      <c r="M108">
        <f>IF(10&lt;'Skenario A B C'!$E$24,0,MAX(0,'Skenario A B C'!$I$24-'Skenario A B C'!$L$24))</f>
        <v/>
      </c>
      <c r="N108">
        <f>IF(11&lt;'Skenario A B C'!$E$24,0,MAX(0,'Skenario A B C'!$I$24-'Skenario A B C'!$L$24))</f>
        <v/>
      </c>
      <c r="O108">
        <f>IF(12&lt;'Skenario A B C'!$E$24,0,MAX(0,'Skenario A B C'!$I$24-'Skenario A B C'!$L$24))</f>
        <v/>
      </c>
      <c r="P108">
        <f>IF(13&lt;'Skenario A B C'!$E$24,0,MAX(0,'Skenario A B C'!$J$24-'Skenario A B C'!$L$24))</f>
        <v/>
      </c>
      <c r="Q108">
        <f>IF(14&lt;'Skenario A B C'!$E$24,0,MAX(0,'Skenario A B C'!$J$24-'Skenario A B C'!$L$24))</f>
        <v/>
      </c>
      <c r="R108">
        <f>IF(15&lt;'Skenario A B C'!$E$24,0,MAX(0,'Skenario A B C'!$J$24-'Skenario A B C'!$L$24))</f>
        <v/>
      </c>
      <c r="S108">
        <f>IF(16&lt;'Skenario A B C'!$E$24,0,MAX(0,'Skenario A B C'!$J$24-'Skenario A B C'!$L$24))</f>
        <v/>
      </c>
      <c r="T108">
        <f>IF(17&lt;'Skenario A B C'!$E$24,0,MAX(0,'Skenario A B C'!$J$24-'Skenario A B C'!$L$24))</f>
        <v/>
      </c>
      <c r="U108">
        <f>IF(18&lt;'Skenario A B C'!$E$24,0,MAX(0,'Skenario A B C'!$J$24-'Skenario A B C'!$L$24))</f>
        <v/>
      </c>
      <c r="V108">
        <f>IF(19&lt;'Skenario A B C'!$E$24,0,MAX(0,'Skenario A B C'!$J$24-'Skenario A B C'!$L$24))</f>
        <v/>
      </c>
      <c r="W108">
        <f>IF(20&lt;'Skenario A B C'!$E$24,0,MAX(0,'Skenario A B C'!$J$24-'Skenario A B C'!$L$24))</f>
        <v/>
      </c>
      <c r="X108">
        <f>IF(21&lt;'Skenario A B C'!$E$24,0,MAX(0,'Skenario A B C'!$J$24-'Skenario A B C'!$L$24))</f>
        <v/>
      </c>
      <c r="Y108">
        <f>IF(22&lt;'Skenario A B C'!$E$24,0,MAX(0,'Skenario A B C'!$J$24-'Skenario A B C'!$L$24))</f>
        <v/>
      </c>
      <c r="Z108">
        <f>IF(23&lt;'Skenario A B C'!$E$24,0,MAX(0,'Skenario A B C'!$J$24-'Skenario A B C'!$L$24))</f>
        <v/>
      </c>
      <c r="AA108">
        <f>IF(24&lt;'Skenario A B C'!$E$24,0,MAX(0,'Skenario A B C'!$J$24-'Skenario A B C'!$L$24))</f>
        <v/>
      </c>
    </row>
    <row r="109">
      <c r="A109" t="inlineStr">
        <is>
          <t>City Manager Pekanbaru</t>
        </is>
      </c>
      <c r="B109" s="6">
        <f>'Skenario A B C'!$F$25</f>
        <v/>
      </c>
      <c r="D109">
        <f>IF(1&lt;'Skenario A B C'!$E$25,0,MAX(0,'Skenario A B C'!$H$25-'Skenario A B C'!$L$25))</f>
        <v/>
      </c>
      <c r="E109">
        <f>IF(2&lt;'Skenario A B C'!$E$25,0,MAX(0,'Skenario A B C'!$H$25-'Skenario A B C'!$L$25))</f>
        <v/>
      </c>
      <c r="F109">
        <f>IF(3&lt;'Skenario A B C'!$E$25,0,MAX(0,'Skenario A B C'!$H$25-'Skenario A B C'!$L$25))</f>
        <v/>
      </c>
      <c r="G109">
        <f>IF(4&lt;'Skenario A B C'!$E$25,0,MAX(0,'Skenario A B C'!$I$25-'Skenario A B C'!$L$25))</f>
        <v/>
      </c>
      <c r="H109">
        <f>IF(5&lt;'Skenario A B C'!$E$25,0,MAX(0,'Skenario A B C'!$I$25-'Skenario A B C'!$L$25))</f>
        <v/>
      </c>
      <c r="I109">
        <f>IF(6&lt;'Skenario A B C'!$E$25,0,MAX(0,'Skenario A B C'!$I$25-'Skenario A B C'!$L$25))</f>
        <v/>
      </c>
      <c r="J109">
        <f>IF(7&lt;'Skenario A B C'!$E$25,0,MAX(0,'Skenario A B C'!$I$25-'Skenario A B C'!$L$25))</f>
        <v/>
      </c>
      <c r="K109">
        <f>IF(8&lt;'Skenario A B C'!$E$25,0,MAX(0,'Skenario A B C'!$I$25-'Skenario A B C'!$L$25))</f>
        <v/>
      </c>
      <c r="L109">
        <f>IF(9&lt;'Skenario A B C'!$E$25,0,MAX(0,'Skenario A B C'!$I$25-'Skenario A B C'!$L$25))</f>
        <v/>
      </c>
      <c r="M109">
        <f>IF(10&lt;'Skenario A B C'!$E$25,0,MAX(0,'Skenario A B C'!$I$25-'Skenario A B C'!$L$25))</f>
        <v/>
      </c>
      <c r="N109">
        <f>IF(11&lt;'Skenario A B C'!$E$25,0,MAX(0,'Skenario A B C'!$I$25-'Skenario A B C'!$L$25))</f>
        <v/>
      </c>
      <c r="O109">
        <f>IF(12&lt;'Skenario A B C'!$E$25,0,MAX(0,'Skenario A B C'!$I$25-'Skenario A B C'!$L$25))</f>
        <v/>
      </c>
      <c r="P109">
        <f>IF(13&lt;'Skenario A B C'!$E$25,0,MAX(0,'Skenario A B C'!$J$25-'Skenario A B C'!$L$25))</f>
        <v/>
      </c>
      <c r="Q109">
        <f>IF(14&lt;'Skenario A B C'!$E$25,0,MAX(0,'Skenario A B C'!$J$25-'Skenario A B C'!$L$25))</f>
        <v/>
      </c>
      <c r="R109">
        <f>IF(15&lt;'Skenario A B C'!$E$25,0,MAX(0,'Skenario A B C'!$J$25-'Skenario A B C'!$L$25))</f>
        <v/>
      </c>
      <c r="S109">
        <f>IF(16&lt;'Skenario A B C'!$E$25,0,MAX(0,'Skenario A B C'!$J$25-'Skenario A B C'!$L$25))</f>
        <v/>
      </c>
      <c r="T109">
        <f>IF(17&lt;'Skenario A B C'!$E$25,0,MAX(0,'Skenario A B C'!$J$25-'Skenario A B C'!$L$25))</f>
        <v/>
      </c>
      <c r="U109">
        <f>IF(18&lt;'Skenario A B C'!$E$25,0,MAX(0,'Skenario A B C'!$J$25-'Skenario A B C'!$L$25))</f>
        <v/>
      </c>
      <c r="V109">
        <f>IF(19&lt;'Skenario A B C'!$E$25,0,MAX(0,'Skenario A B C'!$J$25-'Skenario A B C'!$L$25))</f>
        <v/>
      </c>
      <c r="W109">
        <f>IF(20&lt;'Skenario A B C'!$E$25,0,MAX(0,'Skenario A B C'!$J$25-'Skenario A B C'!$L$25))</f>
        <v/>
      </c>
      <c r="X109">
        <f>IF(21&lt;'Skenario A B C'!$E$25,0,MAX(0,'Skenario A B C'!$J$25-'Skenario A B C'!$L$25))</f>
        <v/>
      </c>
      <c r="Y109">
        <f>IF(22&lt;'Skenario A B C'!$E$25,0,MAX(0,'Skenario A B C'!$J$25-'Skenario A B C'!$L$25))</f>
        <v/>
      </c>
      <c r="Z109">
        <f>IF(23&lt;'Skenario A B C'!$E$25,0,MAX(0,'Skenario A B C'!$J$25-'Skenario A B C'!$L$25))</f>
        <v/>
      </c>
      <c r="AA109">
        <f>IF(24&lt;'Skenario A B C'!$E$25,0,MAX(0,'Skenario A B C'!$J$25-'Skenario A B C'!$L$25))</f>
        <v/>
      </c>
    </row>
    <row r="110">
      <c r="A110" t="inlineStr">
        <is>
          <t>Ops Supervisor Pekanbaru</t>
        </is>
      </c>
      <c r="B110" s="6">
        <f>'Skenario A B C'!$F$26</f>
        <v/>
      </c>
      <c r="D110">
        <f>IF(1&lt;'Skenario A B C'!$E$26,0,MAX(0,'Skenario A B C'!$H$26-'Skenario A B C'!$L$26))</f>
        <v/>
      </c>
      <c r="E110">
        <f>IF(2&lt;'Skenario A B C'!$E$26,0,MAX(0,'Skenario A B C'!$H$26-'Skenario A B C'!$L$26))</f>
        <v/>
      </c>
      <c r="F110">
        <f>IF(3&lt;'Skenario A B C'!$E$26,0,MAX(0,'Skenario A B C'!$H$26-'Skenario A B C'!$L$26))</f>
        <v/>
      </c>
      <c r="G110">
        <f>IF(4&lt;'Skenario A B C'!$E$26,0,MAX(0,'Skenario A B C'!$I$26-'Skenario A B C'!$L$26))</f>
        <v/>
      </c>
      <c r="H110">
        <f>IF(5&lt;'Skenario A B C'!$E$26,0,MAX(0,'Skenario A B C'!$I$26-'Skenario A B C'!$L$26))</f>
        <v/>
      </c>
      <c r="I110">
        <f>IF(6&lt;'Skenario A B C'!$E$26,0,MAX(0,'Skenario A B C'!$I$26-'Skenario A B C'!$L$26))</f>
        <v/>
      </c>
      <c r="J110">
        <f>IF(7&lt;'Skenario A B C'!$E$26,0,MAX(0,'Skenario A B C'!$I$26-'Skenario A B C'!$L$26))</f>
        <v/>
      </c>
      <c r="K110">
        <f>IF(8&lt;'Skenario A B C'!$E$26,0,MAX(0,'Skenario A B C'!$I$26-'Skenario A B C'!$L$26))</f>
        <v/>
      </c>
      <c r="L110">
        <f>IF(9&lt;'Skenario A B C'!$E$26,0,MAX(0,'Skenario A B C'!$I$26-'Skenario A B C'!$L$26))</f>
        <v/>
      </c>
      <c r="M110">
        <f>IF(10&lt;'Skenario A B C'!$E$26,0,MAX(0,'Skenario A B C'!$I$26-'Skenario A B C'!$L$26))</f>
        <v/>
      </c>
      <c r="N110">
        <f>IF(11&lt;'Skenario A B C'!$E$26,0,MAX(0,'Skenario A B C'!$I$26-'Skenario A B C'!$L$26))</f>
        <v/>
      </c>
      <c r="O110">
        <f>IF(12&lt;'Skenario A B C'!$E$26,0,MAX(0,'Skenario A B C'!$I$26-'Skenario A B C'!$L$26))</f>
        <v/>
      </c>
      <c r="P110">
        <f>IF(13&lt;'Skenario A B C'!$E$26,0,MAX(0,'Skenario A B C'!$J$26-'Skenario A B C'!$L$26))</f>
        <v/>
      </c>
      <c r="Q110">
        <f>IF(14&lt;'Skenario A B C'!$E$26,0,MAX(0,'Skenario A B C'!$J$26-'Skenario A B C'!$L$26))</f>
        <v/>
      </c>
      <c r="R110">
        <f>IF(15&lt;'Skenario A B C'!$E$26,0,MAX(0,'Skenario A B C'!$J$26-'Skenario A B C'!$L$26))</f>
        <v/>
      </c>
      <c r="S110">
        <f>IF(16&lt;'Skenario A B C'!$E$26,0,MAX(0,'Skenario A B C'!$J$26-'Skenario A B C'!$L$26))</f>
        <v/>
      </c>
      <c r="T110">
        <f>IF(17&lt;'Skenario A B C'!$E$26,0,MAX(0,'Skenario A B C'!$J$26-'Skenario A B C'!$L$26))</f>
        <v/>
      </c>
      <c r="U110">
        <f>IF(18&lt;'Skenario A B C'!$E$26,0,MAX(0,'Skenario A B C'!$J$26-'Skenario A B C'!$L$26))</f>
        <v/>
      </c>
      <c r="V110">
        <f>IF(19&lt;'Skenario A B C'!$E$26,0,MAX(0,'Skenario A B C'!$J$26-'Skenario A B C'!$L$26))</f>
        <v/>
      </c>
      <c r="W110">
        <f>IF(20&lt;'Skenario A B C'!$E$26,0,MAX(0,'Skenario A B C'!$J$26-'Skenario A B C'!$L$26))</f>
        <v/>
      </c>
      <c r="X110">
        <f>IF(21&lt;'Skenario A B C'!$E$26,0,MAX(0,'Skenario A B C'!$J$26-'Skenario A B C'!$L$26))</f>
        <v/>
      </c>
      <c r="Y110">
        <f>IF(22&lt;'Skenario A B C'!$E$26,0,MAX(0,'Skenario A B C'!$J$26-'Skenario A B C'!$L$26))</f>
        <v/>
      </c>
      <c r="Z110">
        <f>IF(23&lt;'Skenario A B C'!$E$26,0,MAX(0,'Skenario A B C'!$J$26-'Skenario A B C'!$L$26))</f>
        <v/>
      </c>
      <c r="AA110">
        <f>IF(24&lt;'Skenario A B C'!$E$26,0,MAX(0,'Skenario A B C'!$J$26-'Skenario A B C'!$L$26))</f>
        <v/>
      </c>
    </row>
    <row r="111">
      <c r="A111" t="inlineStr">
        <is>
          <t>Partner Acquisition Pekanbaru</t>
        </is>
      </c>
      <c r="B111" s="6">
        <f>'Skenario A B C'!$F$27</f>
        <v/>
      </c>
      <c r="D111">
        <f>IF(1&lt;'Skenario A B C'!$E$27,0,MAX(0,'Skenario A B C'!$H$27-'Skenario A B C'!$L$27))</f>
        <v/>
      </c>
      <c r="E111">
        <f>IF(2&lt;'Skenario A B C'!$E$27,0,MAX(0,'Skenario A B C'!$H$27-'Skenario A B C'!$L$27))</f>
        <v/>
      </c>
      <c r="F111">
        <f>IF(3&lt;'Skenario A B C'!$E$27,0,MAX(0,'Skenario A B C'!$H$27-'Skenario A B C'!$L$27))</f>
        <v/>
      </c>
      <c r="G111">
        <f>IF(4&lt;'Skenario A B C'!$E$27,0,MAX(0,'Skenario A B C'!$I$27-'Skenario A B C'!$L$27))</f>
        <v/>
      </c>
      <c r="H111">
        <f>IF(5&lt;'Skenario A B C'!$E$27,0,MAX(0,'Skenario A B C'!$I$27-'Skenario A B C'!$L$27))</f>
        <v/>
      </c>
      <c r="I111">
        <f>IF(6&lt;'Skenario A B C'!$E$27,0,MAX(0,'Skenario A B C'!$I$27-'Skenario A B C'!$L$27))</f>
        <v/>
      </c>
      <c r="J111">
        <f>IF(7&lt;'Skenario A B C'!$E$27,0,MAX(0,'Skenario A B C'!$I$27-'Skenario A B C'!$L$27))</f>
        <v/>
      </c>
      <c r="K111">
        <f>IF(8&lt;'Skenario A B C'!$E$27,0,MAX(0,'Skenario A B C'!$I$27-'Skenario A B C'!$L$27))</f>
        <v/>
      </c>
      <c r="L111">
        <f>IF(9&lt;'Skenario A B C'!$E$27,0,MAX(0,'Skenario A B C'!$I$27-'Skenario A B C'!$L$27))</f>
        <v/>
      </c>
      <c r="M111">
        <f>IF(10&lt;'Skenario A B C'!$E$27,0,MAX(0,'Skenario A B C'!$I$27-'Skenario A B C'!$L$27))</f>
        <v/>
      </c>
      <c r="N111">
        <f>IF(11&lt;'Skenario A B C'!$E$27,0,MAX(0,'Skenario A B C'!$I$27-'Skenario A B C'!$L$27))</f>
        <v/>
      </c>
      <c r="O111">
        <f>IF(12&lt;'Skenario A B C'!$E$27,0,MAX(0,'Skenario A B C'!$I$27-'Skenario A B C'!$L$27))</f>
        <v/>
      </c>
      <c r="P111">
        <f>IF(13&lt;'Skenario A B C'!$E$27,0,MAX(0,'Skenario A B C'!$J$27-'Skenario A B C'!$L$27))</f>
        <v/>
      </c>
      <c r="Q111">
        <f>IF(14&lt;'Skenario A B C'!$E$27,0,MAX(0,'Skenario A B C'!$J$27-'Skenario A B C'!$L$27))</f>
        <v/>
      </c>
      <c r="R111">
        <f>IF(15&lt;'Skenario A B C'!$E$27,0,MAX(0,'Skenario A B C'!$J$27-'Skenario A B C'!$L$27))</f>
        <v/>
      </c>
      <c r="S111">
        <f>IF(16&lt;'Skenario A B C'!$E$27,0,MAX(0,'Skenario A B C'!$J$27-'Skenario A B C'!$L$27))</f>
        <v/>
      </c>
      <c r="T111">
        <f>IF(17&lt;'Skenario A B C'!$E$27,0,MAX(0,'Skenario A B C'!$J$27-'Skenario A B C'!$L$27))</f>
        <v/>
      </c>
      <c r="U111">
        <f>IF(18&lt;'Skenario A B C'!$E$27,0,MAX(0,'Skenario A B C'!$J$27-'Skenario A B C'!$L$27))</f>
        <v/>
      </c>
      <c r="V111">
        <f>IF(19&lt;'Skenario A B C'!$E$27,0,MAX(0,'Skenario A B C'!$J$27-'Skenario A B C'!$L$27))</f>
        <v/>
      </c>
      <c r="W111">
        <f>IF(20&lt;'Skenario A B C'!$E$27,0,MAX(0,'Skenario A B C'!$J$27-'Skenario A B C'!$L$27))</f>
        <v/>
      </c>
      <c r="X111">
        <f>IF(21&lt;'Skenario A B C'!$E$27,0,MAX(0,'Skenario A B C'!$J$27-'Skenario A B C'!$L$27))</f>
        <v/>
      </c>
      <c r="Y111">
        <f>IF(22&lt;'Skenario A B C'!$E$27,0,MAX(0,'Skenario A B C'!$J$27-'Skenario A B C'!$L$27))</f>
        <v/>
      </c>
      <c r="Z111">
        <f>IF(23&lt;'Skenario A B C'!$E$27,0,MAX(0,'Skenario A B C'!$J$27-'Skenario A B C'!$L$27))</f>
        <v/>
      </c>
      <c r="AA111">
        <f>IF(24&lt;'Skenario A B C'!$E$27,0,MAX(0,'Skenario A B C'!$J$27-'Skenario A B C'!$L$27))</f>
        <v/>
      </c>
    </row>
    <row r="112">
      <c r="A112" t="inlineStr">
        <is>
          <t>Head of Customer Experience</t>
        </is>
      </c>
      <c r="B112" s="6">
        <f>'Skenario A B C'!$F$28</f>
        <v/>
      </c>
      <c r="D112">
        <f>IF(1&lt;'Skenario A B C'!$E$28,0,MAX(0,'Skenario A B C'!$H$28-'Skenario A B C'!$L$28))</f>
        <v/>
      </c>
      <c r="E112">
        <f>IF(2&lt;'Skenario A B C'!$E$28,0,MAX(0,'Skenario A B C'!$H$28-'Skenario A B C'!$L$28))</f>
        <v/>
      </c>
      <c r="F112">
        <f>IF(3&lt;'Skenario A B C'!$E$28,0,MAX(0,'Skenario A B C'!$H$28-'Skenario A B C'!$L$28))</f>
        <v/>
      </c>
      <c r="G112">
        <f>IF(4&lt;'Skenario A B C'!$E$28,0,MAX(0,'Skenario A B C'!$I$28-'Skenario A B C'!$L$28))</f>
        <v/>
      </c>
      <c r="H112">
        <f>IF(5&lt;'Skenario A B C'!$E$28,0,MAX(0,'Skenario A B C'!$I$28-'Skenario A B C'!$L$28))</f>
        <v/>
      </c>
      <c r="I112">
        <f>IF(6&lt;'Skenario A B C'!$E$28,0,MAX(0,'Skenario A B C'!$I$28-'Skenario A B C'!$L$28))</f>
        <v/>
      </c>
      <c r="J112">
        <f>IF(7&lt;'Skenario A B C'!$E$28,0,MAX(0,'Skenario A B C'!$I$28-'Skenario A B C'!$L$28))</f>
        <v/>
      </c>
      <c r="K112">
        <f>IF(8&lt;'Skenario A B C'!$E$28,0,MAX(0,'Skenario A B C'!$I$28-'Skenario A B C'!$L$28))</f>
        <v/>
      </c>
      <c r="L112">
        <f>IF(9&lt;'Skenario A B C'!$E$28,0,MAX(0,'Skenario A B C'!$I$28-'Skenario A B C'!$L$28))</f>
        <v/>
      </c>
      <c r="M112">
        <f>IF(10&lt;'Skenario A B C'!$E$28,0,MAX(0,'Skenario A B C'!$I$28-'Skenario A B C'!$L$28))</f>
        <v/>
      </c>
      <c r="N112">
        <f>IF(11&lt;'Skenario A B C'!$E$28,0,MAX(0,'Skenario A B C'!$I$28-'Skenario A B C'!$L$28))</f>
        <v/>
      </c>
      <c r="O112">
        <f>IF(12&lt;'Skenario A B C'!$E$28,0,MAX(0,'Skenario A B C'!$I$28-'Skenario A B C'!$L$28))</f>
        <v/>
      </c>
      <c r="P112">
        <f>IF(13&lt;'Skenario A B C'!$E$28,0,MAX(0,'Skenario A B C'!$J$28-'Skenario A B C'!$L$28))</f>
        <v/>
      </c>
      <c r="Q112">
        <f>IF(14&lt;'Skenario A B C'!$E$28,0,MAX(0,'Skenario A B C'!$J$28-'Skenario A B C'!$L$28))</f>
        <v/>
      </c>
      <c r="R112">
        <f>IF(15&lt;'Skenario A B C'!$E$28,0,MAX(0,'Skenario A B C'!$J$28-'Skenario A B C'!$L$28))</f>
        <v/>
      </c>
      <c r="S112">
        <f>IF(16&lt;'Skenario A B C'!$E$28,0,MAX(0,'Skenario A B C'!$J$28-'Skenario A B C'!$L$28))</f>
        <v/>
      </c>
      <c r="T112">
        <f>IF(17&lt;'Skenario A B C'!$E$28,0,MAX(0,'Skenario A B C'!$J$28-'Skenario A B C'!$L$28))</f>
        <v/>
      </c>
      <c r="U112">
        <f>IF(18&lt;'Skenario A B C'!$E$28,0,MAX(0,'Skenario A B C'!$J$28-'Skenario A B C'!$L$28))</f>
        <v/>
      </c>
      <c r="V112">
        <f>IF(19&lt;'Skenario A B C'!$E$28,0,MAX(0,'Skenario A B C'!$J$28-'Skenario A B C'!$L$28))</f>
        <v/>
      </c>
      <c r="W112">
        <f>IF(20&lt;'Skenario A B C'!$E$28,0,MAX(0,'Skenario A B C'!$J$28-'Skenario A B C'!$L$28))</f>
        <v/>
      </c>
      <c r="X112">
        <f>IF(21&lt;'Skenario A B C'!$E$28,0,MAX(0,'Skenario A B C'!$J$28-'Skenario A B C'!$L$28))</f>
        <v/>
      </c>
      <c r="Y112">
        <f>IF(22&lt;'Skenario A B C'!$E$28,0,MAX(0,'Skenario A B C'!$J$28-'Skenario A B C'!$L$28))</f>
        <v/>
      </c>
      <c r="Z112">
        <f>IF(23&lt;'Skenario A B C'!$E$28,0,MAX(0,'Skenario A B C'!$J$28-'Skenario A B C'!$L$28))</f>
        <v/>
      </c>
      <c r="AA112">
        <f>IF(24&lt;'Skenario A B C'!$E$28,0,MAX(0,'Skenario A B C'!$J$28-'Skenario A B C'!$L$28))</f>
        <v/>
      </c>
    </row>
    <row r="113">
      <c r="A113" t="inlineStr">
        <is>
          <t>CS Agent Pekanbaru (shift)</t>
        </is>
      </c>
      <c r="B113" s="6">
        <f>'Skenario A B C'!$F$29</f>
        <v/>
      </c>
      <c r="D113">
        <f>IF(1&lt;'Skenario A B C'!$E$29,0,MAX(0,'Skenario A B C'!$H$29-'Skenario A B C'!$L$29))</f>
        <v/>
      </c>
      <c r="E113">
        <f>IF(2&lt;'Skenario A B C'!$E$29,0,MAX(0,'Skenario A B C'!$H$29-'Skenario A B C'!$L$29))</f>
        <v/>
      </c>
      <c r="F113">
        <f>IF(3&lt;'Skenario A B C'!$E$29,0,MAX(0,'Skenario A B C'!$H$29-'Skenario A B C'!$L$29))</f>
        <v/>
      </c>
      <c r="G113">
        <f>IF(4&lt;'Skenario A B C'!$E$29,0,MAX(0,'Skenario A B C'!$I$29-'Skenario A B C'!$L$29))</f>
        <v/>
      </c>
      <c r="H113">
        <f>IF(5&lt;'Skenario A B C'!$E$29,0,MAX(0,'Skenario A B C'!$I$29-'Skenario A B C'!$L$29))</f>
        <v/>
      </c>
      <c r="I113">
        <f>IF(6&lt;'Skenario A B C'!$E$29,0,MAX(0,'Skenario A B C'!$I$29-'Skenario A B C'!$L$29))</f>
        <v/>
      </c>
      <c r="J113">
        <f>IF(7&lt;'Skenario A B C'!$E$29,0,MAX(0,'Skenario A B C'!$I$29-'Skenario A B C'!$L$29))</f>
        <v/>
      </c>
      <c r="K113">
        <f>IF(8&lt;'Skenario A B C'!$E$29,0,MAX(0,'Skenario A B C'!$I$29-'Skenario A B C'!$L$29))</f>
        <v/>
      </c>
      <c r="L113">
        <f>IF(9&lt;'Skenario A B C'!$E$29,0,MAX(0,'Skenario A B C'!$I$29-'Skenario A B C'!$L$29))</f>
        <v/>
      </c>
      <c r="M113">
        <f>IF(10&lt;'Skenario A B C'!$E$29,0,MAX(0,'Skenario A B C'!$I$29-'Skenario A B C'!$L$29))</f>
        <v/>
      </c>
      <c r="N113">
        <f>IF(11&lt;'Skenario A B C'!$E$29,0,MAX(0,'Skenario A B C'!$I$29-'Skenario A B C'!$L$29))</f>
        <v/>
      </c>
      <c r="O113">
        <f>IF(12&lt;'Skenario A B C'!$E$29,0,MAX(0,'Skenario A B C'!$I$29-'Skenario A B C'!$L$29))</f>
        <v/>
      </c>
      <c r="P113">
        <f>IF(13&lt;'Skenario A B C'!$E$29,0,MAX(0,'Skenario A B C'!$J$29-'Skenario A B C'!$L$29))</f>
        <v/>
      </c>
      <c r="Q113">
        <f>IF(14&lt;'Skenario A B C'!$E$29,0,MAX(0,'Skenario A B C'!$J$29-'Skenario A B C'!$L$29))</f>
        <v/>
      </c>
      <c r="R113">
        <f>IF(15&lt;'Skenario A B C'!$E$29,0,MAX(0,'Skenario A B C'!$J$29-'Skenario A B C'!$L$29))</f>
        <v/>
      </c>
      <c r="S113">
        <f>IF(16&lt;'Skenario A B C'!$E$29,0,MAX(0,'Skenario A B C'!$J$29-'Skenario A B C'!$L$29))</f>
        <v/>
      </c>
      <c r="T113">
        <f>IF(17&lt;'Skenario A B C'!$E$29,0,MAX(0,'Skenario A B C'!$J$29-'Skenario A B C'!$L$29))</f>
        <v/>
      </c>
      <c r="U113">
        <f>IF(18&lt;'Skenario A B C'!$E$29,0,MAX(0,'Skenario A B C'!$J$29-'Skenario A B C'!$L$29))</f>
        <v/>
      </c>
      <c r="V113">
        <f>IF(19&lt;'Skenario A B C'!$E$29,0,MAX(0,'Skenario A B C'!$J$29-'Skenario A B C'!$L$29))</f>
        <v/>
      </c>
      <c r="W113">
        <f>IF(20&lt;'Skenario A B C'!$E$29,0,MAX(0,'Skenario A B C'!$J$29-'Skenario A B C'!$L$29))</f>
        <v/>
      </c>
      <c r="X113">
        <f>IF(21&lt;'Skenario A B C'!$E$29,0,MAX(0,'Skenario A B C'!$J$29-'Skenario A B C'!$L$29))</f>
        <v/>
      </c>
      <c r="Y113">
        <f>IF(22&lt;'Skenario A B C'!$E$29,0,MAX(0,'Skenario A B C'!$J$29-'Skenario A B C'!$L$29))</f>
        <v/>
      </c>
      <c r="Z113">
        <f>IF(23&lt;'Skenario A B C'!$E$29,0,MAX(0,'Skenario A B C'!$J$29-'Skenario A B C'!$L$29))</f>
        <v/>
      </c>
      <c r="AA113">
        <f>IF(24&lt;'Skenario A B C'!$E$29,0,MAX(0,'Skenario A B C'!$J$29-'Skenario A B C'!$L$29))</f>
        <v/>
      </c>
    </row>
    <row r="114">
      <c r="A114" t="inlineStr">
        <is>
          <t>Trust &amp; Safety Officer</t>
        </is>
      </c>
      <c r="B114" s="6">
        <f>'Skenario A B C'!$F$30</f>
        <v/>
      </c>
      <c r="D114">
        <f>IF(1&lt;'Skenario A B C'!$E$30,0,MAX(0,'Skenario A B C'!$H$30-'Skenario A B C'!$L$30))</f>
        <v/>
      </c>
      <c r="E114">
        <f>IF(2&lt;'Skenario A B C'!$E$30,0,MAX(0,'Skenario A B C'!$H$30-'Skenario A B C'!$L$30))</f>
        <v/>
      </c>
      <c r="F114">
        <f>IF(3&lt;'Skenario A B C'!$E$30,0,MAX(0,'Skenario A B C'!$H$30-'Skenario A B C'!$L$30))</f>
        <v/>
      </c>
      <c r="G114">
        <f>IF(4&lt;'Skenario A B C'!$E$30,0,MAX(0,'Skenario A B C'!$I$30-'Skenario A B C'!$L$30))</f>
        <v/>
      </c>
      <c r="H114">
        <f>IF(5&lt;'Skenario A B C'!$E$30,0,MAX(0,'Skenario A B C'!$I$30-'Skenario A B C'!$L$30))</f>
        <v/>
      </c>
      <c r="I114">
        <f>IF(6&lt;'Skenario A B C'!$E$30,0,MAX(0,'Skenario A B C'!$I$30-'Skenario A B C'!$L$30))</f>
        <v/>
      </c>
      <c r="J114">
        <f>IF(7&lt;'Skenario A B C'!$E$30,0,MAX(0,'Skenario A B C'!$I$30-'Skenario A B C'!$L$30))</f>
        <v/>
      </c>
      <c r="K114">
        <f>IF(8&lt;'Skenario A B C'!$E$30,0,MAX(0,'Skenario A B C'!$I$30-'Skenario A B C'!$L$30))</f>
        <v/>
      </c>
      <c r="L114">
        <f>IF(9&lt;'Skenario A B C'!$E$30,0,MAX(0,'Skenario A B C'!$I$30-'Skenario A B C'!$L$30))</f>
        <v/>
      </c>
      <c r="M114">
        <f>IF(10&lt;'Skenario A B C'!$E$30,0,MAX(0,'Skenario A B C'!$I$30-'Skenario A B C'!$L$30))</f>
        <v/>
      </c>
      <c r="N114">
        <f>IF(11&lt;'Skenario A B C'!$E$30,0,MAX(0,'Skenario A B C'!$I$30-'Skenario A B C'!$L$30))</f>
        <v/>
      </c>
      <c r="O114">
        <f>IF(12&lt;'Skenario A B C'!$E$30,0,MAX(0,'Skenario A B C'!$I$30-'Skenario A B C'!$L$30))</f>
        <v/>
      </c>
      <c r="P114">
        <f>IF(13&lt;'Skenario A B C'!$E$30,0,MAX(0,'Skenario A B C'!$J$30-'Skenario A B C'!$L$30))</f>
        <v/>
      </c>
      <c r="Q114">
        <f>IF(14&lt;'Skenario A B C'!$E$30,0,MAX(0,'Skenario A B C'!$J$30-'Skenario A B C'!$L$30))</f>
        <v/>
      </c>
      <c r="R114">
        <f>IF(15&lt;'Skenario A B C'!$E$30,0,MAX(0,'Skenario A B C'!$J$30-'Skenario A B C'!$L$30))</f>
        <v/>
      </c>
      <c r="S114">
        <f>IF(16&lt;'Skenario A B C'!$E$30,0,MAX(0,'Skenario A B C'!$J$30-'Skenario A B C'!$L$30))</f>
        <v/>
      </c>
      <c r="T114">
        <f>IF(17&lt;'Skenario A B C'!$E$30,0,MAX(0,'Skenario A B C'!$J$30-'Skenario A B C'!$L$30))</f>
        <v/>
      </c>
      <c r="U114">
        <f>IF(18&lt;'Skenario A B C'!$E$30,0,MAX(0,'Skenario A B C'!$J$30-'Skenario A B C'!$L$30))</f>
        <v/>
      </c>
      <c r="V114">
        <f>IF(19&lt;'Skenario A B C'!$E$30,0,MAX(0,'Skenario A B C'!$J$30-'Skenario A B C'!$L$30))</f>
        <v/>
      </c>
      <c r="W114">
        <f>IF(20&lt;'Skenario A B C'!$E$30,0,MAX(0,'Skenario A B C'!$J$30-'Skenario A B C'!$L$30))</f>
        <v/>
      </c>
      <c r="X114">
        <f>IF(21&lt;'Skenario A B C'!$E$30,0,MAX(0,'Skenario A B C'!$J$30-'Skenario A B C'!$L$30))</f>
        <v/>
      </c>
      <c r="Y114">
        <f>IF(22&lt;'Skenario A B C'!$E$30,0,MAX(0,'Skenario A B C'!$J$30-'Skenario A B C'!$L$30))</f>
        <v/>
      </c>
      <c r="Z114">
        <f>IF(23&lt;'Skenario A B C'!$E$30,0,MAX(0,'Skenario A B C'!$J$30-'Skenario A B C'!$L$30))</f>
        <v/>
      </c>
      <c r="AA114">
        <f>IF(24&lt;'Skenario A B C'!$E$30,0,MAX(0,'Skenario A B C'!$J$30-'Skenario A B C'!$L$30))</f>
        <v/>
      </c>
    </row>
    <row r="115">
      <c r="A115" t="inlineStr">
        <is>
          <t>City Manager Padang</t>
        </is>
      </c>
      <c r="B115" s="6">
        <f>'Skenario A B C'!$F$31</f>
        <v/>
      </c>
      <c r="D115">
        <f>IF(1&lt;'Skenario A B C'!$E$31,0,MAX(0,'Skenario A B C'!$H$31-'Skenario A B C'!$L$31))</f>
        <v/>
      </c>
      <c r="E115">
        <f>IF(2&lt;'Skenario A B C'!$E$31,0,MAX(0,'Skenario A B C'!$H$31-'Skenario A B C'!$L$31))</f>
        <v/>
      </c>
      <c r="F115">
        <f>IF(3&lt;'Skenario A B C'!$E$31,0,MAX(0,'Skenario A B C'!$H$31-'Skenario A B C'!$L$31))</f>
        <v/>
      </c>
      <c r="G115">
        <f>IF(4&lt;'Skenario A B C'!$E$31,0,MAX(0,'Skenario A B C'!$I$31-'Skenario A B C'!$L$31))</f>
        <v/>
      </c>
      <c r="H115">
        <f>IF(5&lt;'Skenario A B C'!$E$31,0,MAX(0,'Skenario A B C'!$I$31-'Skenario A B C'!$L$31))</f>
        <v/>
      </c>
      <c r="I115">
        <f>IF(6&lt;'Skenario A B C'!$E$31,0,MAX(0,'Skenario A B C'!$I$31-'Skenario A B C'!$L$31))</f>
        <v/>
      </c>
      <c r="J115">
        <f>IF(7&lt;'Skenario A B C'!$E$31,0,MAX(0,'Skenario A B C'!$I$31-'Skenario A B C'!$L$31))</f>
        <v/>
      </c>
      <c r="K115">
        <f>IF(8&lt;'Skenario A B C'!$E$31,0,MAX(0,'Skenario A B C'!$I$31-'Skenario A B C'!$L$31))</f>
        <v/>
      </c>
      <c r="L115">
        <f>IF(9&lt;'Skenario A B C'!$E$31,0,MAX(0,'Skenario A B C'!$I$31-'Skenario A B C'!$L$31))</f>
        <v/>
      </c>
      <c r="M115">
        <f>IF(10&lt;'Skenario A B C'!$E$31,0,MAX(0,'Skenario A B C'!$I$31-'Skenario A B C'!$L$31))</f>
        <v/>
      </c>
      <c r="N115">
        <f>IF(11&lt;'Skenario A B C'!$E$31,0,MAX(0,'Skenario A B C'!$I$31-'Skenario A B C'!$L$31))</f>
        <v/>
      </c>
      <c r="O115">
        <f>IF(12&lt;'Skenario A B C'!$E$31,0,MAX(0,'Skenario A B C'!$I$31-'Skenario A B C'!$L$31))</f>
        <v/>
      </c>
      <c r="P115">
        <f>IF(13&lt;'Skenario A B C'!$E$31,0,MAX(0,'Skenario A B C'!$J$31-'Skenario A B C'!$L$31))</f>
        <v/>
      </c>
      <c r="Q115">
        <f>IF(14&lt;'Skenario A B C'!$E$31,0,MAX(0,'Skenario A B C'!$J$31-'Skenario A B C'!$L$31))</f>
        <v/>
      </c>
      <c r="R115">
        <f>IF(15&lt;'Skenario A B C'!$E$31,0,MAX(0,'Skenario A B C'!$J$31-'Skenario A B C'!$L$31))</f>
        <v/>
      </c>
      <c r="S115">
        <f>IF(16&lt;'Skenario A B C'!$E$31,0,MAX(0,'Skenario A B C'!$J$31-'Skenario A B C'!$L$31))</f>
        <v/>
      </c>
      <c r="T115">
        <f>IF(17&lt;'Skenario A B C'!$E$31,0,MAX(0,'Skenario A B C'!$J$31-'Skenario A B C'!$L$31))</f>
        <v/>
      </c>
      <c r="U115">
        <f>IF(18&lt;'Skenario A B C'!$E$31,0,MAX(0,'Skenario A B C'!$J$31-'Skenario A B C'!$L$31))</f>
        <v/>
      </c>
      <c r="V115">
        <f>IF(19&lt;'Skenario A B C'!$E$31,0,MAX(0,'Skenario A B C'!$J$31-'Skenario A B C'!$L$31))</f>
        <v/>
      </c>
      <c r="W115">
        <f>IF(20&lt;'Skenario A B C'!$E$31,0,MAX(0,'Skenario A B C'!$J$31-'Skenario A B C'!$L$31))</f>
        <v/>
      </c>
      <c r="X115">
        <f>IF(21&lt;'Skenario A B C'!$E$31,0,MAX(0,'Skenario A B C'!$J$31-'Skenario A B C'!$L$31))</f>
        <v/>
      </c>
      <c r="Y115">
        <f>IF(22&lt;'Skenario A B C'!$E$31,0,MAX(0,'Skenario A B C'!$J$31-'Skenario A B C'!$L$31))</f>
        <v/>
      </c>
      <c r="Z115">
        <f>IF(23&lt;'Skenario A B C'!$E$31,0,MAX(0,'Skenario A B C'!$J$31-'Skenario A B C'!$L$31))</f>
        <v/>
      </c>
      <c r="AA115">
        <f>IF(24&lt;'Skenario A B C'!$E$31,0,MAX(0,'Skenario A B C'!$J$31-'Skenario A B C'!$L$31))</f>
        <v/>
      </c>
    </row>
    <row r="116">
      <c r="A116" t="inlineStr">
        <is>
          <t>Partner Acquisition Padang</t>
        </is>
      </c>
      <c r="B116" s="6">
        <f>'Skenario A B C'!$F$32</f>
        <v/>
      </c>
      <c r="D116">
        <f>IF(1&lt;'Skenario A B C'!$E$32,0,MAX(0,'Skenario A B C'!$H$32-'Skenario A B C'!$L$32))</f>
        <v/>
      </c>
      <c r="E116">
        <f>IF(2&lt;'Skenario A B C'!$E$32,0,MAX(0,'Skenario A B C'!$H$32-'Skenario A B C'!$L$32))</f>
        <v/>
      </c>
      <c r="F116">
        <f>IF(3&lt;'Skenario A B C'!$E$32,0,MAX(0,'Skenario A B C'!$H$32-'Skenario A B C'!$L$32))</f>
        <v/>
      </c>
      <c r="G116">
        <f>IF(4&lt;'Skenario A B C'!$E$32,0,MAX(0,'Skenario A B C'!$I$32-'Skenario A B C'!$L$32))</f>
        <v/>
      </c>
      <c r="H116">
        <f>IF(5&lt;'Skenario A B C'!$E$32,0,MAX(0,'Skenario A B C'!$I$32-'Skenario A B C'!$L$32))</f>
        <v/>
      </c>
      <c r="I116">
        <f>IF(6&lt;'Skenario A B C'!$E$32,0,MAX(0,'Skenario A B C'!$I$32-'Skenario A B C'!$L$32))</f>
        <v/>
      </c>
      <c r="J116">
        <f>IF(7&lt;'Skenario A B C'!$E$32,0,MAX(0,'Skenario A B C'!$I$32-'Skenario A B C'!$L$32))</f>
        <v/>
      </c>
      <c r="K116">
        <f>IF(8&lt;'Skenario A B C'!$E$32,0,MAX(0,'Skenario A B C'!$I$32-'Skenario A B C'!$L$32))</f>
        <v/>
      </c>
      <c r="L116">
        <f>IF(9&lt;'Skenario A B C'!$E$32,0,MAX(0,'Skenario A B C'!$I$32-'Skenario A B C'!$L$32))</f>
        <v/>
      </c>
      <c r="M116">
        <f>IF(10&lt;'Skenario A B C'!$E$32,0,MAX(0,'Skenario A B C'!$I$32-'Skenario A B C'!$L$32))</f>
        <v/>
      </c>
      <c r="N116">
        <f>IF(11&lt;'Skenario A B C'!$E$32,0,MAX(0,'Skenario A B C'!$I$32-'Skenario A B C'!$L$32))</f>
        <v/>
      </c>
      <c r="O116">
        <f>IF(12&lt;'Skenario A B C'!$E$32,0,MAX(0,'Skenario A B C'!$I$32-'Skenario A B C'!$L$32))</f>
        <v/>
      </c>
      <c r="P116">
        <f>IF(13&lt;'Skenario A B C'!$E$32,0,MAX(0,'Skenario A B C'!$J$32-'Skenario A B C'!$L$32))</f>
        <v/>
      </c>
      <c r="Q116">
        <f>IF(14&lt;'Skenario A B C'!$E$32,0,MAX(0,'Skenario A B C'!$J$32-'Skenario A B C'!$L$32))</f>
        <v/>
      </c>
      <c r="R116">
        <f>IF(15&lt;'Skenario A B C'!$E$32,0,MAX(0,'Skenario A B C'!$J$32-'Skenario A B C'!$L$32))</f>
        <v/>
      </c>
      <c r="S116">
        <f>IF(16&lt;'Skenario A B C'!$E$32,0,MAX(0,'Skenario A B C'!$J$32-'Skenario A B C'!$L$32))</f>
        <v/>
      </c>
      <c r="T116">
        <f>IF(17&lt;'Skenario A B C'!$E$32,0,MAX(0,'Skenario A B C'!$J$32-'Skenario A B C'!$L$32))</f>
        <v/>
      </c>
      <c r="U116">
        <f>IF(18&lt;'Skenario A B C'!$E$32,0,MAX(0,'Skenario A B C'!$J$32-'Skenario A B C'!$L$32))</f>
        <v/>
      </c>
      <c r="V116">
        <f>IF(19&lt;'Skenario A B C'!$E$32,0,MAX(0,'Skenario A B C'!$J$32-'Skenario A B C'!$L$32))</f>
        <v/>
      </c>
      <c r="W116">
        <f>IF(20&lt;'Skenario A B C'!$E$32,0,MAX(0,'Skenario A B C'!$J$32-'Skenario A B C'!$L$32))</f>
        <v/>
      </c>
      <c r="X116">
        <f>IF(21&lt;'Skenario A B C'!$E$32,0,MAX(0,'Skenario A B C'!$J$32-'Skenario A B C'!$L$32))</f>
        <v/>
      </c>
      <c r="Y116">
        <f>IF(22&lt;'Skenario A B C'!$E$32,0,MAX(0,'Skenario A B C'!$J$32-'Skenario A B C'!$L$32))</f>
        <v/>
      </c>
      <c r="Z116">
        <f>IF(23&lt;'Skenario A B C'!$E$32,0,MAX(0,'Skenario A B C'!$J$32-'Skenario A B C'!$L$32))</f>
        <v/>
      </c>
      <c r="AA116">
        <f>IF(24&lt;'Skenario A B C'!$E$32,0,MAX(0,'Skenario A B C'!$J$32-'Skenario A B C'!$L$32))</f>
        <v/>
      </c>
    </row>
    <row r="117">
      <c r="A117" t="inlineStr">
        <is>
          <t>Ops Supervisor Padang</t>
        </is>
      </c>
      <c r="B117" s="6">
        <f>'Skenario A B C'!$F$33</f>
        <v/>
      </c>
      <c r="D117">
        <f>IF(1&lt;'Skenario A B C'!$E$33,0,MAX(0,'Skenario A B C'!$H$33-'Skenario A B C'!$L$33))</f>
        <v/>
      </c>
      <c r="E117">
        <f>IF(2&lt;'Skenario A B C'!$E$33,0,MAX(0,'Skenario A B C'!$H$33-'Skenario A B C'!$L$33))</f>
        <v/>
      </c>
      <c r="F117">
        <f>IF(3&lt;'Skenario A B C'!$E$33,0,MAX(0,'Skenario A B C'!$H$33-'Skenario A B C'!$L$33))</f>
        <v/>
      </c>
      <c r="G117">
        <f>IF(4&lt;'Skenario A B C'!$E$33,0,MAX(0,'Skenario A B C'!$I$33-'Skenario A B C'!$L$33))</f>
        <v/>
      </c>
      <c r="H117">
        <f>IF(5&lt;'Skenario A B C'!$E$33,0,MAX(0,'Skenario A B C'!$I$33-'Skenario A B C'!$L$33))</f>
        <v/>
      </c>
      <c r="I117">
        <f>IF(6&lt;'Skenario A B C'!$E$33,0,MAX(0,'Skenario A B C'!$I$33-'Skenario A B C'!$L$33))</f>
        <v/>
      </c>
      <c r="J117">
        <f>IF(7&lt;'Skenario A B C'!$E$33,0,MAX(0,'Skenario A B C'!$I$33-'Skenario A B C'!$L$33))</f>
        <v/>
      </c>
      <c r="K117">
        <f>IF(8&lt;'Skenario A B C'!$E$33,0,MAX(0,'Skenario A B C'!$I$33-'Skenario A B C'!$L$33))</f>
        <v/>
      </c>
      <c r="L117">
        <f>IF(9&lt;'Skenario A B C'!$E$33,0,MAX(0,'Skenario A B C'!$I$33-'Skenario A B C'!$L$33))</f>
        <v/>
      </c>
      <c r="M117">
        <f>IF(10&lt;'Skenario A B C'!$E$33,0,MAX(0,'Skenario A B C'!$I$33-'Skenario A B C'!$L$33))</f>
        <v/>
      </c>
      <c r="N117">
        <f>IF(11&lt;'Skenario A B C'!$E$33,0,MAX(0,'Skenario A B C'!$I$33-'Skenario A B C'!$L$33))</f>
        <v/>
      </c>
      <c r="O117">
        <f>IF(12&lt;'Skenario A B C'!$E$33,0,MAX(0,'Skenario A B C'!$I$33-'Skenario A B C'!$L$33))</f>
        <v/>
      </c>
      <c r="P117">
        <f>IF(13&lt;'Skenario A B C'!$E$33,0,MAX(0,'Skenario A B C'!$J$33-'Skenario A B C'!$L$33))</f>
        <v/>
      </c>
      <c r="Q117">
        <f>IF(14&lt;'Skenario A B C'!$E$33,0,MAX(0,'Skenario A B C'!$J$33-'Skenario A B C'!$L$33))</f>
        <v/>
      </c>
      <c r="R117">
        <f>IF(15&lt;'Skenario A B C'!$E$33,0,MAX(0,'Skenario A B C'!$J$33-'Skenario A B C'!$L$33))</f>
        <v/>
      </c>
      <c r="S117">
        <f>IF(16&lt;'Skenario A B C'!$E$33,0,MAX(0,'Skenario A B C'!$J$33-'Skenario A B C'!$L$33))</f>
        <v/>
      </c>
      <c r="T117">
        <f>IF(17&lt;'Skenario A B C'!$E$33,0,MAX(0,'Skenario A B C'!$J$33-'Skenario A B C'!$L$33))</f>
        <v/>
      </c>
      <c r="U117">
        <f>IF(18&lt;'Skenario A B C'!$E$33,0,MAX(0,'Skenario A B C'!$J$33-'Skenario A B C'!$L$33))</f>
        <v/>
      </c>
      <c r="V117">
        <f>IF(19&lt;'Skenario A B C'!$E$33,0,MAX(0,'Skenario A B C'!$J$33-'Skenario A B C'!$L$33))</f>
        <v/>
      </c>
      <c r="W117">
        <f>IF(20&lt;'Skenario A B C'!$E$33,0,MAX(0,'Skenario A B C'!$J$33-'Skenario A B C'!$L$33))</f>
        <v/>
      </c>
      <c r="X117">
        <f>IF(21&lt;'Skenario A B C'!$E$33,0,MAX(0,'Skenario A B C'!$J$33-'Skenario A B C'!$L$33))</f>
        <v/>
      </c>
      <c r="Y117">
        <f>IF(22&lt;'Skenario A B C'!$E$33,0,MAX(0,'Skenario A B C'!$J$33-'Skenario A B C'!$L$33))</f>
        <v/>
      </c>
      <c r="Z117">
        <f>IF(23&lt;'Skenario A B C'!$E$33,0,MAX(0,'Skenario A B C'!$J$33-'Skenario A B C'!$L$33))</f>
        <v/>
      </c>
      <c r="AA117">
        <f>IF(24&lt;'Skenario A B C'!$E$33,0,MAX(0,'Skenario A B C'!$J$33-'Skenario A B C'!$L$33))</f>
        <v/>
      </c>
    </row>
    <row r="118">
      <c r="A118" t="inlineStr">
        <is>
          <t>CS Agent Padang (shift)</t>
        </is>
      </c>
      <c r="B118" s="6">
        <f>'Skenario A B C'!$F$34</f>
        <v/>
      </c>
      <c r="D118">
        <f>IF(1&lt;'Skenario A B C'!$E$34,0,MAX(0,'Skenario A B C'!$H$34-'Skenario A B C'!$L$34))</f>
        <v/>
      </c>
      <c r="E118">
        <f>IF(2&lt;'Skenario A B C'!$E$34,0,MAX(0,'Skenario A B C'!$H$34-'Skenario A B C'!$L$34))</f>
        <v/>
      </c>
      <c r="F118">
        <f>IF(3&lt;'Skenario A B C'!$E$34,0,MAX(0,'Skenario A B C'!$H$34-'Skenario A B C'!$L$34))</f>
        <v/>
      </c>
      <c r="G118">
        <f>IF(4&lt;'Skenario A B C'!$E$34,0,MAX(0,'Skenario A B C'!$I$34-'Skenario A B C'!$L$34))</f>
        <v/>
      </c>
      <c r="H118">
        <f>IF(5&lt;'Skenario A B C'!$E$34,0,MAX(0,'Skenario A B C'!$I$34-'Skenario A B C'!$L$34))</f>
        <v/>
      </c>
      <c r="I118">
        <f>IF(6&lt;'Skenario A B C'!$E$34,0,MAX(0,'Skenario A B C'!$I$34-'Skenario A B C'!$L$34))</f>
        <v/>
      </c>
      <c r="J118">
        <f>IF(7&lt;'Skenario A B C'!$E$34,0,MAX(0,'Skenario A B C'!$I$34-'Skenario A B C'!$L$34))</f>
        <v/>
      </c>
      <c r="K118">
        <f>IF(8&lt;'Skenario A B C'!$E$34,0,MAX(0,'Skenario A B C'!$I$34-'Skenario A B C'!$L$34))</f>
        <v/>
      </c>
      <c r="L118">
        <f>IF(9&lt;'Skenario A B C'!$E$34,0,MAX(0,'Skenario A B C'!$I$34-'Skenario A B C'!$L$34))</f>
        <v/>
      </c>
      <c r="M118">
        <f>IF(10&lt;'Skenario A B C'!$E$34,0,MAX(0,'Skenario A B C'!$I$34-'Skenario A B C'!$L$34))</f>
        <v/>
      </c>
      <c r="N118">
        <f>IF(11&lt;'Skenario A B C'!$E$34,0,MAX(0,'Skenario A B C'!$I$34-'Skenario A B C'!$L$34))</f>
        <v/>
      </c>
      <c r="O118">
        <f>IF(12&lt;'Skenario A B C'!$E$34,0,MAX(0,'Skenario A B C'!$I$34-'Skenario A B C'!$L$34))</f>
        <v/>
      </c>
      <c r="P118">
        <f>IF(13&lt;'Skenario A B C'!$E$34,0,MAX(0,'Skenario A B C'!$J$34-'Skenario A B C'!$L$34))</f>
        <v/>
      </c>
      <c r="Q118">
        <f>IF(14&lt;'Skenario A B C'!$E$34,0,MAX(0,'Skenario A B C'!$J$34-'Skenario A B C'!$L$34))</f>
        <v/>
      </c>
      <c r="R118">
        <f>IF(15&lt;'Skenario A B C'!$E$34,0,MAX(0,'Skenario A B C'!$J$34-'Skenario A B C'!$L$34))</f>
        <v/>
      </c>
      <c r="S118">
        <f>IF(16&lt;'Skenario A B C'!$E$34,0,MAX(0,'Skenario A B C'!$J$34-'Skenario A B C'!$L$34))</f>
        <v/>
      </c>
      <c r="T118">
        <f>IF(17&lt;'Skenario A B C'!$E$34,0,MAX(0,'Skenario A B C'!$J$34-'Skenario A B C'!$L$34))</f>
        <v/>
      </c>
      <c r="U118">
        <f>IF(18&lt;'Skenario A B C'!$E$34,0,MAX(0,'Skenario A B C'!$J$34-'Skenario A B C'!$L$34))</f>
        <v/>
      </c>
      <c r="V118">
        <f>IF(19&lt;'Skenario A B C'!$E$34,0,MAX(0,'Skenario A B C'!$J$34-'Skenario A B C'!$L$34))</f>
        <v/>
      </c>
      <c r="W118">
        <f>IF(20&lt;'Skenario A B C'!$E$34,0,MAX(0,'Skenario A B C'!$J$34-'Skenario A B C'!$L$34))</f>
        <v/>
      </c>
      <c r="X118">
        <f>IF(21&lt;'Skenario A B C'!$E$34,0,MAX(0,'Skenario A B C'!$J$34-'Skenario A B C'!$L$34))</f>
        <v/>
      </c>
      <c r="Y118">
        <f>IF(22&lt;'Skenario A B C'!$E$34,0,MAX(0,'Skenario A B C'!$J$34-'Skenario A B C'!$L$34))</f>
        <v/>
      </c>
      <c r="Z118">
        <f>IF(23&lt;'Skenario A B C'!$E$34,0,MAX(0,'Skenario A B C'!$J$34-'Skenario A B C'!$L$34))</f>
        <v/>
      </c>
      <c r="AA118">
        <f>IF(24&lt;'Skenario A B C'!$E$34,0,MAX(0,'Skenario A B C'!$J$34-'Skenario A B C'!$L$34))</f>
        <v/>
      </c>
    </row>
    <row r="119">
      <c r="A119" t="inlineStr">
        <is>
          <t>Partner Acquisition Padang - gelombang 2</t>
        </is>
      </c>
      <c r="B119" s="6">
        <f>'Skenario A B C'!$F$35</f>
        <v/>
      </c>
      <c r="D119">
        <f>IF(1&lt;'Skenario A B C'!$E$35,0,MAX(0,'Skenario A B C'!$H$35-'Skenario A B C'!$L$35))</f>
        <v/>
      </c>
      <c r="E119">
        <f>IF(2&lt;'Skenario A B C'!$E$35,0,MAX(0,'Skenario A B C'!$H$35-'Skenario A B C'!$L$35))</f>
        <v/>
      </c>
      <c r="F119">
        <f>IF(3&lt;'Skenario A B C'!$E$35,0,MAX(0,'Skenario A B C'!$H$35-'Skenario A B C'!$L$35))</f>
        <v/>
      </c>
      <c r="G119">
        <f>IF(4&lt;'Skenario A B C'!$E$35,0,MAX(0,'Skenario A B C'!$I$35-'Skenario A B C'!$L$35))</f>
        <v/>
      </c>
      <c r="H119">
        <f>IF(5&lt;'Skenario A B C'!$E$35,0,MAX(0,'Skenario A B C'!$I$35-'Skenario A B C'!$L$35))</f>
        <v/>
      </c>
      <c r="I119">
        <f>IF(6&lt;'Skenario A B C'!$E$35,0,MAX(0,'Skenario A B C'!$I$35-'Skenario A B C'!$L$35))</f>
        <v/>
      </c>
      <c r="J119">
        <f>IF(7&lt;'Skenario A B C'!$E$35,0,MAX(0,'Skenario A B C'!$I$35-'Skenario A B C'!$L$35))</f>
        <v/>
      </c>
      <c r="K119">
        <f>IF(8&lt;'Skenario A B C'!$E$35,0,MAX(0,'Skenario A B C'!$I$35-'Skenario A B C'!$L$35))</f>
        <v/>
      </c>
      <c r="L119">
        <f>IF(9&lt;'Skenario A B C'!$E$35,0,MAX(0,'Skenario A B C'!$I$35-'Skenario A B C'!$L$35))</f>
        <v/>
      </c>
      <c r="M119">
        <f>IF(10&lt;'Skenario A B C'!$E$35,0,MAX(0,'Skenario A B C'!$I$35-'Skenario A B C'!$L$35))</f>
        <v/>
      </c>
      <c r="N119">
        <f>IF(11&lt;'Skenario A B C'!$E$35,0,MAX(0,'Skenario A B C'!$I$35-'Skenario A B C'!$L$35))</f>
        <v/>
      </c>
      <c r="O119">
        <f>IF(12&lt;'Skenario A B C'!$E$35,0,MAX(0,'Skenario A B C'!$I$35-'Skenario A B C'!$L$35))</f>
        <v/>
      </c>
      <c r="P119">
        <f>IF(13&lt;'Skenario A B C'!$E$35,0,MAX(0,'Skenario A B C'!$J$35-'Skenario A B C'!$L$35))</f>
        <v/>
      </c>
      <c r="Q119">
        <f>IF(14&lt;'Skenario A B C'!$E$35,0,MAX(0,'Skenario A B C'!$J$35-'Skenario A B C'!$L$35))</f>
        <v/>
      </c>
      <c r="R119">
        <f>IF(15&lt;'Skenario A B C'!$E$35,0,MAX(0,'Skenario A B C'!$J$35-'Skenario A B C'!$L$35))</f>
        <v/>
      </c>
      <c r="S119">
        <f>IF(16&lt;'Skenario A B C'!$E$35,0,MAX(0,'Skenario A B C'!$J$35-'Skenario A B C'!$L$35))</f>
        <v/>
      </c>
      <c r="T119">
        <f>IF(17&lt;'Skenario A B C'!$E$35,0,MAX(0,'Skenario A B C'!$J$35-'Skenario A B C'!$L$35))</f>
        <v/>
      </c>
      <c r="U119">
        <f>IF(18&lt;'Skenario A B C'!$E$35,0,MAX(0,'Skenario A B C'!$J$35-'Skenario A B C'!$L$35))</f>
        <v/>
      </c>
      <c r="V119">
        <f>IF(19&lt;'Skenario A B C'!$E$35,0,MAX(0,'Skenario A B C'!$J$35-'Skenario A B C'!$L$35))</f>
        <v/>
      </c>
      <c r="W119">
        <f>IF(20&lt;'Skenario A B C'!$E$35,0,MAX(0,'Skenario A B C'!$J$35-'Skenario A B C'!$L$35))</f>
        <v/>
      </c>
      <c r="X119">
        <f>IF(21&lt;'Skenario A B C'!$E$35,0,MAX(0,'Skenario A B C'!$J$35-'Skenario A B C'!$L$35))</f>
        <v/>
      </c>
      <c r="Y119">
        <f>IF(22&lt;'Skenario A B C'!$E$35,0,MAX(0,'Skenario A B C'!$J$35-'Skenario A B C'!$L$35))</f>
        <v/>
      </c>
      <c r="Z119">
        <f>IF(23&lt;'Skenario A B C'!$E$35,0,MAX(0,'Skenario A B C'!$J$35-'Skenario A B C'!$L$35))</f>
        <v/>
      </c>
      <c r="AA119">
        <f>IF(24&lt;'Skenario A B C'!$E$35,0,MAX(0,'Skenario A B C'!$J$35-'Skenario A B C'!$L$35))</f>
        <v/>
      </c>
    </row>
    <row r="120">
      <c r="A120" t="inlineStr">
        <is>
          <t>Head of Growth &amp; Partnership</t>
        </is>
      </c>
      <c r="B120" s="6">
        <f>'Skenario A B C'!$F$36</f>
        <v/>
      </c>
      <c r="D120">
        <f>IF(1&lt;'Skenario A B C'!$E$36,0,MAX(0,'Skenario A B C'!$H$36-'Skenario A B C'!$L$36))</f>
        <v/>
      </c>
      <c r="E120">
        <f>IF(2&lt;'Skenario A B C'!$E$36,0,MAX(0,'Skenario A B C'!$H$36-'Skenario A B C'!$L$36))</f>
        <v/>
      </c>
      <c r="F120">
        <f>IF(3&lt;'Skenario A B C'!$E$36,0,MAX(0,'Skenario A B C'!$H$36-'Skenario A B C'!$L$36))</f>
        <v/>
      </c>
      <c r="G120">
        <f>IF(4&lt;'Skenario A B C'!$E$36,0,MAX(0,'Skenario A B C'!$I$36-'Skenario A B C'!$L$36))</f>
        <v/>
      </c>
      <c r="H120">
        <f>IF(5&lt;'Skenario A B C'!$E$36,0,MAX(0,'Skenario A B C'!$I$36-'Skenario A B C'!$L$36))</f>
        <v/>
      </c>
      <c r="I120">
        <f>IF(6&lt;'Skenario A B C'!$E$36,0,MAX(0,'Skenario A B C'!$I$36-'Skenario A B C'!$L$36))</f>
        <v/>
      </c>
      <c r="J120">
        <f>IF(7&lt;'Skenario A B C'!$E$36,0,MAX(0,'Skenario A B C'!$I$36-'Skenario A B C'!$L$36))</f>
        <v/>
      </c>
      <c r="K120">
        <f>IF(8&lt;'Skenario A B C'!$E$36,0,MAX(0,'Skenario A B C'!$I$36-'Skenario A B C'!$L$36))</f>
        <v/>
      </c>
      <c r="L120">
        <f>IF(9&lt;'Skenario A B C'!$E$36,0,MAX(0,'Skenario A B C'!$I$36-'Skenario A B C'!$L$36))</f>
        <v/>
      </c>
      <c r="M120">
        <f>IF(10&lt;'Skenario A B C'!$E$36,0,MAX(0,'Skenario A B C'!$I$36-'Skenario A B C'!$L$36))</f>
        <v/>
      </c>
      <c r="N120">
        <f>IF(11&lt;'Skenario A B C'!$E$36,0,MAX(0,'Skenario A B C'!$I$36-'Skenario A B C'!$L$36))</f>
        <v/>
      </c>
      <c r="O120">
        <f>IF(12&lt;'Skenario A B C'!$E$36,0,MAX(0,'Skenario A B C'!$I$36-'Skenario A B C'!$L$36))</f>
        <v/>
      </c>
      <c r="P120">
        <f>IF(13&lt;'Skenario A B C'!$E$36,0,MAX(0,'Skenario A B C'!$J$36-'Skenario A B C'!$L$36))</f>
        <v/>
      </c>
      <c r="Q120">
        <f>IF(14&lt;'Skenario A B C'!$E$36,0,MAX(0,'Skenario A B C'!$J$36-'Skenario A B C'!$L$36))</f>
        <v/>
      </c>
      <c r="R120">
        <f>IF(15&lt;'Skenario A B C'!$E$36,0,MAX(0,'Skenario A B C'!$J$36-'Skenario A B C'!$L$36))</f>
        <v/>
      </c>
      <c r="S120">
        <f>IF(16&lt;'Skenario A B C'!$E$36,0,MAX(0,'Skenario A B C'!$J$36-'Skenario A B C'!$L$36))</f>
        <v/>
      </c>
      <c r="T120">
        <f>IF(17&lt;'Skenario A B C'!$E$36,0,MAX(0,'Skenario A B C'!$J$36-'Skenario A B C'!$L$36))</f>
        <v/>
      </c>
      <c r="U120">
        <f>IF(18&lt;'Skenario A B C'!$E$36,0,MAX(0,'Skenario A B C'!$J$36-'Skenario A B C'!$L$36))</f>
        <v/>
      </c>
      <c r="V120">
        <f>IF(19&lt;'Skenario A B C'!$E$36,0,MAX(0,'Skenario A B C'!$J$36-'Skenario A B C'!$L$36))</f>
        <v/>
      </c>
      <c r="W120">
        <f>IF(20&lt;'Skenario A B C'!$E$36,0,MAX(0,'Skenario A B C'!$J$36-'Skenario A B C'!$L$36))</f>
        <v/>
      </c>
      <c r="X120">
        <f>IF(21&lt;'Skenario A B C'!$E$36,0,MAX(0,'Skenario A B C'!$J$36-'Skenario A B C'!$L$36))</f>
        <v/>
      </c>
      <c r="Y120">
        <f>IF(22&lt;'Skenario A B C'!$E$36,0,MAX(0,'Skenario A B C'!$J$36-'Skenario A B C'!$L$36))</f>
        <v/>
      </c>
      <c r="Z120">
        <f>IF(23&lt;'Skenario A B C'!$E$36,0,MAX(0,'Skenario A B C'!$J$36-'Skenario A B C'!$L$36))</f>
        <v/>
      </c>
      <c r="AA120">
        <f>IF(24&lt;'Skenario A B C'!$E$36,0,MAX(0,'Skenario A B C'!$J$36-'Skenario A B C'!$L$36))</f>
        <v/>
      </c>
    </row>
    <row r="121">
      <c r="A121" t="inlineStr">
        <is>
          <t>Digital Marketing Staff</t>
        </is>
      </c>
      <c r="B121" s="6">
        <f>'Skenario A B C'!$F$37</f>
        <v/>
      </c>
      <c r="D121">
        <f>IF(1&lt;'Skenario A B C'!$E$37,0,MAX(0,'Skenario A B C'!$H$37-'Skenario A B C'!$L$37))</f>
        <v/>
      </c>
      <c r="E121">
        <f>IF(2&lt;'Skenario A B C'!$E$37,0,MAX(0,'Skenario A B C'!$H$37-'Skenario A B C'!$L$37))</f>
        <v/>
      </c>
      <c r="F121">
        <f>IF(3&lt;'Skenario A B C'!$E$37,0,MAX(0,'Skenario A B C'!$H$37-'Skenario A B C'!$L$37))</f>
        <v/>
      </c>
      <c r="G121">
        <f>IF(4&lt;'Skenario A B C'!$E$37,0,MAX(0,'Skenario A B C'!$I$37-'Skenario A B C'!$L$37))</f>
        <v/>
      </c>
      <c r="H121">
        <f>IF(5&lt;'Skenario A B C'!$E$37,0,MAX(0,'Skenario A B C'!$I$37-'Skenario A B C'!$L$37))</f>
        <v/>
      </c>
      <c r="I121">
        <f>IF(6&lt;'Skenario A B C'!$E$37,0,MAX(0,'Skenario A B C'!$I$37-'Skenario A B C'!$L$37))</f>
        <v/>
      </c>
      <c r="J121">
        <f>IF(7&lt;'Skenario A B C'!$E$37,0,MAX(0,'Skenario A B C'!$I$37-'Skenario A B C'!$L$37))</f>
        <v/>
      </c>
      <c r="K121">
        <f>IF(8&lt;'Skenario A B C'!$E$37,0,MAX(0,'Skenario A B C'!$I$37-'Skenario A B C'!$L$37))</f>
        <v/>
      </c>
      <c r="L121">
        <f>IF(9&lt;'Skenario A B C'!$E$37,0,MAX(0,'Skenario A B C'!$I$37-'Skenario A B C'!$L$37))</f>
        <v/>
      </c>
      <c r="M121">
        <f>IF(10&lt;'Skenario A B C'!$E$37,0,MAX(0,'Skenario A B C'!$I$37-'Skenario A B C'!$L$37))</f>
        <v/>
      </c>
      <c r="N121">
        <f>IF(11&lt;'Skenario A B C'!$E$37,0,MAX(0,'Skenario A B C'!$I$37-'Skenario A B C'!$L$37))</f>
        <v/>
      </c>
      <c r="O121">
        <f>IF(12&lt;'Skenario A B C'!$E$37,0,MAX(0,'Skenario A B C'!$I$37-'Skenario A B C'!$L$37))</f>
        <v/>
      </c>
      <c r="P121">
        <f>IF(13&lt;'Skenario A B C'!$E$37,0,MAX(0,'Skenario A B C'!$J$37-'Skenario A B C'!$L$37))</f>
        <v/>
      </c>
      <c r="Q121">
        <f>IF(14&lt;'Skenario A B C'!$E$37,0,MAX(0,'Skenario A B C'!$J$37-'Skenario A B C'!$L$37))</f>
        <v/>
      </c>
      <c r="R121">
        <f>IF(15&lt;'Skenario A B C'!$E$37,0,MAX(0,'Skenario A B C'!$J$37-'Skenario A B C'!$L$37))</f>
        <v/>
      </c>
      <c r="S121">
        <f>IF(16&lt;'Skenario A B C'!$E$37,0,MAX(0,'Skenario A B C'!$J$37-'Skenario A B C'!$L$37))</f>
        <v/>
      </c>
      <c r="T121">
        <f>IF(17&lt;'Skenario A B C'!$E$37,0,MAX(0,'Skenario A B C'!$J$37-'Skenario A B C'!$L$37))</f>
        <v/>
      </c>
      <c r="U121">
        <f>IF(18&lt;'Skenario A B C'!$E$37,0,MAX(0,'Skenario A B C'!$J$37-'Skenario A B C'!$L$37))</f>
        <v/>
      </c>
      <c r="V121">
        <f>IF(19&lt;'Skenario A B C'!$E$37,0,MAX(0,'Skenario A B C'!$J$37-'Skenario A B C'!$L$37))</f>
        <v/>
      </c>
      <c r="W121">
        <f>IF(20&lt;'Skenario A B C'!$E$37,0,MAX(0,'Skenario A B C'!$J$37-'Skenario A B C'!$L$37))</f>
        <v/>
      </c>
      <c r="X121">
        <f>IF(21&lt;'Skenario A B C'!$E$37,0,MAX(0,'Skenario A B C'!$J$37-'Skenario A B C'!$L$37))</f>
        <v/>
      </c>
      <c r="Y121">
        <f>IF(22&lt;'Skenario A B C'!$E$37,0,MAX(0,'Skenario A B C'!$J$37-'Skenario A B C'!$L$37))</f>
        <v/>
      </c>
      <c r="Z121">
        <f>IF(23&lt;'Skenario A B C'!$E$37,0,MAX(0,'Skenario A B C'!$J$37-'Skenario A B C'!$L$37))</f>
        <v/>
      </c>
      <c r="AA121">
        <f>IF(24&lt;'Skenario A B C'!$E$37,0,MAX(0,'Skenario A B C'!$J$37-'Skenario A B C'!$L$37))</f>
        <v/>
      </c>
    </row>
    <row r="122">
      <c r="A122" t="inlineStr">
        <is>
          <t>Merchant Acquisition Officer</t>
        </is>
      </c>
      <c r="B122" s="6">
        <f>'Skenario A B C'!$F$38</f>
        <v/>
      </c>
      <c r="D122">
        <f>IF(1&lt;'Skenario A B C'!$E$38,0,MAX(0,'Skenario A B C'!$H$38-'Skenario A B C'!$L$38))</f>
        <v/>
      </c>
      <c r="E122">
        <f>IF(2&lt;'Skenario A B C'!$E$38,0,MAX(0,'Skenario A B C'!$H$38-'Skenario A B C'!$L$38))</f>
        <v/>
      </c>
      <c r="F122">
        <f>IF(3&lt;'Skenario A B C'!$E$38,0,MAX(0,'Skenario A B C'!$H$38-'Skenario A B C'!$L$38))</f>
        <v/>
      </c>
      <c r="G122">
        <f>IF(4&lt;'Skenario A B C'!$E$38,0,MAX(0,'Skenario A B C'!$I$38-'Skenario A B C'!$L$38))</f>
        <v/>
      </c>
      <c r="H122">
        <f>IF(5&lt;'Skenario A B C'!$E$38,0,MAX(0,'Skenario A B C'!$I$38-'Skenario A B C'!$L$38))</f>
        <v/>
      </c>
      <c r="I122">
        <f>IF(6&lt;'Skenario A B C'!$E$38,0,MAX(0,'Skenario A B C'!$I$38-'Skenario A B C'!$L$38))</f>
        <v/>
      </c>
      <c r="J122">
        <f>IF(7&lt;'Skenario A B C'!$E$38,0,MAX(0,'Skenario A B C'!$I$38-'Skenario A B C'!$L$38))</f>
        <v/>
      </c>
      <c r="K122">
        <f>IF(8&lt;'Skenario A B C'!$E$38,0,MAX(0,'Skenario A B C'!$I$38-'Skenario A B C'!$L$38))</f>
        <v/>
      </c>
      <c r="L122">
        <f>IF(9&lt;'Skenario A B C'!$E$38,0,MAX(0,'Skenario A B C'!$I$38-'Skenario A B C'!$L$38))</f>
        <v/>
      </c>
      <c r="M122">
        <f>IF(10&lt;'Skenario A B C'!$E$38,0,MAX(0,'Skenario A B C'!$I$38-'Skenario A B C'!$L$38))</f>
        <v/>
      </c>
      <c r="N122">
        <f>IF(11&lt;'Skenario A B C'!$E$38,0,MAX(0,'Skenario A B C'!$I$38-'Skenario A B C'!$L$38))</f>
        <v/>
      </c>
      <c r="O122">
        <f>IF(12&lt;'Skenario A B C'!$E$38,0,MAX(0,'Skenario A B C'!$I$38-'Skenario A B C'!$L$38))</f>
        <v/>
      </c>
      <c r="P122">
        <f>IF(13&lt;'Skenario A B C'!$E$38,0,MAX(0,'Skenario A B C'!$J$38-'Skenario A B C'!$L$38))</f>
        <v/>
      </c>
      <c r="Q122">
        <f>IF(14&lt;'Skenario A B C'!$E$38,0,MAX(0,'Skenario A B C'!$J$38-'Skenario A B C'!$L$38))</f>
        <v/>
      </c>
      <c r="R122">
        <f>IF(15&lt;'Skenario A B C'!$E$38,0,MAX(0,'Skenario A B C'!$J$38-'Skenario A B C'!$L$38))</f>
        <v/>
      </c>
      <c r="S122">
        <f>IF(16&lt;'Skenario A B C'!$E$38,0,MAX(0,'Skenario A B C'!$J$38-'Skenario A B C'!$L$38))</f>
        <v/>
      </c>
      <c r="T122">
        <f>IF(17&lt;'Skenario A B C'!$E$38,0,MAX(0,'Skenario A B C'!$J$38-'Skenario A B C'!$L$38))</f>
        <v/>
      </c>
      <c r="U122">
        <f>IF(18&lt;'Skenario A B C'!$E$38,0,MAX(0,'Skenario A B C'!$J$38-'Skenario A B C'!$L$38))</f>
        <v/>
      </c>
      <c r="V122">
        <f>IF(19&lt;'Skenario A B C'!$E$38,0,MAX(0,'Skenario A B C'!$J$38-'Skenario A B C'!$L$38))</f>
        <v/>
      </c>
      <c r="W122">
        <f>IF(20&lt;'Skenario A B C'!$E$38,0,MAX(0,'Skenario A B C'!$J$38-'Skenario A B C'!$L$38))</f>
        <v/>
      </c>
      <c r="X122">
        <f>IF(21&lt;'Skenario A B C'!$E$38,0,MAX(0,'Skenario A B C'!$J$38-'Skenario A B C'!$L$38))</f>
        <v/>
      </c>
      <c r="Y122">
        <f>IF(22&lt;'Skenario A B C'!$E$38,0,MAX(0,'Skenario A B C'!$J$38-'Skenario A B C'!$L$38))</f>
        <v/>
      </c>
      <c r="Z122">
        <f>IF(23&lt;'Skenario A B C'!$E$38,0,MAX(0,'Skenario A B C'!$J$38-'Skenario A B C'!$L$38))</f>
        <v/>
      </c>
      <c r="AA122">
        <f>IF(24&lt;'Skenario A B C'!$E$38,0,MAX(0,'Skenario A B C'!$J$38-'Skenario A B C'!$L$38))</f>
        <v/>
      </c>
    </row>
    <row r="123">
      <c r="A123" t="inlineStr">
        <is>
          <t>Head of Finance</t>
        </is>
      </c>
      <c r="B123" s="6">
        <f>'Skenario A B C'!$F$39</f>
        <v/>
      </c>
      <c r="D123">
        <f>IF(1&lt;'Skenario A B C'!$E$39,0,MAX(0,'Skenario A B C'!$H$39-'Skenario A B C'!$L$39))</f>
        <v/>
      </c>
      <c r="E123">
        <f>IF(2&lt;'Skenario A B C'!$E$39,0,MAX(0,'Skenario A B C'!$H$39-'Skenario A B C'!$L$39))</f>
        <v/>
      </c>
      <c r="F123">
        <f>IF(3&lt;'Skenario A B C'!$E$39,0,MAX(0,'Skenario A B C'!$H$39-'Skenario A B C'!$L$39))</f>
        <v/>
      </c>
      <c r="G123">
        <f>IF(4&lt;'Skenario A B C'!$E$39,0,MAX(0,'Skenario A B C'!$I$39-'Skenario A B C'!$L$39))</f>
        <v/>
      </c>
      <c r="H123">
        <f>IF(5&lt;'Skenario A B C'!$E$39,0,MAX(0,'Skenario A B C'!$I$39-'Skenario A B C'!$L$39))</f>
        <v/>
      </c>
      <c r="I123">
        <f>IF(6&lt;'Skenario A B C'!$E$39,0,MAX(0,'Skenario A B C'!$I$39-'Skenario A B C'!$L$39))</f>
        <v/>
      </c>
      <c r="J123">
        <f>IF(7&lt;'Skenario A B C'!$E$39,0,MAX(0,'Skenario A B C'!$I$39-'Skenario A B C'!$L$39))</f>
        <v/>
      </c>
      <c r="K123">
        <f>IF(8&lt;'Skenario A B C'!$E$39,0,MAX(0,'Skenario A B C'!$I$39-'Skenario A B C'!$L$39))</f>
        <v/>
      </c>
      <c r="L123">
        <f>IF(9&lt;'Skenario A B C'!$E$39,0,MAX(0,'Skenario A B C'!$I$39-'Skenario A B C'!$L$39))</f>
        <v/>
      </c>
      <c r="M123">
        <f>IF(10&lt;'Skenario A B C'!$E$39,0,MAX(0,'Skenario A B C'!$I$39-'Skenario A B C'!$L$39))</f>
        <v/>
      </c>
      <c r="N123">
        <f>IF(11&lt;'Skenario A B C'!$E$39,0,MAX(0,'Skenario A B C'!$I$39-'Skenario A B C'!$L$39))</f>
        <v/>
      </c>
      <c r="O123">
        <f>IF(12&lt;'Skenario A B C'!$E$39,0,MAX(0,'Skenario A B C'!$I$39-'Skenario A B C'!$L$39))</f>
        <v/>
      </c>
      <c r="P123">
        <f>IF(13&lt;'Skenario A B C'!$E$39,0,MAX(0,'Skenario A B C'!$J$39-'Skenario A B C'!$L$39))</f>
        <v/>
      </c>
      <c r="Q123">
        <f>IF(14&lt;'Skenario A B C'!$E$39,0,MAX(0,'Skenario A B C'!$J$39-'Skenario A B C'!$L$39))</f>
        <v/>
      </c>
      <c r="R123">
        <f>IF(15&lt;'Skenario A B C'!$E$39,0,MAX(0,'Skenario A B C'!$J$39-'Skenario A B C'!$L$39))</f>
        <v/>
      </c>
      <c r="S123">
        <f>IF(16&lt;'Skenario A B C'!$E$39,0,MAX(0,'Skenario A B C'!$J$39-'Skenario A B C'!$L$39))</f>
        <v/>
      </c>
      <c r="T123">
        <f>IF(17&lt;'Skenario A B C'!$E$39,0,MAX(0,'Skenario A B C'!$J$39-'Skenario A B C'!$L$39))</f>
        <v/>
      </c>
      <c r="U123">
        <f>IF(18&lt;'Skenario A B C'!$E$39,0,MAX(0,'Skenario A B C'!$J$39-'Skenario A B C'!$L$39))</f>
        <v/>
      </c>
      <c r="V123">
        <f>IF(19&lt;'Skenario A B C'!$E$39,0,MAX(0,'Skenario A B C'!$J$39-'Skenario A B C'!$L$39))</f>
        <v/>
      </c>
      <c r="W123">
        <f>IF(20&lt;'Skenario A B C'!$E$39,0,MAX(0,'Skenario A B C'!$J$39-'Skenario A B C'!$L$39))</f>
        <v/>
      </c>
      <c r="X123">
        <f>IF(21&lt;'Skenario A B C'!$E$39,0,MAX(0,'Skenario A B C'!$J$39-'Skenario A B C'!$L$39))</f>
        <v/>
      </c>
      <c r="Y123">
        <f>IF(22&lt;'Skenario A B C'!$E$39,0,MAX(0,'Skenario A B C'!$J$39-'Skenario A B C'!$L$39))</f>
        <v/>
      </c>
      <c r="Z123">
        <f>IF(23&lt;'Skenario A B C'!$E$39,0,MAX(0,'Skenario A B C'!$J$39-'Skenario A B C'!$L$39))</f>
        <v/>
      </c>
      <c r="AA123">
        <f>IF(24&lt;'Skenario A B C'!$E$39,0,MAX(0,'Skenario A B C'!$J$39-'Skenario A B C'!$L$39))</f>
        <v/>
      </c>
    </row>
    <row r="124">
      <c r="A124" t="inlineStr">
        <is>
          <t>Finance &amp; Accounting Staff</t>
        </is>
      </c>
      <c r="B124" s="6">
        <f>'Skenario A B C'!$F$40</f>
        <v/>
      </c>
      <c r="D124">
        <f>IF(1&lt;'Skenario A B C'!$E$40,0,MAX(0,'Skenario A B C'!$H$40-'Skenario A B C'!$L$40))</f>
        <v/>
      </c>
      <c r="E124">
        <f>IF(2&lt;'Skenario A B C'!$E$40,0,MAX(0,'Skenario A B C'!$H$40-'Skenario A B C'!$L$40))</f>
        <v/>
      </c>
      <c r="F124">
        <f>IF(3&lt;'Skenario A B C'!$E$40,0,MAX(0,'Skenario A B C'!$H$40-'Skenario A B C'!$L$40))</f>
        <v/>
      </c>
      <c r="G124">
        <f>IF(4&lt;'Skenario A B C'!$E$40,0,MAX(0,'Skenario A B C'!$I$40-'Skenario A B C'!$L$40))</f>
        <v/>
      </c>
      <c r="H124">
        <f>IF(5&lt;'Skenario A B C'!$E$40,0,MAX(0,'Skenario A B C'!$I$40-'Skenario A B C'!$L$40))</f>
        <v/>
      </c>
      <c r="I124">
        <f>IF(6&lt;'Skenario A B C'!$E$40,0,MAX(0,'Skenario A B C'!$I$40-'Skenario A B C'!$L$40))</f>
        <v/>
      </c>
      <c r="J124">
        <f>IF(7&lt;'Skenario A B C'!$E$40,0,MAX(0,'Skenario A B C'!$I$40-'Skenario A B C'!$L$40))</f>
        <v/>
      </c>
      <c r="K124">
        <f>IF(8&lt;'Skenario A B C'!$E$40,0,MAX(0,'Skenario A B C'!$I$40-'Skenario A B C'!$L$40))</f>
        <v/>
      </c>
      <c r="L124">
        <f>IF(9&lt;'Skenario A B C'!$E$40,0,MAX(0,'Skenario A B C'!$I$40-'Skenario A B C'!$L$40))</f>
        <v/>
      </c>
      <c r="M124">
        <f>IF(10&lt;'Skenario A B C'!$E$40,0,MAX(0,'Skenario A B C'!$I$40-'Skenario A B C'!$L$40))</f>
        <v/>
      </c>
      <c r="N124">
        <f>IF(11&lt;'Skenario A B C'!$E$40,0,MAX(0,'Skenario A B C'!$I$40-'Skenario A B C'!$L$40))</f>
        <v/>
      </c>
      <c r="O124">
        <f>IF(12&lt;'Skenario A B C'!$E$40,0,MAX(0,'Skenario A B C'!$I$40-'Skenario A B C'!$L$40))</f>
        <v/>
      </c>
      <c r="P124">
        <f>IF(13&lt;'Skenario A B C'!$E$40,0,MAX(0,'Skenario A B C'!$J$40-'Skenario A B C'!$L$40))</f>
        <v/>
      </c>
      <c r="Q124">
        <f>IF(14&lt;'Skenario A B C'!$E$40,0,MAX(0,'Skenario A B C'!$J$40-'Skenario A B C'!$L$40))</f>
        <v/>
      </c>
      <c r="R124">
        <f>IF(15&lt;'Skenario A B C'!$E$40,0,MAX(0,'Skenario A B C'!$J$40-'Skenario A B C'!$L$40))</f>
        <v/>
      </c>
      <c r="S124">
        <f>IF(16&lt;'Skenario A B C'!$E$40,0,MAX(0,'Skenario A B C'!$J$40-'Skenario A B C'!$L$40))</f>
        <v/>
      </c>
      <c r="T124">
        <f>IF(17&lt;'Skenario A B C'!$E$40,0,MAX(0,'Skenario A B C'!$J$40-'Skenario A B C'!$L$40))</f>
        <v/>
      </c>
      <c r="U124">
        <f>IF(18&lt;'Skenario A B C'!$E$40,0,MAX(0,'Skenario A B C'!$J$40-'Skenario A B C'!$L$40))</f>
        <v/>
      </c>
      <c r="V124">
        <f>IF(19&lt;'Skenario A B C'!$E$40,0,MAX(0,'Skenario A B C'!$J$40-'Skenario A B C'!$L$40))</f>
        <v/>
      </c>
      <c r="W124">
        <f>IF(20&lt;'Skenario A B C'!$E$40,0,MAX(0,'Skenario A B C'!$J$40-'Skenario A B C'!$L$40))</f>
        <v/>
      </c>
      <c r="X124">
        <f>IF(21&lt;'Skenario A B C'!$E$40,0,MAX(0,'Skenario A B C'!$J$40-'Skenario A B C'!$L$40))</f>
        <v/>
      </c>
      <c r="Y124">
        <f>IF(22&lt;'Skenario A B C'!$E$40,0,MAX(0,'Skenario A B C'!$J$40-'Skenario A B C'!$L$40))</f>
        <v/>
      </c>
      <c r="Z124">
        <f>IF(23&lt;'Skenario A B C'!$E$40,0,MAX(0,'Skenario A B C'!$J$40-'Skenario A B C'!$L$40))</f>
        <v/>
      </c>
      <c r="AA124">
        <f>IF(24&lt;'Skenario A B C'!$E$40,0,MAX(0,'Skenario A B C'!$J$40-'Skenario A B C'!$L$40))</f>
        <v/>
      </c>
    </row>
    <row r="125">
      <c r="A125" t="inlineStr">
        <is>
          <t>Treasury/Settlement Officer</t>
        </is>
      </c>
      <c r="B125" s="6">
        <f>'Skenario A B C'!$F$41</f>
        <v/>
      </c>
      <c r="D125">
        <f>IF(1&lt;'Skenario A B C'!$E$41,0,MAX(0,'Skenario A B C'!$H$41-'Skenario A B C'!$L$41))</f>
        <v/>
      </c>
      <c r="E125">
        <f>IF(2&lt;'Skenario A B C'!$E$41,0,MAX(0,'Skenario A B C'!$H$41-'Skenario A B C'!$L$41))</f>
        <v/>
      </c>
      <c r="F125">
        <f>IF(3&lt;'Skenario A B C'!$E$41,0,MAX(0,'Skenario A B C'!$H$41-'Skenario A B C'!$L$41))</f>
        <v/>
      </c>
      <c r="G125">
        <f>IF(4&lt;'Skenario A B C'!$E$41,0,MAX(0,'Skenario A B C'!$I$41-'Skenario A B C'!$L$41))</f>
        <v/>
      </c>
      <c r="H125">
        <f>IF(5&lt;'Skenario A B C'!$E$41,0,MAX(0,'Skenario A B C'!$I$41-'Skenario A B C'!$L$41))</f>
        <v/>
      </c>
      <c r="I125">
        <f>IF(6&lt;'Skenario A B C'!$E$41,0,MAX(0,'Skenario A B C'!$I$41-'Skenario A B C'!$L$41))</f>
        <v/>
      </c>
      <c r="J125">
        <f>IF(7&lt;'Skenario A B C'!$E$41,0,MAX(0,'Skenario A B C'!$I$41-'Skenario A B C'!$L$41))</f>
        <v/>
      </c>
      <c r="K125">
        <f>IF(8&lt;'Skenario A B C'!$E$41,0,MAX(0,'Skenario A B C'!$I$41-'Skenario A B C'!$L$41))</f>
        <v/>
      </c>
      <c r="L125">
        <f>IF(9&lt;'Skenario A B C'!$E$41,0,MAX(0,'Skenario A B C'!$I$41-'Skenario A B C'!$L$41))</f>
        <v/>
      </c>
      <c r="M125">
        <f>IF(10&lt;'Skenario A B C'!$E$41,0,MAX(0,'Skenario A B C'!$I$41-'Skenario A B C'!$L$41))</f>
        <v/>
      </c>
      <c r="N125">
        <f>IF(11&lt;'Skenario A B C'!$E$41,0,MAX(0,'Skenario A B C'!$I$41-'Skenario A B C'!$L$41))</f>
        <v/>
      </c>
      <c r="O125">
        <f>IF(12&lt;'Skenario A B C'!$E$41,0,MAX(0,'Skenario A B C'!$I$41-'Skenario A B C'!$L$41))</f>
        <v/>
      </c>
      <c r="P125">
        <f>IF(13&lt;'Skenario A B C'!$E$41,0,MAX(0,'Skenario A B C'!$J$41-'Skenario A B C'!$L$41))</f>
        <v/>
      </c>
      <c r="Q125">
        <f>IF(14&lt;'Skenario A B C'!$E$41,0,MAX(0,'Skenario A B C'!$J$41-'Skenario A B C'!$L$41))</f>
        <v/>
      </c>
      <c r="R125">
        <f>IF(15&lt;'Skenario A B C'!$E$41,0,MAX(0,'Skenario A B C'!$J$41-'Skenario A B C'!$L$41))</f>
        <v/>
      </c>
      <c r="S125">
        <f>IF(16&lt;'Skenario A B C'!$E$41,0,MAX(0,'Skenario A B C'!$J$41-'Skenario A B C'!$L$41))</f>
        <v/>
      </c>
      <c r="T125">
        <f>IF(17&lt;'Skenario A B C'!$E$41,0,MAX(0,'Skenario A B C'!$J$41-'Skenario A B C'!$L$41))</f>
        <v/>
      </c>
      <c r="U125">
        <f>IF(18&lt;'Skenario A B C'!$E$41,0,MAX(0,'Skenario A B C'!$J$41-'Skenario A B C'!$L$41))</f>
        <v/>
      </c>
      <c r="V125">
        <f>IF(19&lt;'Skenario A B C'!$E$41,0,MAX(0,'Skenario A B C'!$J$41-'Skenario A B C'!$L$41))</f>
        <v/>
      </c>
      <c r="W125">
        <f>IF(20&lt;'Skenario A B C'!$E$41,0,MAX(0,'Skenario A B C'!$J$41-'Skenario A B C'!$L$41))</f>
        <v/>
      </c>
      <c r="X125">
        <f>IF(21&lt;'Skenario A B C'!$E$41,0,MAX(0,'Skenario A B C'!$J$41-'Skenario A B C'!$L$41))</f>
        <v/>
      </c>
      <c r="Y125">
        <f>IF(22&lt;'Skenario A B C'!$E$41,0,MAX(0,'Skenario A B C'!$J$41-'Skenario A B C'!$L$41))</f>
        <v/>
      </c>
      <c r="Z125">
        <f>IF(23&lt;'Skenario A B C'!$E$41,0,MAX(0,'Skenario A B C'!$J$41-'Skenario A B C'!$L$41))</f>
        <v/>
      </c>
      <c r="AA125">
        <f>IF(24&lt;'Skenario A B C'!$E$41,0,MAX(0,'Skenario A B C'!$J$41-'Skenario A B C'!$L$41))</f>
        <v/>
      </c>
    </row>
    <row r="126">
      <c r="A126" t="inlineStr">
        <is>
          <t>Finance &amp; Accounting Staff - Padang</t>
        </is>
      </c>
      <c r="B126" s="6">
        <f>'Skenario A B C'!$F$42</f>
        <v/>
      </c>
      <c r="D126">
        <f>IF(1&lt;'Skenario A B C'!$E$42,0,MAX(0,'Skenario A B C'!$H$42-'Skenario A B C'!$L$42))</f>
        <v/>
      </c>
      <c r="E126">
        <f>IF(2&lt;'Skenario A B C'!$E$42,0,MAX(0,'Skenario A B C'!$H$42-'Skenario A B C'!$L$42))</f>
        <v/>
      </c>
      <c r="F126">
        <f>IF(3&lt;'Skenario A B C'!$E$42,0,MAX(0,'Skenario A B C'!$H$42-'Skenario A B C'!$L$42))</f>
        <v/>
      </c>
      <c r="G126">
        <f>IF(4&lt;'Skenario A B C'!$E$42,0,MAX(0,'Skenario A B C'!$I$42-'Skenario A B C'!$L$42))</f>
        <v/>
      </c>
      <c r="H126">
        <f>IF(5&lt;'Skenario A B C'!$E$42,0,MAX(0,'Skenario A B C'!$I$42-'Skenario A B C'!$L$42))</f>
        <v/>
      </c>
      <c r="I126">
        <f>IF(6&lt;'Skenario A B C'!$E$42,0,MAX(0,'Skenario A B C'!$I$42-'Skenario A B C'!$L$42))</f>
        <v/>
      </c>
      <c r="J126">
        <f>IF(7&lt;'Skenario A B C'!$E$42,0,MAX(0,'Skenario A B C'!$I$42-'Skenario A B C'!$L$42))</f>
        <v/>
      </c>
      <c r="K126">
        <f>IF(8&lt;'Skenario A B C'!$E$42,0,MAX(0,'Skenario A B C'!$I$42-'Skenario A B C'!$L$42))</f>
        <v/>
      </c>
      <c r="L126">
        <f>IF(9&lt;'Skenario A B C'!$E$42,0,MAX(0,'Skenario A B C'!$I$42-'Skenario A B C'!$L$42))</f>
        <v/>
      </c>
      <c r="M126">
        <f>IF(10&lt;'Skenario A B C'!$E$42,0,MAX(0,'Skenario A B C'!$I$42-'Skenario A B C'!$L$42))</f>
        <v/>
      </c>
      <c r="N126">
        <f>IF(11&lt;'Skenario A B C'!$E$42,0,MAX(0,'Skenario A B C'!$I$42-'Skenario A B C'!$L$42))</f>
        <v/>
      </c>
      <c r="O126">
        <f>IF(12&lt;'Skenario A B C'!$E$42,0,MAX(0,'Skenario A B C'!$I$42-'Skenario A B C'!$L$42))</f>
        <v/>
      </c>
      <c r="P126">
        <f>IF(13&lt;'Skenario A B C'!$E$42,0,MAX(0,'Skenario A B C'!$J$42-'Skenario A B C'!$L$42))</f>
        <v/>
      </c>
      <c r="Q126">
        <f>IF(14&lt;'Skenario A B C'!$E$42,0,MAX(0,'Skenario A B C'!$J$42-'Skenario A B C'!$L$42))</f>
        <v/>
      </c>
      <c r="R126">
        <f>IF(15&lt;'Skenario A B C'!$E$42,0,MAX(0,'Skenario A B C'!$J$42-'Skenario A B C'!$L$42))</f>
        <v/>
      </c>
      <c r="S126">
        <f>IF(16&lt;'Skenario A B C'!$E$42,0,MAX(0,'Skenario A B C'!$J$42-'Skenario A B C'!$L$42))</f>
        <v/>
      </c>
      <c r="T126">
        <f>IF(17&lt;'Skenario A B C'!$E$42,0,MAX(0,'Skenario A B C'!$J$42-'Skenario A B C'!$L$42))</f>
        <v/>
      </c>
      <c r="U126">
        <f>IF(18&lt;'Skenario A B C'!$E$42,0,MAX(0,'Skenario A B C'!$J$42-'Skenario A B C'!$L$42))</f>
        <v/>
      </c>
      <c r="V126">
        <f>IF(19&lt;'Skenario A B C'!$E$42,0,MAX(0,'Skenario A B C'!$J$42-'Skenario A B C'!$L$42))</f>
        <v/>
      </c>
      <c r="W126">
        <f>IF(20&lt;'Skenario A B C'!$E$42,0,MAX(0,'Skenario A B C'!$J$42-'Skenario A B C'!$L$42))</f>
        <v/>
      </c>
      <c r="X126">
        <f>IF(21&lt;'Skenario A B C'!$E$42,0,MAX(0,'Skenario A B C'!$J$42-'Skenario A B C'!$L$42))</f>
        <v/>
      </c>
      <c r="Y126">
        <f>IF(22&lt;'Skenario A B C'!$E$42,0,MAX(0,'Skenario A B C'!$J$42-'Skenario A B C'!$L$42))</f>
        <v/>
      </c>
      <c r="Z126">
        <f>IF(23&lt;'Skenario A B C'!$E$42,0,MAX(0,'Skenario A B C'!$J$42-'Skenario A B C'!$L$42))</f>
        <v/>
      </c>
      <c r="AA126">
        <f>IF(24&lt;'Skenario A B C'!$E$42,0,MAX(0,'Skenario A B C'!$J$42-'Skenario A B C'!$L$42))</f>
        <v/>
      </c>
    </row>
    <row r="127">
      <c r="A127" t="inlineStr">
        <is>
          <t>Head of Legal &amp; Compliance (merangkap DPO)</t>
        </is>
      </c>
      <c r="B127" s="6">
        <f>'Skenario A B C'!$F$43</f>
        <v/>
      </c>
      <c r="D127">
        <f>IF(1&lt;'Skenario A B C'!$E$43,0,MAX(0,'Skenario A B C'!$H$43-'Skenario A B C'!$L$43))</f>
        <v/>
      </c>
      <c r="E127">
        <f>IF(2&lt;'Skenario A B C'!$E$43,0,MAX(0,'Skenario A B C'!$H$43-'Skenario A B C'!$L$43))</f>
        <v/>
      </c>
      <c r="F127">
        <f>IF(3&lt;'Skenario A B C'!$E$43,0,MAX(0,'Skenario A B C'!$H$43-'Skenario A B C'!$L$43))</f>
        <v/>
      </c>
      <c r="G127">
        <f>IF(4&lt;'Skenario A B C'!$E$43,0,MAX(0,'Skenario A B C'!$I$43-'Skenario A B C'!$L$43))</f>
        <v/>
      </c>
      <c r="H127">
        <f>IF(5&lt;'Skenario A B C'!$E$43,0,MAX(0,'Skenario A B C'!$I$43-'Skenario A B C'!$L$43))</f>
        <v/>
      </c>
      <c r="I127">
        <f>IF(6&lt;'Skenario A B C'!$E$43,0,MAX(0,'Skenario A B C'!$I$43-'Skenario A B C'!$L$43))</f>
        <v/>
      </c>
      <c r="J127">
        <f>IF(7&lt;'Skenario A B C'!$E$43,0,MAX(0,'Skenario A B C'!$I$43-'Skenario A B C'!$L$43))</f>
        <v/>
      </c>
      <c r="K127">
        <f>IF(8&lt;'Skenario A B C'!$E$43,0,MAX(0,'Skenario A B C'!$I$43-'Skenario A B C'!$L$43))</f>
        <v/>
      </c>
      <c r="L127">
        <f>IF(9&lt;'Skenario A B C'!$E$43,0,MAX(0,'Skenario A B C'!$I$43-'Skenario A B C'!$L$43))</f>
        <v/>
      </c>
      <c r="M127">
        <f>IF(10&lt;'Skenario A B C'!$E$43,0,MAX(0,'Skenario A B C'!$I$43-'Skenario A B C'!$L$43))</f>
        <v/>
      </c>
      <c r="N127">
        <f>IF(11&lt;'Skenario A B C'!$E$43,0,MAX(0,'Skenario A B C'!$I$43-'Skenario A B C'!$L$43))</f>
        <v/>
      </c>
      <c r="O127">
        <f>IF(12&lt;'Skenario A B C'!$E$43,0,MAX(0,'Skenario A B C'!$I$43-'Skenario A B C'!$L$43))</f>
        <v/>
      </c>
      <c r="P127">
        <f>IF(13&lt;'Skenario A B C'!$E$43,0,MAX(0,'Skenario A B C'!$J$43-'Skenario A B C'!$L$43))</f>
        <v/>
      </c>
      <c r="Q127">
        <f>IF(14&lt;'Skenario A B C'!$E$43,0,MAX(0,'Skenario A B C'!$J$43-'Skenario A B C'!$L$43))</f>
        <v/>
      </c>
      <c r="R127">
        <f>IF(15&lt;'Skenario A B C'!$E$43,0,MAX(0,'Skenario A B C'!$J$43-'Skenario A B C'!$L$43))</f>
        <v/>
      </c>
      <c r="S127">
        <f>IF(16&lt;'Skenario A B C'!$E$43,0,MAX(0,'Skenario A B C'!$J$43-'Skenario A B C'!$L$43))</f>
        <v/>
      </c>
      <c r="T127">
        <f>IF(17&lt;'Skenario A B C'!$E$43,0,MAX(0,'Skenario A B C'!$J$43-'Skenario A B C'!$L$43))</f>
        <v/>
      </c>
      <c r="U127">
        <f>IF(18&lt;'Skenario A B C'!$E$43,0,MAX(0,'Skenario A B C'!$J$43-'Skenario A B C'!$L$43))</f>
        <v/>
      </c>
      <c r="V127">
        <f>IF(19&lt;'Skenario A B C'!$E$43,0,MAX(0,'Skenario A B C'!$J$43-'Skenario A B C'!$L$43))</f>
        <v/>
      </c>
      <c r="W127">
        <f>IF(20&lt;'Skenario A B C'!$E$43,0,MAX(0,'Skenario A B C'!$J$43-'Skenario A B C'!$L$43))</f>
        <v/>
      </c>
      <c r="X127">
        <f>IF(21&lt;'Skenario A B C'!$E$43,0,MAX(0,'Skenario A B C'!$J$43-'Skenario A B C'!$L$43))</f>
        <v/>
      </c>
      <c r="Y127">
        <f>IF(22&lt;'Skenario A B C'!$E$43,0,MAX(0,'Skenario A B C'!$J$43-'Skenario A B C'!$L$43))</f>
        <v/>
      </c>
      <c r="Z127">
        <f>IF(23&lt;'Skenario A B C'!$E$43,0,MAX(0,'Skenario A B C'!$J$43-'Skenario A B C'!$L$43))</f>
        <v/>
      </c>
      <c r="AA127">
        <f>IF(24&lt;'Skenario A B C'!$E$43,0,MAX(0,'Skenario A B C'!$J$43-'Skenario A B C'!$L$43))</f>
        <v/>
      </c>
    </row>
    <row r="129">
      <c r="A129" s="3" t="inlineStr">
        <is>
          <t>D. REKAP BULANAN</t>
        </is>
      </c>
    </row>
    <row r="130">
      <c r="A130" s="12" t="inlineStr">
        <is>
          <t>Headcount - A</t>
        </is>
      </c>
      <c r="D130" s="24">
        <f>SUM(D10:D47)</f>
        <v/>
      </c>
      <c r="E130" s="24">
        <f>SUM(E10:E47)</f>
        <v/>
      </c>
      <c r="F130" s="24">
        <f>SUM(F10:F47)</f>
        <v/>
      </c>
      <c r="G130" s="24">
        <f>SUM(G10:G47)</f>
        <v/>
      </c>
      <c r="H130" s="24">
        <f>SUM(H10:H47)</f>
        <v/>
      </c>
      <c r="I130" s="24">
        <f>SUM(I10:I47)</f>
        <v/>
      </c>
      <c r="J130" s="24">
        <f>SUM(J10:J47)</f>
        <v/>
      </c>
      <c r="K130" s="24">
        <f>SUM(K10:K47)</f>
        <v/>
      </c>
      <c r="L130" s="24">
        <f>SUM(L10:L47)</f>
        <v/>
      </c>
      <c r="M130" s="24">
        <f>SUM(M10:M47)</f>
        <v/>
      </c>
      <c r="N130" s="24">
        <f>SUM(N10:N47)</f>
        <v/>
      </c>
      <c r="O130" s="24">
        <f>SUM(O10:O47)</f>
        <v/>
      </c>
      <c r="P130" s="24">
        <f>SUM(P10:P47)</f>
        <v/>
      </c>
      <c r="Q130" s="24">
        <f>SUM(Q10:Q47)</f>
        <v/>
      </c>
      <c r="R130" s="24">
        <f>SUM(R10:R47)</f>
        <v/>
      </c>
      <c r="S130" s="24">
        <f>SUM(S10:S47)</f>
        <v/>
      </c>
      <c r="T130" s="24">
        <f>SUM(T10:T47)</f>
        <v/>
      </c>
      <c r="U130" s="24">
        <f>SUM(U10:U47)</f>
        <v/>
      </c>
      <c r="V130" s="24">
        <f>SUM(V10:V47)</f>
        <v/>
      </c>
      <c r="W130" s="24">
        <f>SUM(W10:W47)</f>
        <v/>
      </c>
      <c r="X130" s="24">
        <f>SUM(X10:X47)</f>
        <v/>
      </c>
      <c r="Y130" s="24">
        <f>SUM(Y10:Y47)</f>
        <v/>
      </c>
      <c r="Z130" s="24">
        <f>SUM(Z10:Z47)</f>
        <v/>
      </c>
      <c r="AA130" s="24">
        <f>SUM(AA10:AA47)</f>
        <v/>
      </c>
    </row>
    <row r="131">
      <c r="A131" s="12" t="inlineStr">
        <is>
          <t>Headcount - B</t>
        </is>
      </c>
      <c r="D131" s="24">
        <f>SUM(D50:D87)</f>
        <v/>
      </c>
      <c r="E131" s="24">
        <f>SUM(E50:E87)</f>
        <v/>
      </c>
      <c r="F131" s="24">
        <f>SUM(F50:F87)</f>
        <v/>
      </c>
      <c r="G131" s="24">
        <f>SUM(G50:G87)</f>
        <v/>
      </c>
      <c r="H131" s="24">
        <f>SUM(H50:H87)</f>
        <v/>
      </c>
      <c r="I131" s="24">
        <f>SUM(I50:I87)</f>
        <v/>
      </c>
      <c r="J131" s="24">
        <f>SUM(J50:J87)</f>
        <v/>
      </c>
      <c r="K131" s="24">
        <f>SUM(K50:K87)</f>
        <v/>
      </c>
      <c r="L131" s="24">
        <f>SUM(L50:L87)</f>
        <v/>
      </c>
      <c r="M131" s="24">
        <f>SUM(M50:M87)</f>
        <v/>
      </c>
      <c r="N131" s="24">
        <f>SUM(N50:N87)</f>
        <v/>
      </c>
      <c r="O131" s="24">
        <f>SUM(O50:O87)</f>
        <v/>
      </c>
      <c r="P131" s="24">
        <f>SUM(P50:P87)</f>
        <v/>
      </c>
      <c r="Q131" s="24">
        <f>SUM(Q50:Q87)</f>
        <v/>
      </c>
      <c r="R131" s="24">
        <f>SUM(R50:R87)</f>
        <v/>
      </c>
      <c r="S131" s="24">
        <f>SUM(S50:S87)</f>
        <v/>
      </c>
      <c r="T131" s="24">
        <f>SUM(T50:T87)</f>
        <v/>
      </c>
      <c r="U131" s="24">
        <f>SUM(U50:U87)</f>
        <v/>
      </c>
      <c r="V131" s="24">
        <f>SUM(V50:V87)</f>
        <v/>
      </c>
      <c r="W131" s="24">
        <f>SUM(W50:W87)</f>
        <v/>
      </c>
      <c r="X131" s="24">
        <f>SUM(X50:X87)</f>
        <v/>
      </c>
      <c r="Y131" s="24">
        <f>SUM(Y50:Y87)</f>
        <v/>
      </c>
      <c r="Z131" s="24">
        <f>SUM(Z50:Z87)</f>
        <v/>
      </c>
      <c r="AA131" s="24">
        <f>SUM(AA50:AA87)</f>
        <v/>
      </c>
    </row>
    <row r="132">
      <c r="A132" s="12" t="inlineStr">
        <is>
          <t>Headcount - C</t>
        </is>
      </c>
      <c r="D132" s="24">
        <f>SUM(D90:D127)</f>
        <v/>
      </c>
      <c r="E132" s="24">
        <f>SUM(E90:E127)</f>
        <v/>
      </c>
      <c r="F132" s="24">
        <f>SUM(F90:F127)</f>
        <v/>
      </c>
      <c r="G132" s="24">
        <f>SUM(G90:G127)</f>
        <v/>
      </c>
      <c r="H132" s="24">
        <f>SUM(H90:H127)</f>
        <v/>
      </c>
      <c r="I132" s="24">
        <f>SUM(I90:I127)</f>
        <v/>
      </c>
      <c r="J132" s="24">
        <f>SUM(J90:J127)</f>
        <v/>
      </c>
      <c r="K132" s="24">
        <f>SUM(K90:K127)</f>
        <v/>
      </c>
      <c r="L132" s="24">
        <f>SUM(L90:L127)</f>
        <v/>
      </c>
      <c r="M132" s="24">
        <f>SUM(M90:M127)</f>
        <v/>
      </c>
      <c r="N132" s="24">
        <f>SUM(N90:N127)</f>
        <v/>
      </c>
      <c r="O132" s="24">
        <f>SUM(O90:O127)</f>
        <v/>
      </c>
      <c r="P132" s="24">
        <f>SUM(P90:P127)</f>
        <v/>
      </c>
      <c r="Q132" s="24">
        <f>SUM(Q90:Q127)</f>
        <v/>
      </c>
      <c r="R132" s="24">
        <f>SUM(R90:R127)</f>
        <v/>
      </c>
      <c r="S132" s="24">
        <f>SUM(S90:S127)</f>
        <v/>
      </c>
      <c r="T132" s="24">
        <f>SUM(T90:T127)</f>
        <v/>
      </c>
      <c r="U132" s="24">
        <f>SUM(U90:U127)</f>
        <v/>
      </c>
      <c r="V132" s="24">
        <f>SUM(V90:V127)</f>
        <v/>
      </c>
      <c r="W132" s="24">
        <f>SUM(W90:W127)</f>
        <v/>
      </c>
      <c r="X132" s="24">
        <f>SUM(X90:X127)</f>
        <v/>
      </c>
      <c r="Y132" s="24">
        <f>SUM(Y90:Y127)</f>
        <v/>
      </c>
      <c r="Z132" s="24">
        <f>SUM(Z90:Z127)</f>
        <v/>
      </c>
      <c r="AA132" s="24">
        <f>SUM(AA90:AA127)</f>
        <v/>
      </c>
    </row>
    <row r="133">
      <c r="A133" t="inlineStr">
        <is>
          <t>Biaya SDM/bulan - A (Rp)</t>
        </is>
      </c>
      <c r="D133" s="6">
        <f>SUMPRODUCT($B$10:$B$47,D10:D47)</f>
        <v/>
      </c>
      <c r="E133" s="6">
        <f>SUMPRODUCT($B$10:$B$47,E10:E47)</f>
        <v/>
      </c>
      <c r="F133" s="6">
        <f>SUMPRODUCT($B$10:$B$47,F10:F47)</f>
        <v/>
      </c>
      <c r="G133" s="6">
        <f>SUMPRODUCT($B$10:$B$47,G10:G47)</f>
        <v/>
      </c>
      <c r="H133" s="6">
        <f>SUMPRODUCT($B$10:$B$47,H10:H47)</f>
        <v/>
      </c>
      <c r="I133" s="6">
        <f>SUMPRODUCT($B$10:$B$47,I10:I47)</f>
        <v/>
      </c>
      <c r="J133" s="6">
        <f>SUMPRODUCT($B$10:$B$47,J10:J47)</f>
        <v/>
      </c>
      <c r="K133" s="6">
        <f>SUMPRODUCT($B$10:$B$47,K10:K47)</f>
        <v/>
      </c>
      <c r="L133" s="6">
        <f>SUMPRODUCT($B$10:$B$47,L10:L47)</f>
        <v/>
      </c>
      <c r="M133" s="6">
        <f>SUMPRODUCT($B$10:$B$47,M10:M47)</f>
        <v/>
      </c>
      <c r="N133" s="6">
        <f>SUMPRODUCT($B$10:$B$47,N10:N47)</f>
        <v/>
      </c>
      <c r="O133" s="6">
        <f>SUMPRODUCT($B$10:$B$47,O10:O47)</f>
        <v/>
      </c>
      <c r="P133" s="6">
        <f>SUMPRODUCT($B$10:$B$47,P10:P47)</f>
        <v/>
      </c>
      <c r="Q133" s="6">
        <f>SUMPRODUCT($B$10:$B$47,Q10:Q47)</f>
        <v/>
      </c>
      <c r="R133" s="6">
        <f>SUMPRODUCT($B$10:$B$47,R10:R47)</f>
        <v/>
      </c>
      <c r="S133" s="6">
        <f>SUMPRODUCT($B$10:$B$47,S10:S47)</f>
        <v/>
      </c>
      <c r="T133" s="6">
        <f>SUMPRODUCT($B$10:$B$47,T10:T47)</f>
        <v/>
      </c>
      <c r="U133" s="6">
        <f>SUMPRODUCT($B$10:$B$47,U10:U47)</f>
        <v/>
      </c>
      <c r="V133" s="6">
        <f>SUMPRODUCT($B$10:$B$47,V10:V47)</f>
        <v/>
      </c>
      <c r="W133" s="6">
        <f>SUMPRODUCT($B$10:$B$47,W10:W47)</f>
        <v/>
      </c>
      <c r="X133" s="6">
        <f>SUMPRODUCT($B$10:$B$47,X10:X47)</f>
        <v/>
      </c>
      <c r="Y133" s="6">
        <f>SUMPRODUCT($B$10:$B$47,Y10:Y47)</f>
        <v/>
      </c>
      <c r="Z133" s="6">
        <f>SUMPRODUCT($B$10:$B$47,Z10:Z47)</f>
        <v/>
      </c>
      <c r="AA133" s="6">
        <f>SUMPRODUCT($B$10:$B$47,AA10:AA47)</f>
        <v/>
      </c>
    </row>
    <row r="134">
      <c r="A134" t="inlineStr">
        <is>
          <t>Biaya SDM/bulan - B (Rp)</t>
        </is>
      </c>
      <c r="D134" s="6">
        <f>SUMPRODUCT($B$50:$B$87,D50:D87)</f>
        <v/>
      </c>
      <c r="E134" s="6">
        <f>SUMPRODUCT($B$50:$B$87,E50:E87)</f>
        <v/>
      </c>
      <c r="F134" s="6">
        <f>SUMPRODUCT($B$50:$B$87,F50:F87)</f>
        <v/>
      </c>
      <c r="G134" s="6">
        <f>SUMPRODUCT($B$50:$B$87,G50:G87)</f>
        <v/>
      </c>
      <c r="H134" s="6">
        <f>SUMPRODUCT($B$50:$B$87,H50:H87)</f>
        <v/>
      </c>
      <c r="I134" s="6">
        <f>SUMPRODUCT($B$50:$B$87,I50:I87)</f>
        <v/>
      </c>
      <c r="J134" s="6">
        <f>SUMPRODUCT($B$50:$B$87,J50:J87)</f>
        <v/>
      </c>
      <c r="K134" s="6">
        <f>SUMPRODUCT($B$50:$B$87,K50:K87)</f>
        <v/>
      </c>
      <c r="L134" s="6">
        <f>SUMPRODUCT($B$50:$B$87,L50:L87)</f>
        <v/>
      </c>
      <c r="M134" s="6">
        <f>SUMPRODUCT($B$50:$B$87,M50:M87)</f>
        <v/>
      </c>
      <c r="N134" s="6">
        <f>SUMPRODUCT($B$50:$B$87,N50:N87)</f>
        <v/>
      </c>
      <c r="O134" s="6">
        <f>SUMPRODUCT($B$50:$B$87,O50:O87)</f>
        <v/>
      </c>
      <c r="P134" s="6">
        <f>SUMPRODUCT($B$50:$B$87,P50:P87)</f>
        <v/>
      </c>
      <c r="Q134" s="6">
        <f>SUMPRODUCT($B$50:$B$87,Q50:Q87)</f>
        <v/>
      </c>
      <c r="R134" s="6">
        <f>SUMPRODUCT($B$50:$B$87,R50:R87)</f>
        <v/>
      </c>
      <c r="S134" s="6">
        <f>SUMPRODUCT($B$50:$B$87,S50:S87)</f>
        <v/>
      </c>
      <c r="T134" s="6">
        <f>SUMPRODUCT($B$50:$B$87,T50:T87)</f>
        <v/>
      </c>
      <c r="U134" s="6">
        <f>SUMPRODUCT($B$50:$B$87,U50:U87)</f>
        <v/>
      </c>
      <c r="V134" s="6">
        <f>SUMPRODUCT($B$50:$B$87,V50:V87)</f>
        <v/>
      </c>
      <c r="W134" s="6">
        <f>SUMPRODUCT($B$50:$B$87,W50:W87)</f>
        <v/>
      </c>
      <c r="X134" s="6">
        <f>SUMPRODUCT($B$50:$B$87,X50:X87)</f>
        <v/>
      </c>
      <c r="Y134" s="6">
        <f>SUMPRODUCT($B$50:$B$87,Y50:Y87)</f>
        <v/>
      </c>
      <c r="Z134" s="6">
        <f>SUMPRODUCT($B$50:$B$87,Z50:Z87)</f>
        <v/>
      </c>
      <c r="AA134" s="6">
        <f>SUMPRODUCT($B$50:$B$87,AA50:AA87)</f>
        <v/>
      </c>
    </row>
    <row r="135">
      <c r="A135" t="inlineStr">
        <is>
          <t>Biaya SDM/bulan - C (Rp)</t>
        </is>
      </c>
      <c r="D135" s="6">
        <f>SUMPRODUCT($B$90:$B$127,D90:D127)</f>
        <v/>
      </c>
      <c r="E135" s="6">
        <f>SUMPRODUCT($B$90:$B$127,E90:E127)</f>
        <v/>
      </c>
      <c r="F135" s="6">
        <f>SUMPRODUCT($B$90:$B$127,F90:F127)</f>
        <v/>
      </c>
      <c r="G135" s="6">
        <f>SUMPRODUCT($B$90:$B$127,G90:G127)</f>
        <v/>
      </c>
      <c r="H135" s="6">
        <f>SUMPRODUCT($B$90:$B$127,H90:H127)</f>
        <v/>
      </c>
      <c r="I135" s="6">
        <f>SUMPRODUCT($B$90:$B$127,I90:I127)</f>
        <v/>
      </c>
      <c r="J135" s="6">
        <f>SUMPRODUCT($B$90:$B$127,J90:J127)</f>
        <v/>
      </c>
      <c r="K135" s="6">
        <f>SUMPRODUCT($B$90:$B$127,K90:K127)</f>
        <v/>
      </c>
      <c r="L135" s="6">
        <f>SUMPRODUCT($B$90:$B$127,L90:L127)</f>
        <v/>
      </c>
      <c r="M135" s="6">
        <f>SUMPRODUCT($B$90:$B$127,M90:M127)</f>
        <v/>
      </c>
      <c r="N135" s="6">
        <f>SUMPRODUCT($B$90:$B$127,N90:N127)</f>
        <v/>
      </c>
      <c r="O135" s="6">
        <f>SUMPRODUCT($B$90:$B$127,O90:O127)</f>
        <v/>
      </c>
      <c r="P135" s="6">
        <f>SUMPRODUCT($B$90:$B$127,P90:P127)</f>
        <v/>
      </c>
      <c r="Q135" s="6">
        <f>SUMPRODUCT($B$90:$B$127,Q90:Q127)</f>
        <v/>
      </c>
      <c r="R135" s="6">
        <f>SUMPRODUCT($B$90:$B$127,R90:R127)</f>
        <v/>
      </c>
      <c r="S135" s="6">
        <f>SUMPRODUCT($B$90:$B$127,S90:S127)</f>
        <v/>
      </c>
      <c r="T135" s="6">
        <f>SUMPRODUCT($B$90:$B$127,T90:T127)</f>
        <v/>
      </c>
      <c r="U135" s="6">
        <f>SUMPRODUCT($B$90:$B$127,U90:U127)</f>
        <v/>
      </c>
      <c r="V135" s="6">
        <f>SUMPRODUCT($B$90:$B$127,V90:V127)</f>
        <v/>
      </c>
      <c r="W135" s="6">
        <f>SUMPRODUCT($B$90:$B$127,W90:W127)</f>
        <v/>
      </c>
      <c r="X135" s="6">
        <f>SUMPRODUCT($B$90:$B$127,X90:X127)</f>
        <v/>
      </c>
      <c r="Y135" s="6">
        <f>SUMPRODUCT($B$90:$B$127,Y90:Y127)</f>
        <v/>
      </c>
      <c r="Z135" s="6">
        <f>SUMPRODUCT($B$90:$B$127,Z90:Z127)</f>
        <v/>
      </c>
      <c r="AA135" s="6">
        <f>SUMPRODUCT($B$90:$B$127,AA90:AA127)</f>
        <v/>
      </c>
    </row>
    <row r="136">
      <c r="A136" t="inlineStr">
        <is>
          <t>Non-gaji berulang/bulan - A (Rp)</t>
        </is>
      </c>
      <c r="D136" s="6">
        <f>D130*2150000.000000</f>
        <v/>
      </c>
      <c r="E136" s="6">
        <f>E130*2150000.000000</f>
        <v/>
      </c>
      <c r="F136" s="6">
        <f>F130*2150000.000000</f>
        <v/>
      </c>
      <c r="G136" s="6">
        <f>G130*2000000.000000</f>
        <v/>
      </c>
      <c r="H136" s="6">
        <f>H130*2000000.000000</f>
        <v/>
      </c>
      <c r="I136" s="6">
        <f>I130*2000000.000000</f>
        <v/>
      </c>
      <c r="J136" s="6">
        <f>J130*2000000.000000</f>
        <v/>
      </c>
      <c r="K136" s="6">
        <f>K130*2000000.000000</f>
        <v/>
      </c>
      <c r="L136" s="6">
        <f>L130*2000000.000000</f>
        <v/>
      </c>
      <c r="M136" s="6">
        <f>M130*2000000.000000</f>
        <v/>
      </c>
      <c r="N136" s="6">
        <f>N130*2000000.000000</f>
        <v/>
      </c>
      <c r="O136" s="6">
        <f>O130*2000000.000000</f>
        <v/>
      </c>
      <c r="P136" s="6">
        <f>P130*1864285.714286</f>
        <v/>
      </c>
      <c r="Q136" s="6">
        <f>Q130*1864285.714286</f>
        <v/>
      </c>
      <c r="R136" s="6">
        <f>R130*1864285.714286</f>
        <v/>
      </c>
      <c r="S136" s="6">
        <f>S130*1864285.714286</f>
        <v/>
      </c>
      <c r="T136" s="6">
        <f>T130*1864285.714286</f>
        <v/>
      </c>
      <c r="U136" s="6">
        <f>U130*1864285.714286</f>
        <v/>
      </c>
      <c r="V136" s="6">
        <f>V130*1864285.714286</f>
        <v/>
      </c>
      <c r="W136" s="6">
        <f>W130*1864285.714286</f>
        <v/>
      </c>
      <c r="X136" s="6">
        <f>X130*1864285.714286</f>
        <v/>
      </c>
      <c r="Y136" s="6">
        <f>Y130*1864285.714286</f>
        <v/>
      </c>
      <c r="Z136" s="6">
        <f>Z130*1864285.714286</f>
        <v/>
      </c>
      <c r="AA136" s="6">
        <f>AA130*1864285.714286</f>
        <v/>
      </c>
    </row>
    <row r="137">
      <c r="A137" t="inlineStr">
        <is>
          <t>Non-gaji berulang/bulan - B (Rp)</t>
        </is>
      </c>
      <c r="D137" s="6">
        <f>D131*2150000.000000</f>
        <v/>
      </c>
      <c r="E137" s="6">
        <f>E131*2150000.000000</f>
        <v/>
      </c>
      <c r="F137" s="6">
        <f>F131*2150000.000000</f>
        <v/>
      </c>
      <c r="G137" s="6">
        <f>G131*2000000.000000</f>
        <v/>
      </c>
      <c r="H137" s="6">
        <f>H131*2000000.000000</f>
        <v/>
      </c>
      <c r="I137" s="6">
        <f>I131*2000000.000000</f>
        <v/>
      </c>
      <c r="J137" s="6">
        <f>J131*2000000.000000</f>
        <v/>
      </c>
      <c r="K137" s="6">
        <f>K131*2000000.000000</f>
        <v/>
      </c>
      <c r="L137" s="6">
        <f>L131*2000000.000000</f>
        <v/>
      </c>
      <c r="M137" s="6">
        <f>M131*2000000.000000</f>
        <v/>
      </c>
      <c r="N137" s="6">
        <f>N131*2000000.000000</f>
        <v/>
      </c>
      <c r="O137" s="6">
        <f>O131*2000000.000000</f>
        <v/>
      </c>
      <c r="P137" s="6">
        <f>P131*1864285.714286</f>
        <v/>
      </c>
      <c r="Q137" s="6">
        <f>Q131*1864285.714286</f>
        <v/>
      </c>
      <c r="R137" s="6">
        <f>R131*1864285.714286</f>
        <v/>
      </c>
      <c r="S137" s="6">
        <f>S131*1864285.714286</f>
        <v/>
      </c>
      <c r="T137" s="6">
        <f>T131*1864285.714286</f>
        <v/>
      </c>
      <c r="U137" s="6">
        <f>U131*1864285.714286</f>
        <v/>
      </c>
      <c r="V137" s="6">
        <f>V131*1864285.714286</f>
        <v/>
      </c>
      <c r="W137" s="6">
        <f>W131*1864285.714286</f>
        <v/>
      </c>
      <c r="X137" s="6">
        <f>X131*1864285.714286</f>
        <v/>
      </c>
      <c r="Y137" s="6">
        <f>Y131*1864285.714286</f>
        <v/>
      </c>
      <c r="Z137" s="6">
        <f>Z131*1864285.714286</f>
        <v/>
      </c>
      <c r="AA137" s="6">
        <f>AA131*1864285.714286</f>
        <v/>
      </c>
    </row>
    <row r="138">
      <c r="A138" t="inlineStr">
        <is>
          <t>Non-gaji berulang/bulan - C (Rp)</t>
        </is>
      </c>
      <c r="D138" s="6">
        <f>D132*2150000.000000</f>
        <v/>
      </c>
      <c r="E138" s="6">
        <f>E132*2150000.000000</f>
        <v/>
      </c>
      <c r="F138" s="6">
        <f>F132*2150000.000000</f>
        <v/>
      </c>
      <c r="G138" s="6">
        <f>G132*2000000.000000</f>
        <v/>
      </c>
      <c r="H138" s="6">
        <f>H132*2000000.000000</f>
        <v/>
      </c>
      <c r="I138" s="6">
        <f>I132*2000000.000000</f>
        <v/>
      </c>
      <c r="J138" s="6">
        <f>J132*2000000.000000</f>
        <v/>
      </c>
      <c r="K138" s="6">
        <f>K132*2000000.000000</f>
        <v/>
      </c>
      <c r="L138" s="6">
        <f>L132*2000000.000000</f>
        <v/>
      </c>
      <c r="M138" s="6">
        <f>M132*2000000.000000</f>
        <v/>
      </c>
      <c r="N138" s="6">
        <f>N132*2000000.000000</f>
        <v/>
      </c>
      <c r="O138" s="6">
        <f>O132*2000000.000000</f>
        <v/>
      </c>
      <c r="P138" s="6">
        <f>P132*1864285.714286</f>
        <v/>
      </c>
      <c r="Q138" s="6">
        <f>Q132*1864285.714286</f>
        <v/>
      </c>
      <c r="R138" s="6">
        <f>R132*1864285.714286</f>
        <v/>
      </c>
      <c r="S138" s="6">
        <f>S132*1864285.714286</f>
        <v/>
      </c>
      <c r="T138" s="6">
        <f>T132*1864285.714286</f>
        <v/>
      </c>
      <c r="U138" s="6">
        <f>U132*1864285.714286</f>
        <v/>
      </c>
      <c r="V138" s="6">
        <f>V132*1864285.714286</f>
        <v/>
      </c>
      <c r="W138" s="6">
        <f>W132*1864285.714286</f>
        <v/>
      </c>
      <c r="X138" s="6">
        <f>X132*1864285.714286</f>
        <v/>
      </c>
      <c r="Y138" s="6">
        <f>Y132*1864285.714286</f>
        <v/>
      </c>
      <c r="Z138" s="6">
        <f>Z132*1864285.714286</f>
        <v/>
      </c>
      <c r="AA138" s="6">
        <f>AA132*1864285.714286</f>
        <v/>
      </c>
    </row>
    <row r="139">
      <c r="A139" t="inlineStr">
        <is>
          <t>Rekrutmen &amp; perangkat kerja (satu kali) - A (Rp)</t>
        </is>
      </c>
      <c r="D139" s="6">
        <f>D130*13500000</f>
        <v/>
      </c>
      <c r="E139" s="6">
        <f>MAX(0,E130-D130)*13500000</f>
        <v/>
      </c>
      <c r="F139" s="6">
        <f>MAX(0,F130-E130)*13500000</f>
        <v/>
      </c>
      <c r="G139" s="6">
        <f>MAX(0,G130-F130)*13500000</f>
        <v/>
      </c>
      <c r="H139" s="6">
        <f>MAX(0,H130-G130)*13500000</f>
        <v/>
      </c>
      <c r="I139" s="6">
        <f>MAX(0,I130-H130)*13500000</f>
        <v/>
      </c>
      <c r="J139" s="6">
        <f>MAX(0,J130-I130)*13500000</f>
        <v/>
      </c>
      <c r="K139" s="6">
        <f>MAX(0,K130-J130)*13500000</f>
        <v/>
      </c>
      <c r="L139" s="6">
        <f>MAX(0,L130-K130)*13500000</f>
        <v/>
      </c>
      <c r="M139" s="6">
        <f>MAX(0,M130-L130)*13500000</f>
        <v/>
      </c>
      <c r="N139" s="6">
        <f>MAX(0,N130-M130)*13500000</f>
        <v/>
      </c>
      <c r="O139" s="6">
        <f>MAX(0,O130-N130)*13500000</f>
        <v/>
      </c>
      <c r="P139" s="6">
        <f>MAX(0,P130-O130)*13500000</f>
        <v/>
      </c>
      <c r="Q139" s="6">
        <f>MAX(0,Q130-P130)*13500000</f>
        <v/>
      </c>
      <c r="R139" s="6">
        <f>MAX(0,R130-Q130)*13500000</f>
        <v/>
      </c>
      <c r="S139" s="6">
        <f>MAX(0,S130-R130)*13500000</f>
        <v/>
      </c>
      <c r="T139" s="6">
        <f>MAX(0,T130-S130)*13500000</f>
        <v/>
      </c>
      <c r="U139" s="6">
        <f>MAX(0,U130-T130)*13500000</f>
        <v/>
      </c>
      <c r="V139" s="6">
        <f>MAX(0,V130-U130)*13500000</f>
        <v/>
      </c>
      <c r="W139" s="6">
        <f>MAX(0,W130-V130)*13500000</f>
        <v/>
      </c>
      <c r="X139" s="6">
        <f>MAX(0,X130-W130)*13500000</f>
        <v/>
      </c>
      <c r="Y139" s="6">
        <f>MAX(0,Y130-X130)*13500000</f>
        <v/>
      </c>
      <c r="Z139" s="6">
        <f>MAX(0,Z130-Y130)*13500000</f>
        <v/>
      </c>
      <c r="AA139" s="6">
        <f>MAX(0,AA130-Z130)*13500000</f>
        <v/>
      </c>
    </row>
    <row r="140">
      <c r="A140" t="inlineStr">
        <is>
          <t>Rekrutmen &amp; perangkat kerja (satu kali) - B (Rp)</t>
        </is>
      </c>
      <c r="D140" s="6">
        <f>D131*13500000</f>
        <v/>
      </c>
      <c r="E140" s="6">
        <f>MAX(0,E131-D131)*13500000</f>
        <v/>
      </c>
      <c r="F140" s="6">
        <f>MAX(0,F131-E131)*13500000</f>
        <v/>
      </c>
      <c r="G140" s="6">
        <f>MAX(0,G131-F131)*13500000</f>
        <v/>
      </c>
      <c r="H140" s="6">
        <f>MAX(0,H131-G131)*13500000</f>
        <v/>
      </c>
      <c r="I140" s="6">
        <f>MAX(0,I131-H131)*13500000</f>
        <v/>
      </c>
      <c r="J140" s="6">
        <f>MAX(0,J131-I131)*13500000</f>
        <v/>
      </c>
      <c r="K140" s="6">
        <f>MAX(0,K131-J131)*13500000</f>
        <v/>
      </c>
      <c r="L140" s="6">
        <f>MAX(0,L131-K131)*13500000</f>
        <v/>
      </c>
      <c r="M140" s="6">
        <f>MAX(0,M131-L131)*13500000</f>
        <v/>
      </c>
      <c r="N140" s="6">
        <f>MAX(0,N131-M131)*13500000</f>
        <v/>
      </c>
      <c r="O140" s="6">
        <f>MAX(0,O131-N131)*13500000</f>
        <v/>
      </c>
      <c r="P140" s="6">
        <f>MAX(0,P131-O131)*13500000</f>
        <v/>
      </c>
      <c r="Q140" s="6">
        <f>MAX(0,Q131-P131)*13500000</f>
        <v/>
      </c>
      <c r="R140" s="6">
        <f>MAX(0,R131-Q131)*13500000</f>
        <v/>
      </c>
      <c r="S140" s="6">
        <f>MAX(0,S131-R131)*13500000</f>
        <v/>
      </c>
      <c r="T140" s="6">
        <f>MAX(0,T131-S131)*13500000</f>
        <v/>
      </c>
      <c r="U140" s="6">
        <f>MAX(0,U131-T131)*13500000</f>
        <v/>
      </c>
      <c r="V140" s="6">
        <f>MAX(0,V131-U131)*13500000</f>
        <v/>
      </c>
      <c r="W140" s="6">
        <f>MAX(0,W131-V131)*13500000</f>
        <v/>
      </c>
      <c r="X140" s="6">
        <f>MAX(0,X131-W131)*13500000</f>
        <v/>
      </c>
      <c r="Y140" s="6">
        <f>MAX(0,Y131-X131)*13500000</f>
        <v/>
      </c>
      <c r="Z140" s="6">
        <f>MAX(0,Z131-Y131)*13500000</f>
        <v/>
      </c>
      <c r="AA140" s="6">
        <f>MAX(0,AA131-Z131)*13500000</f>
        <v/>
      </c>
    </row>
    <row r="141">
      <c r="A141" t="inlineStr">
        <is>
          <t>Rekrutmen &amp; perangkat kerja (satu kali) - C (Rp)</t>
        </is>
      </c>
      <c r="D141" s="6">
        <f>D132*13500000</f>
        <v/>
      </c>
      <c r="E141" s="6">
        <f>MAX(0,E132-D132)*13500000</f>
        <v/>
      </c>
      <c r="F141" s="6">
        <f>MAX(0,F132-E132)*13500000</f>
        <v/>
      </c>
      <c r="G141" s="6">
        <f>MAX(0,G132-F132)*13500000</f>
        <v/>
      </c>
      <c r="H141" s="6">
        <f>MAX(0,H132-G132)*13500000</f>
        <v/>
      </c>
      <c r="I141" s="6">
        <f>MAX(0,I132-H132)*13500000</f>
        <v/>
      </c>
      <c r="J141" s="6">
        <f>MAX(0,J132-I132)*13500000</f>
        <v/>
      </c>
      <c r="K141" s="6">
        <f>MAX(0,K132-J132)*13500000</f>
        <v/>
      </c>
      <c r="L141" s="6">
        <f>MAX(0,L132-K132)*13500000</f>
        <v/>
      </c>
      <c r="M141" s="6">
        <f>MAX(0,M132-L132)*13500000</f>
        <v/>
      </c>
      <c r="N141" s="6">
        <f>MAX(0,N132-M132)*13500000</f>
        <v/>
      </c>
      <c r="O141" s="6">
        <f>MAX(0,O132-N132)*13500000</f>
        <v/>
      </c>
      <c r="P141" s="6">
        <f>MAX(0,P132-O132)*13500000</f>
        <v/>
      </c>
      <c r="Q141" s="6">
        <f>MAX(0,Q132-P132)*13500000</f>
        <v/>
      </c>
      <c r="R141" s="6">
        <f>MAX(0,R132-Q132)*13500000</f>
        <v/>
      </c>
      <c r="S141" s="6">
        <f>MAX(0,S132-R132)*13500000</f>
        <v/>
      </c>
      <c r="T141" s="6">
        <f>MAX(0,T132-S132)*13500000</f>
        <v/>
      </c>
      <c r="U141" s="6">
        <f>MAX(0,U132-T132)*13500000</f>
        <v/>
      </c>
      <c r="V141" s="6">
        <f>MAX(0,V132-U132)*13500000</f>
        <v/>
      </c>
      <c r="W141" s="6">
        <f>MAX(0,W132-V132)*13500000</f>
        <v/>
      </c>
      <c r="X141" s="6">
        <f>MAX(0,X132-W132)*13500000</f>
        <v/>
      </c>
      <c r="Y141" s="6">
        <f>MAX(0,Y132-X132)*13500000</f>
        <v/>
      </c>
      <c r="Z141" s="6">
        <f>MAX(0,Z132-Y132)*13500000</f>
        <v/>
      </c>
      <c r="AA141" s="6">
        <f>MAX(0,AA132-Z132)*13500000</f>
        <v/>
      </c>
    </row>
    <row r="142">
      <c r="A142" t="inlineStr">
        <is>
          <t>Biaya AI/bulan - B (Rp)</t>
        </is>
      </c>
      <c r="D142" s="6">
        <f>AI_Var_F0*D5/Order_Hari_F0+AI_Tetap_F0+AI_Sembunyi_F0</f>
        <v/>
      </c>
      <c r="E142" s="6">
        <f>AI_Var_F0*E5/Order_Hari_F0+AI_Tetap_F0+AI_Sembunyi_F0</f>
        <v/>
      </c>
      <c r="F142" s="6">
        <f>AI_Var_F0*F5/Order_Hari_F0+AI_Tetap_F0+AI_Sembunyi_F0</f>
        <v/>
      </c>
      <c r="G142" s="6">
        <f>AI_Var_F1*G5/Order_Hari_F1+AI_Tetap_F1+AI_Sembunyi_F1</f>
        <v/>
      </c>
      <c r="H142" s="6">
        <f>AI_Var_F1*H5/Order_Hari_F1+AI_Tetap_F1+AI_Sembunyi_F1</f>
        <v/>
      </c>
      <c r="I142" s="6">
        <f>AI_Var_F1*I5/Order_Hari_F1+AI_Tetap_F1+AI_Sembunyi_F1</f>
        <v/>
      </c>
      <c r="J142" s="6">
        <f>AI_Var_F1*J5/Order_Hari_F1+AI_Tetap_F1+AI_Sembunyi_F1</f>
        <v/>
      </c>
      <c r="K142" s="6">
        <f>AI_Var_F1*K5/Order_Hari_F1+AI_Tetap_F1+AI_Sembunyi_F1</f>
        <v/>
      </c>
      <c r="L142" s="6">
        <f>AI_Var_F1*L5/Order_Hari_F1+AI_Tetap_F1+AI_Sembunyi_F1</f>
        <v/>
      </c>
      <c r="M142" s="6">
        <f>AI_Var_F1*M5/Order_Hari_F1+AI_Tetap_F1+AI_Sembunyi_F1</f>
        <v/>
      </c>
      <c r="N142" s="6">
        <f>AI_Var_F1*N5/Order_Hari_F1+AI_Tetap_F1+AI_Sembunyi_F1</f>
        <v/>
      </c>
      <c r="O142" s="6">
        <f>AI_Var_F1*O5/Order_Hari_F1+AI_Tetap_F1+AI_Sembunyi_F1</f>
        <v/>
      </c>
      <c r="P142" s="6">
        <f>AI_Var_F2*P5/Order_Hari_F2+AI_Tetap_F2+AI_Sembunyi_F2</f>
        <v/>
      </c>
      <c r="Q142" s="6">
        <f>AI_Var_F2*Q5/Order_Hari_F2+AI_Tetap_F2+AI_Sembunyi_F2</f>
        <v/>
      </c>
      <c r="R142" s="6">
        <f>AI_Var_F2*R5/Order_Hari_F2+AI_Tetap_F2+AI_Sembunyi_F2</f>
        <v/>
      </c>
      <c r="S142" s="6">
        <f>AI_Var_F2*S5/Order_Hari_F2+AI_Tetap_F2+AI_Sembunyi_F2</f>
        <v/>
      </c>
      <c r="T142" s="6">
        <f>AI_Var_F2*T5/Order_Hari_F2+AI_Tetap_F2+AI_Sembunyi_F2</f>
        <v/>
      </c>
      <c r="U142" s="6">
        <f>AI_Var_F2*U5/Order_Hari_F2+AI_Tetap_F2+AI_Sembunyi_F2</f>
        <v/>
      </c>
      <c r="V142" s="6">
        <f>AI_Var_F2*V5/Order_Hari_F2+AI_Tetap_F2+AI_Sembunyi_F2</f>
        <v/>
      </c>
      <c r="W142" s="6">
        <f>AI_Var_F2*W5/Order_Hari_F2+AI_Tetap_F2+AI_Sembunyi_F2</f>
        <v/>
      </c>
      <c r="X142" s="6">
        <f>AI_Var_F2*X5/Order_Hari_F2+AI_Tetap_F2+AI_Sembunyi_F2</f>
        <v/>
      </c>
      <c r="Y142" s="6">
        <f>AI_Var_F2*Y5/Order_Hari_F2+AI_Tetap_F2+AI_Sembunyi_F2</f>
        <v/>
      </c>
      <c r="Z142" s="6">
        <f>AI_Var_F2*Z5/Order_Hari_F2+AI_Tetap_F2+AI_Sembunyi_F2</f>
        <v/>
      </c>
      <c r="AA142" s="6">
        <f>AI_Var_F2*AA5/Order_Hari_F2+AI_Tetap_F2+AI_Sembunyi_F2</f>
        <v/>
      </c>
    </row>
    <row r="143">
      <c r="A143" t="inlineStr">
        <is>
          <t>Biaya AI/bulan - C (Rp)</t>
        </is>
      </c>
      <c r="D143" s="6">
        <f>(AI_Var_F0*D5/Order_Hari_F0)*Faktor_Tool_C+(AI_Tetap_F0)*Faktor_Tool_C+(AI_Sembunyi_F0)*Faktor_Sembunyi_C</f>
        <v/>
      </c>
      <c r="E143" s="6">
        <f>(AI_Var_F0*E5/Order_Hari_F0)*Faktor_Tool_C+(AI_Tetap_F0)*Faktor_Tool_C+(AI_Sembunyi_F0)*Faktor_Sembunyi_C</f>
        <v/>
      </c>
      <c r="F143" s="6">
        <f>(AI_Var_F0*F5/Order_Hari_F0)*Faktor_Tool_C+(AI_Tetap_F0)*Faktor_Tool_C+(AI_Sembunyi_F0)*Faktor_Sembunyi_C</f>
        <v/>
      </c>
      <c r="G143" s="6">
        <f>(AI_Var_F1*G5/Order_Hari_F1)*Faktor_Tool_C+(AI_Tetap_F1)*Faktor_Tool_C+(AI_Sembunyi_F1)*Faktor_Sembunyi_C</f>
        <v/>
      </c>
      <c r="H143" s="6">
        <f>(AI_Var_F1*H5/Order_Hari_F1)*Faktor_Tool_C+(AI_Tetap_F1)*Faktor_Tool_C+(AI_Sembunyi_F1)*Faktor_Sembunyi_C</f>
        <v/>
      </c>
      <c r="I143" s="6">
        <f>(AI_Var_F1*I5/Order_Hari_F1)*Faktor_Tool_C+(AI_Tetap_F1)*Faktor_Tool_C+(AI_Sembunyi_F1)*Faktor_Sembunyi_C</f>
        <v/>
      </c>
      <c r="J143" s="6">
        <f>(AI_Var_F1*J5/Order_Hari_F1)*Faktor_Tool_C+(AI_Tetap_F1)*Faktor_Tool_C+(AI_Sembunyi_F1)*Faktor_Sembunyi_C</f>
        <v/>
      </c>
      <c r="K143" s="6">
        <f>(AI_Var_F1*K5/Order_Hari_F1)*Faktor_Tool_C+(AI_Tetap_F1)*Faktor_Tool_C+(AI_Sembunyi_F1)*Faktor_Sembunyi_C</f>
        <v/>
      </c>
      <c r="L143" s="6">
        <f>(AI_Var_F1*L5/Order_Hari_F1)*Faktor_Tool_C+(AI_Tetap_F1)*Faktor_Tool_C+(AI_Sembunyi_F1)*Faktor_Sembunyi_C</f>
        <v/>
      </c>
      <c r="M143" s="6">
        <f>(AI_Var_F1*M5/Order_Hari_F1)*Faktor_Tool_C+(AI_Tetap_F1)*Faktor_Tool_C+(AI_Sembunyi_F1)*Faktor_Sembunyi_C</f>
        <v/>
      </c>
      <c r="N143" s="6">
        <f>(AI_Var_F1*N5/Order_Hari_F1)*Faktor_Tool_C+(AI_Tetap_F1)*Faktor_Tool_C+(AI_Sembunyi_F1)*Faktor_Sembunyi_C</f>
        <v/>
      </c>
      <c r="O143" s="6">
        <f>(AI_Var_F1*O5/Order_Hari_F1)*Faktor_Tool_C+(AI_Tetap_F1)*Faktor_Tool_C+(AI_Sembunyi_F1)*Faktor_Sembunyi_C</f>
        <v/>
      </c>
      <c r="P143" s="6">
        <f>(AI_Var_F2*P5/Order_Hari_F2)*Faktor_Tool_C+(AI_Tetap_F2)*Faktor_Tool_C+(AI_Sembunyi_F2)*Faktor_Sembunyi_C</f>
        <v/>
      </c>
      <c r="Q143" s="6">
        <f>(AI_Var_F2*Q5/Order_Hari_F2)*Faktor_Tool_C+(AI_Tetap_F2)*Faktor_Tool_C+(AI_Sembunyi_F2)*Faktor_Sembunyi_C</f>
        <v/>
      </c>
      <c r="R143" s="6">
        <f>(AI_Var_F2*R5/Order_Hari_F2)*Faktor_Tool_C+(AI_Tetap_F2)*Faktor_Tool_C+(AI_Sembunyi_F2)*Faktor_Sembunyi_C</f>
        <v/>
      </c>
      <c r="S143" s="6">
        <f>(AI_Var_F2*S5/Order_Hari_F2)*Faktor_Tool_C+(AI_Tetap_F2)*Faktor_Tool_C+(AI_Sembunyi_F2)*Faktor_Sembunyi_C</f>
        <v/>
      </c>
      <c r="T143" s="6">
        <f>(AI_Var_F2*T5/Order_Hari_F2)*Faktor_Tool_C+(AI_Tetap_F2)*Faktor_Tool_C+(AI_Sembunyi_F2)*Faktor_Sembunyi_C</f>
        <v/>
      </c>
      <c r="U143" s="6">
        <f>(AI_Var_F2*U5/Order_Hari_F2)*Faktor_Tool_C+(AI_Tetap_F2)*Faktor_Tool_C+(AI_Sembunyi_F2)*Faktor_Sembunyi_C</f>
        <v/>
      </c>
      <c r="V143" s="6">
        <f>(AI_Var_F2*V5/Order_Hari_F2)*Faktor_Tool_C+(AI_Tetap_F2)*Faktor_Tool_C+(AI_Sembunyi_F2)*Faktor_Sembunyi_C</f>
        <v/>
      </c>
      <c r="W143" s="6">
        <f>(AI_Var_F2*W5/Order_Hari_F2)*Faktor_Tool_C+(AI_Tetap_F2)*Faktor_Tool_C+(AI_Sembunyi_F2)*Faktor_Sembunyi_C</f>
        <v/>
      </c>
      <c r="X143" s="6">
        <f>(AI_Var_F2*X5/Order_Hari_F2)*Faktor_Tool_C+(AI_Tetap_F2)*Faktor_Tool_C+(AI_Sembunyi_F2)*Faktor_Sembunyi_C</f>
        <v/>
      </c>
      <c r="Y143" s="6">
        <f>(AI_Var_F2*Y5/Order_Hari_F2)*Faktor_Tool_C+(AI_Tetap_F2)*Faktor_Tool_C+(AI_Sembunyi_F2)*Faktor_Sembunyi_C</f>
        <v/>
      </c>
      <c r="Z143" s="6">
        <f>(AI_Var_F2*Z5/Order_Hari_F2)*Faktor_Tool_C+(AI_Tetap_F2)*Faktor_Tool_C+(AI_Sembunyi_F2)*Faktor_Sembunyi_C</f>
        <v/>
      </c>
      <c r="AA143" s="6">
        <f>(AI_Var_F2*AA5/Order_Hari_F2)*Faktor_Tool_C+(AI_Tetap_F2)*Faktor_Tool_C+(AI_Sembunyi_F2)*Faktor_Sembunyi_C</f>
        <v/>
      </c>
    </row>
    <row r="144">
      <c r="A144" t="inlineStr">
        <is>
          <t>Implementasi, integrasi, DPIA (satu kali, disebar bulan 4-15) - B &amp; C (Rp)</t>
        </is>
      </c>
      <c r="D144" s="6">
        <f>IF(AND(1&gt;=4,1&lt;=15),AI_Satu_Kali/12,0)</f>
        <v/>
      </c>
      <c r="E144" s="6">
        <f>IF(AND(2&gt;=4,2&lt;=15),AI_Satu_Kali/12,0)</f>
        <v/>
      </c>
      <c r="F144" s="6">
        <f>IF(AND(3&gt;=4,3&lt;=15),AI_Satu_Kali/12,0)</f>
        <v/>
      </c>
      <c r="G144" s="6">
        <f>IF(AND(4&gt;=4,4&lt;=15),AI_Satu_Kali/12,0)</f>
        <v/>
      </c>
      <c r="H144" s="6">
        <f>IF(AND(5&gt;=4,5&lt;=15),AI_Satu_Kali/12,0)</f>
        <v/>
      </c>
      <c r="I144" s="6">
        <f>IF(AND(6&gt;=4,6&lt;=15),AI_Satu_Kali/12,0)</f>
        <v/>
      </c>
      <c r="J144" s="6">
        <f>IF(AND(7&gt;=4,7&lt;=15),AI_Satu_Kali/12,0)</f>
        <v/>
      </c>
      <c r="K144" s="6">
        <f>IF(AND(8&gt;=4,8&lt;=15),AI_Satu_Kali/12,0)</f>
        <v/>
      </c>
      <c r="L144" s="6">
        <f>IF(AND(9&gt;=4,9&lt;=15),AI_Satu_Kali/12,0)</f>
        <v/>
      </c>
      <c r="M144" s="6">
        <f>IF(AND(10&gt;=4,10&lt;=15),AI_Satu_Kali/12,0)</f>
        <v/>
      </c>
      <c r="N144" s="6">
        <f>IF(AND(11&gt;=4,11&lt;=15),AI_Satu_Kali/12,0)</f>
        <v/>
      </c>
      <c r="O144" s="6">
        <f>IF(AND(12&gt;=4,12&lt;=15),AI_Satu_Kali/12,0)</f>
        <v/>
      </c>
      <c r="P144" s="6">
        <f>IF(AND(13&gt;=4,13&lt;=15),AI_Satu_Kali/12,0)</f>
        <v/>
      </c>
      <c r="Q144" s="6">
        <f>IF(AND(14&gt;=4,14&lt;=15),AI_Satu_Kali/12,0)</f>
        <v/>
      </c>
      <c r="R144" s="6">
        <f>IF(AND(15&gt;=4,15&lt;=15),AI_Satu_Kali/12,0)</f>
        <v/>
      </c>
      <c r="S144" s="6">
        <f>IF(AND(16&gt;=4,16&lt;=15),AI_Satu_Kali/12,0)</f>
        <v/>
      </c>
      <c r="T144" s="6">
        <f>IF(AND(17&gt;=4,17&lt;=15),AI_Satu_Kali/12,0)</f>
        <v/>
      </c>
      <c r="U144" s="6">
        <f>IF(AND(18&gt;=4,18&lt;=15),AI_Satu_Kali/12,0)</f>
        <v/>
      </c>
      <c r="V144" s="6">
        <f>IF(AND(19&gt;=4,19&lt;=15),AI_Satu_Kali/12,0)</f>
        <v/>
      </c>
      <c r="W144" s="6">
        <f>IF(AND(20&gt;=4,20&lt;=15),AI_Satu_Kali/12,0)</f>
        <v/>
      </c>
      <c r="X144" s="6">
        <f>IF(AND(21&gt;=4,21&lt;=15),AI_Satu_Kali/12,0)</f>
        <v/>
      </c>
      <c r="Y144" s="6">
        <f>IF(AND(22&gt;=4,22&lt;=15),AI_Satu_Kali/12,0)</f>
        <v/>
      </c>
      <c r="Z144" s="6">
        <f>IF(AND(23&gt;=4,23&lt;=15),AI_Satu_Kali/12,0)</f>
        <v/>
      </c>
      <c r="AA144" s="6">
        <f>IF(AND(24&gt;=4,24&lt;=15),AI_Satu_Kali/12,0)</f>
        <v/>
      </c>
    </row>
    <row r="146">
      <c r="A146" s="12" t="inlineStr">
        <is>
          <t>TOTAL BIAYA/BULAN - A (Rp)</t>
        </is>
      </c>
      <c r="D146" s="24">
        <f>D133+D136+D139</f>
        <v/>
      </c>
      <c r="E146" s="24">
        <f>E133+E136+E139</f>
        <v/>
      </c>
      <c r="F146" s="24">
        <f>F133+F136+F139</f>
        <v/>
      </c>
      <c r="G146" s="24">
        <f>G133+G136+G139</f>
        <v/>
      </c>
      <c r="H146" s="24">
        <f>H133+H136+H139</f>
        <v/>
      </c>
      <c r="I146" s="24">
        <f>I133+I136+I139</f>
        <v/>
      </c>
      <c r="J146" s="24">
        <f>J133+J136+J139</f>
        <v/>
      </c>
      <c r="K146" s="24">
        <f>K133+K136+K139</f>
        <v/>
      </c>
      <c r="L146" s="24">
        <f>L133+L136+L139</f>
        <v/>
      </c>
      <c r="M146" s="24">
        <f>M133+M136+M139</f>
        <v/>
      </c>
      <c r="N146" s="24">
        <f>N133+N136+N139</f>
        <v/>
      </c>
      <c r="O146" s="24">
        <f>O133+O136+O139</f>
        <v/>
      </c>
      <c r="P146" s="24">
        <f>P133+P136+P139</f>
        <v/>
      </c>
      <c r="Q146" s="24">
        <f>Q133+Q136+Q139</f>
        <v/>
      </c>
      <c r="R146" s="24">
        <f>R133+R136+R139</f>
        <v/>
      </c>
      <c r="S146" s="24">
        <f>S133+S136+S139</f>
        <v/>
      </c>
      <c r="T146" s="24">
        <f>T133+T136+T139</f>
        <v/>
      </c>
      <c r="U146" s="24">
        <f>U133+U136+U139</f>
        <v/>
      </c>
      <c r="V146" s="24">
        <f>V133+V136+V139</f>
        <v/>
      </c>
      <c r="W146" s="24">
        <f>W133+W136+W139</f>
        <v/>
      </c>
      <c r="X146" s="24">
        <f>X133+X136+X139</f>
        <v/>
      </c>
      <c r="Y146" s="24">
        <f>Y133+Y136+Y139</f>
        <v/>
      </c>
      <c r="Z146" s="24">
        <f>Z133+Z136+Z139</f>
        <v/>
      </c>
      <c r="AA146" s="24">
        <f>AA133+AA136+AA139</f>
        <v/>
      </c>
    </row>
    <row r="147">
      <c r="A147" s="12" t="inlineStr">
        <is>
          <t>TOTAL BIAYA/BULAN - B (Rp)</t>
        </is>
      </c>
      <c r="D147" s="24">
        <f>D134+D137+D140+D142+D144</f>
        <v/>
      </c>
      <c r="E147" s="24">
        <f>E134+E137+E140+E142+E144</f>
        <v/>
      </c>
      <c r="F147" s="24">
        <f>F134+F137+F140+F142+F144</f>
        <v/>
      </c>
      <c r="G147" s="24">
        <f>G134+G137+G140+G142+G144</f>
        <v/>
      </c>
      <c r="H147" s="24">
        <f>H134+H137+H140+H142+H144</f>
        <v/>
      </c>
      <c r="I147" s="24">
        <f>I134+I137+I140+I142+I144</f>
        <v/>
      </c>
      <c r="J147" s="24">
        <f>J134+J137+J140+J142+J144</f>
        <v/>
      </c>
      <c r="K147" s="24">
        <f>K134+K137+K140+K142+K144</f>
        <v/>
      </c>
      <c r="L147" s="24">
        <f>L134+L137+L140+L142+L144</f>
        <v/>
      </c>
      <c r="M147" s="24">
        <f>M134+M137+M140+M142+M144</f>
        <v/>
      </c>
      <c r="N147" s="24">
        <f>N134+N137+N140+N142+N144</f>
        <v/>
      </c>
      <c r="O147" s="24">
        <f>O134+O137+O140+O142+O144</f>
        <v/>
      </c>
      <c r="P147" s="24">
        <f>P134+P137+P140+P142+P144</f>
        <v/>
      </c>
      <c r="Q147" s="24">
        <f>Q134+Q137+Q140+Q142+Q144</f>
        <v/>
      </c>
      <c r="R147" s="24">
        <f>R134+R137+R140+R142+R144</f>
        <v/>
      </c>
      <c r="S147" s="24">
        <f>S134+S137+S140+S142+S144</f>
        <v/>
      </c>
      <c r="T147" s="24">
        <f>T134+T137+T140+T142+T144</f>
        <v/>
      </c>
      <c r="U147" s="24">
        <f>U134+U137+U140+U142+U144</f>
        <v/>
      </c>
      <c r="V147" s="24">
        <f>V134+V137+V140+V142+V144</f>
        <v/>
      </c>
      <c r="W147" s="24">
        <f>W134+W137+W140+W142+W144</f>
        <v/>
      </c>
      <c r="X147" s="24">
        <f>X134+X137+X140+X142+X144</f>
        <v/>
      </c>
      <c r="Y147" s="24">
        <f>Y134+Y137+Y140+Y142+Y144</f>
        <v/>
      </c>
      <c r="Z147" s="24">
        <f>Z134+Z137+Z140+Z142+Z144</f>
        <v/>
      </c>
      <c r="AA147" s="24">
        <f>AA134+AA137+AA140+AA142+AA144</f>
        <v/>
      </c>
    </row>
    <row r="148">
      <c r="A148" s="12" t="inlineStr">
        <is>
          <t>TOTAL BIAYA/BULAN - C (Rp)</t>
        </is>
      </c>
      <c r="D148" s="24">
        <f>D135+D138+D141+D143+D144</f>
        <v/>
      </c>
      <c r="E148" s="24">
        <f>E135+E138+E141+E143+E144</f>
        <v/>
      </c>
      <c r="F148" s="24">
        <f>F135+F138+F141+F143+F144</f>
        <v/>
      </c>
      <c r="G148" s="24">
        <f>G135+G138+G141+G143+G144</f>
        <v/>
      </c>
      <c r="H148" s="24">
        <f>H135+H138+H141+H143+H144</f>
        <v/>
      </c>
      <c r="I148" s="24">
        <f>I135+I138+I141+I143+I144</f>
        <v/>
      </c>
      <c r="J148" s="24">
        <f>J135+J138+J141+J143+J144</f>
        <v/>
      </c>
      <c r="K148" s="24">
        <f>K135+K138+K141+K143+K144</f>
        <v/>
      </c>
      <c r="L148" s="24">
        <f>L135+L138+L141+L143+L144</f>
        <v/>
      </c>
      <c r="M148" s="24">
        <f>M135+M138+M141+M143+M144</f>
        <v/>
      </c>
      <c r="N148" s="24">
        <f>N135+N138+N141+N143+N144</f>
        <v/>
      </c>
      <c r="O148" s="24">
        <f>O135+O138+O141+O143+O144</f>
        <v/>
      </c>
      <c r="P148" s="24">
        <f>P135+P138+P141+P143+P144</f>
        <v/>
      </c>
      <c r="Q148" s="24">
        <f>Q135+Q138+Q141+Q143+Q144</f>
        <v/>
      </c>
      <c r="R148" s="24">
        <f>R135+R138+R141+R143+R144</f>
        <v/>
      </c>
      <c r="S148" s="24">
        <f>S135+S138+S141+S143+S144</f>
        <v/>
      </c>
      <c r="T148" s="24">
        <f>T135+T138+T141+T143+T144</f>
        <v/>
      </c>
      <c r="U148" s="24">
        <f>U135+U138+U141+U143+U144</f>
        <v/>
      </c>
      <c r="V148" s="24">
        <f>V135+V138+V141+V143+V144</f>
        <v/>
      </c>
      <c r="W148" s="24">
        <f>W135+W138+W141+W143+W144</f>
        <v/>
      </c>
      <c r="X148" s="24">
        <f>X135+X138+X141+X143+X144</f>
        <v/>
      </c>
      <c r="Y148" s="24">
        <f>Y135+Y138+Y141+Y143+Y144</f>
        <v/>
      </c>
      <c r="Z148" s="24">
        <f>Z135+Z138+Z141+Z143+Z144</f>
        <v/>
      </c>
      <c r="AA148" s="24">
        <f>AA135+AA138+AA141+AA143+AA144</f>
        <v/>
      </c>
    </row>
    <row r="150">
      <c r="A150" s="12" t="inlineStr">
        <is>
          <t>KUMULATIF - A (Rp)</t>
        </is>
      </c>
      <c r="D150" s="24">
        <f>D146</f>
        <v/>
      </c>
      <c r="E150" s="24">
        <f>D150+E146</f>
        <v/>
      </c>
      <c r="F150" s="24">
        <f>E150+F146</f>
        <v/>
      </c>
      <c r="G150" s="24">
        <f>F150+G146</f>
        <v/>
      </c>
      <c r="H150" s="24">
        <f>G150+H146</f>
        <v/>
      </c>
      <c r="I150" s="24">
        <f>H150+I146</f>
        <v/>
      </c>
      <c r="J150" s="24">
        <f>I150+J146</f>
        <v/>
      </c>
      <c r="K150" s="24">
        <f>J150+K146</f>
        <v/>
      </c>
      <c r="L150" s="24">
        <f>K150+L146</f>
        <v/>
      </c>
      <c r="M150" s="24">
        <f>L150+M146</f>
        <v/>
      </c>
      <c r="N150" s="24">
        <f>M150+N146</f>
        <v/>
      </c>
      <c r="O150" s="24">
        <f>N150+O146</f>
        <v/>
      </c>
      <c r="P150" s="24">
        <f>O150+P146</f>
        <v/>
      </c>
      <c r="Q150" s="24">
        <f>P150+Q146</f>
        <v/>
      </c>
      <c r="R150" s="24">
        <f>Q150+R146</f>
        <v/>
      </c>
      <c r="S150" s="24">
        <f>R150+S146</f>
        <v/>
      </c>
      <c r="T150" s="24">
        <f>S150+T146</f>
        <v/>
      </c>
      <c r="U150" s="24">
        <f>T150+U146</f>
        <v/>
      </c>
      <c r="V150" s="24">
        <f>U150+V146</f>
        <v/>
      </c>
      <c r="W150" s="24">
        <f>V150+W146</f>
        <v/>
      </c>
      <c r="X150" s="24">
        <f>W150+X146</f>
        <v/>
      </c>
      <c r="Y150" s="24">
        <f>X150+Y146</f>
        <v/>
      </c>
      <c r="Z150" s="24">
        <f>Y150+Z146</f>
        <v/>
      </c>
      <c r="AA150" s="24">
        <f>Z150+AA146</f>
        <v/>
      </c>
    </row>
    <row r="151">
      <c r="A151" s="12" t="inlineStr">
        <is>
          <t>KUMULATIF - B (Rp)</t>
        </is>
      </c>
      <c r="D151" s="24">
        <f>D147</f>
        <v/>
      </c>
      <c r="E151" s="24">
        <f>D151+E147</f>
        <v/>
      </c>
      <c r="F151" s="24">
        <f>E151+F147</f>
        <v/>
      </c>
      <c r="G151" s="24">
        <f>F151+G147</f>
        <v/>
      </c>
      <c r="H151" s="24">
        <f>G151+H147</f>
        <v/>
      </c>
      <c r="I151" s="24">
        <f>H151+I147</f>
        <v/>
      </c>
      <c r="J151" s="24">
        <f>I151+J147</f>
        <v/>
      </c>
      <c r="K151" s="24">
        <f>J151+K147</f>
        <v/>
      </c>
      <c r="L151" s="24">
        <f>K151+L147</f>
        <v/>
      </c>
      <c r="M151" s="24">
        <f>L151+M147</f>
        <v/>
      </c>
      <c r="N151" s="24">
        <f>M151+N147</f>
        <v/>
      </c>
      <c r="O151" s="24">
        <f>N151+O147</f>
        <v/>
      </c>
      <c r="P151" s="24">
        <f>O151+P147</f>
        <v/>
      </c>
      <c r="Q151" s="24">
        <f>P151+Q147</f>
        <v/>
      </c>
      <c r="R151" s="24">
        <f>Q151+R147</f>
        <v/>
      </c>
      <c r="S151" s="24">
        <f>R151+S147</f>
        <v/>
      </c>
      <c r="T151" s="24">
        <f>S151+T147</f>
        <v/>
      </c>
      <c r="U151" s="24">
        <f>T151+U147</f>
        <v/>
      </c>
      <c r="V151" s="24">
        <f>U151+V147</f>
        <v/>
      </c>
      <c r="W151" s="24">
        <f>V151+W147</f>
        <v/>
      </c>
      <c r="X151" s="24">
        <f>W151+X147</f>
        <v/>
      </c>
      <c r="Y151" s="24">
        <f>X151+Y147</f>
        <v/>
      </c>
      <c r="Z151" s="24">
        <f>Y151+Z147</f>
        <v/>
      </c>
      <c r="AA151" s="24">
        <f>Z151+AA147</f>
        <v/>
      </c>
    </row>
    <row r="152">
      <c r="A152" s="12" t="inlineStr">
        <is>
          <t>KUMULATIF - C (Rp)</t>
        </is>
      </c>
      <c r="D152" s="24">
        <f>D148</f>
        <v/>
      </c>
      <c r="E152" s="24">
        <f>D152+E148</f>
        <v/>
      </c>
      <c r="F152" s="24">
        <f>E152+F148</f>
        <v/>
      </c>
      <c r="G152" s="24">
        <f>F152+G148</f>
        <v/>
      </c>
      <c r="H152" s="24">
        <f>G152+H148</f>
        <v/>
      </c>
      <c r="I152" s="24">
        <f>H152+I148</f>
        <v/>
      </c>
      <c r="J152" s="24">
        <f>I152+J148</f>
        <v/>
      </c>
      <c r="K152" s="24">
        <f>J152+K148</f>
        <v/>
      </c>
      <c r="L152" s="24">
        <f>K152+L148</f>
        <v/>
      </c>
      <c r="M152" s="24">
        <f>L152+M148</f>
        <v/>
      </c>
      <c r="N152" s="24">
        <f>M152+N148</f>
        <v/>
      </c>
      <c r="O152" s="24">
        <f>N152+O148</f>
        <v/>
      </c>
      <c r="P152" s="24">
        <f>O152+P148</f>
        <v/>
      </c>
      <c r="Q152" s="24">
        <f>P152+Q148</f>
        <v/>
      </c>
      <c r="R152" s="24">
        <f>Q152+R148</f>
        <v/>
      </c>
      <c r="S152" s="24">
        <f>R152+S148</f>
        <v/>
      </c>
      <c r="T152" s="24">
        <f>S152+T148</f>
        <v/>
      </c>
      <c r="U152" s="24">
        <f>T152+U148</f>
        <v/>
      </c>
      <c r="V152" s="24">
        <f>U152+V148</f>
        <v/>
      </c>
      <c r="W152" s="24">
        <f>V152+W148</f>
        <v/>
      </c>
      <c r="X152" s="24">
        <f>W152+X148</f>
        <v/>
      </c>
      <c r="Y152" s="24">
        <f>X152+Y148</f>
        <v/>
      </c>
      <c r="Z152" s="24">
        <f>Y152+Z148</f>
        <v/>
      </c>
      <c r="AA152" s="24">
        <f>Z152+AA148</f>
        <v/>
      </c>
    </row>
    <row r="153">
      <c r="A153" t="inlineStr">
        <is>
          <t>Penghematan kumulatif B vs A (Rp)</t>
        </is>
      </c>
      <c r="D153" s="6">
        <f>D150-D151</f>
        <v/>
      </c>
      <c r="E153" s="6">
        <f>E150-E151</f>
        <v/>
      </c>
      <c r="F153" s="6">
        <f>F150-F151</f>
        <v/>
      </c>
      <c r="G153" s="6">
        <f>G150-G151</f>
        <v/>
      </c>
      <c r="H153" s="6">
        <f>H150-H151</f>
        <v/>
      </c>
      <c r="I153" s="6">
        <f>I150-I151</f>
        <v/>
      </c>
      <c r="J153" s="6">
        <f>J150-J151</f>
        <v/>
      </c>
      <c r="K153" s="6">
        <f>K150-K151</f>
        <v/>
      </c>
      <c r="L153" s="6">
        <f>L150-L151</f>
        <v/>
      </c>
      <c r="M153" s="6">
        <f>M150-M151</f>
        <v/>
      </c>
      <c r="N153" s="6">
        <f>N150-N151</f>
        <v/>
      </c>
      <c r="O153" s="6">
        <f>O150-O151</f>
        <v/>
      </c>
      <c r="P153" s="6">
        <f>P150-P151</f>
        <v/>
      </c>
      <c r="Q153" s="6">
        <f>Q150-Q151</f>
        <v/>
      </c>
      <c r="R153" s="6">
        <f>R150-R151</f>
        <v/>
      </c>
      <c r="S153" s="6">
        <f>S150-S151</f>
        <v/>
      </c>
      <c r="T153" s="6">
        <f>T150-T151</f>
        <v/>
      </c>
      <c r="U153" s="6">
        <f>U150-U151</f>
        <v/>
      </c>
      <c r="V153" s="6">
        <f>V150-V151</f>
        <v/>
      </c>
      <c r="W153" s="6">
        <f>W150-W151</f>
        <v/>
      </c>
      <c r="X153" s="6">
        <f>X150-X151</f>
        <v/>
      </c>
      <c r="Y153" s="6">
        <f>Y150-Y151</f>
        <v/>
      </c>
      <c r="Z153" s="6">
        <f>Z150-Z151</f>
        <v/>
      </c>
      <c r="AA153" s="6">
        <f>AA150-AA151</f>
        <v/>
      </c>
    </row>
    <row r="154">
      <c r="A154" t="inlineStr">
        <is>
          <t>Penghematan kumulatif C vs A (Rp)</t>
        </is>
      </c>
      <c r="D154" s="6">
        <f>D150-D152</f>
        <v/>
      </c>
      <c r="E154" s="6">
        <f>E150-E152</f>
        <v/>
      </c>
      <c r="F154" s="6">
        <f>F150-F152</f>
        <v/>
      </c>
      <c r="G154" s="6">
        <f>G150-G152</f>
        <v/>
      </c>
      <c r="H154" s="6">
        <f>H150-H152</f>
        <v/>
      </c>
      <c r="I154" s="6">
        <f>I150-I152</f>
        <v/>
      </c>
      <c r="J154" s="6">
        <f>J150-J152</f>
        <v/>
      </c>
      <c r="K154" s="6">
        <f>K150-K152</f>
        <v/>
      </c>
      <c r="L154" s="6">
        <f>L150-L152</f>
        <v/>
      </c>
      <c r="M154" s="6">
        <f>M150-M152</f>
        <v/>
      </c>
      <c r="N154" s="6">
        <f>N150-N152</f>
        <v/>
      </c>
      <c r="O154" s="6">
        <f>O150-O152</f>
        <v/>
      </c>
      <c r="P154" s="6">
        <f>P150-P152</f>
        <v/>
      </c>
      <c r="Q154" s="6">
        <f>Q150-Q152</f>
        <v/>
      </c>
      <c r="R154" s="6">
        <f>R150-R152</f>
        <v/>
      </c>
      <c r="S154" s="6">
        <f>S150-S152</f>
        <v/>
      </c>
      <c r="T154" s="6">
        <f>T150-T152</f>
        <v/>
      </c>
      <c r="U154" s="6">
        <f>U150-U152</f>
        <v/>
      </c>
      <c r="V154" s="6">
        <f>V150-V152</f>
        <v/>
      </c>
      <c r="W154" s="6">
        <f>W150-W152</f>
        <v/>
      </c>
      <c r="X154" s="6">
        <f>X150-X152</f>
        <v/>
      </c>
      <c r="Y154" s="6">
        <f>Y150-Y152</f>
        <v/>
      </c>
      <c r="Z154" s="6">
        <f>Z150-Z152</f>
        <v/>
      </c>
      <c r="AA154" s="6">
        <f>AA150-AA152</f>
        <v/>
      </c>
    </row>
    <row r="155">
      <c r="A155" t="inlineStr">
        <is>
          <t>Penghematan kumulatif B vs A (%)</t>
        </is>
      </c>
      <c r="D155" s="7">
        <f>IF(D150=0,0,(D150-D151)/D150)</f>
        <v/>
      </c>
      <c r="E155" s="7">
        <f>IF(E150=0,0,(E150-E151)/E150)</f>
        <v/>
      </c>
      <c r="F155" s="7">
        <f>IF(F150=0,0,(F150-F151)/F150)</f>
        <v/>
      </c>
      <c r="G155" s="7">
        <f>IF(G150=0,0,(G150-G151)/G150)</f>
        <v/>
      </c>
      <c r="H155" s="7">
        <f>IF(H150=0,0,(H150-H151)/H150)</f>
        <v/>
      </c>
      <c r="I155" s="7">
        <f>IF(I150=0,0,(I150-I151)/I150)</f>
        <v/>
      </c>
      <c r="J155" s="7">
        <f>IF(J150=0,0,(J150-J151)/J150)</f>
        <v/>
      </c>
      <c r="K155" s="7">
        <f>IF(K150=0,0,(K150-K151)/K150)</f>
        <v/>
      </c>
      <c r="L155" s="7">
        <f>IF(L150=0,0,(L150-L151)/L150)</f>
        <v/>
      </c>
      <c r="M155" s="7">
        <f>IF(M150=0,0,(M150-M151)/M150)</f>
        <v/>
      </c>
      <c r="N155" s="7">
        <f>IF(N150=0,0,(N150-N151)/N150)</f>
        <v/>
      </c>
      <c r="O155" s="7">
        <f>IF(O150=0,0,(O150-O151)/O150)</f>
        <v/>
      </c>
      <c r="P155" s="7">
        <f>IF(P150=0,0,(P150-P151)/P150)</f>
        <v/>
      </c>
      <c r="Q155" s="7">
        <f>IF(Q150=0,0,(Q150-Q151)/Q150)</f>
        <v/>
      </c>
      <c r="R155" s="7">
        <f>IF(R150=0,0,(R150-R151)/R150)</f>
        <v/>
      </c>
      <c r="S155" s="7">
        <f>IF(S150=0,0,(S150-S151)/S150)</f>
        <v/>
      </c>
      <c r="T155" s="7">
        <f>IF(T150=0,0,(T150-T151)/T150)</f>
        <v/>
      </c>
      <c r="U155" s="7">
        <f>IF(U150=0,0,(U150-U151)/U150)</f>
        <v/>
      </c>
      <c r="V155" s="7">
        <f>IF(V150=0,0,(V150-V151)/V150)</f>
        <v/>
      </c>
      <c r="W155" s="7">
        <f>IF(W150=0,0,(W150-W151)/W150)</f>
        <v/>
      </c>
      <c r="X155" s="7">
        <f>IF(X150=0,0,(X150-X151)/X150)</f>
        <v/>
      </c>
      <c r="Y155" s="7">
        <f>IF(Y150=0,0,(Y150-Y151)/Y150)</f>
        <v/>
      </c>
      <c r="Z155" s="7">
        <f>IF(Z150=0,0,(Z150-Z151)/Z150)</f>
        <v/>
      </c>
      <c r="AA155" s="7">
        <f>IF(AA150=0,0,(AA150-AA151)/AA150)</f>
        <v/>
      </c>
    </row>
    <row r="156">
      <c r="A156" t="inlineStr">
        <is>
          <t>Penghematan kumulatif C vs A (%)</t>
        </is>
      </c>
      <c r="D156" s="7">
        <f>IF(D150=0,0,(D150-D152)/D150)</f>
        <v/>
      </c>
      <c r="E156" s="7">
        <f>IF(E150=0,0,(E150-E152)/E150)</f>
        <v/>
      </c>
      <c r="F156" s="7">
        <f>IF(F150=0,0,(F150-F152)/F150)</f>
        <v/>
      </c>
      <c r="G156" s="7">
        <f>IF(G150=0,0,(G150-G152)/G150)</f>
        <v/>
      </c>
      <c r="H156" s="7">
        <f>IF(H150=0,0,(H150-H152)/H150)</f>
        <v/>
      </c>
      <c r="I156" s="7">
        <f>IF(I150=0,0,(I150-I152)/I150)</f>
        <v/>
      </c>
      <c r="J156" s="7">
        <f>IF(J150=0,0,(J150-J152)/J150)</f>
        <v/>
      </c>
      <c r="K156" s="7">
        <f>IF(K150=0,0,(K150-K152)/K150)</f>
        <v/>
      </c>
      <c r="L156" s="7">
        <f>IF(L150=0,0,(L150-L152)/L150)</f>
        <v/>
      </c>
      <c r="M156" s="7">
        <f>IF(M150=0,0,(M150-M152)/M150)</f>
        <v/>
      </c>
      <c r="N156" s="7">
        <f>IF(N150=0,0,(N150-N152)/N150)</f>
        <v/>
      </c>
      <c r="O156" s="7">
        <f>IF(O150=0,0,(O150-O152)/O150)</f>
        <v/>
      </c>
      <c r="P156" s="7">
        <f>IF(P150=0,0,(P150-P152)/P150)</f>
        <v/>
      </c>
      <c r="Q156" s="7">
        <f>IF(Q150=0,0,(Q150-Q152)/Q150)</f>
        <v/>
      </c>
      <c r="R156" s="7">
        <f>IF(R150=0,0,(R150-R152)/R150)</f>
        <v/>
      </c>
      <c r="S156" s="7">
        <f>IF(S150=0,0,(S150-S152)/S150)</f>
        <v/>
      </c>
      <c r="T156" s="7">
        <f>IF(T150=0,0,(T150-T152)/T150)</f>
        <v/>
      </c>
      <c r="U156" s="7">
        <f>IF(U150=0,0,(U150-U152)/U150)</f>
        <v/>
      </c>
      <c r="V156" s="7">
        <f>IF(V150=0,0,(V150-V152)/V150)</f>
        <v/>
      </c>
      <c r="W156" s="7">
        <f>IF(W150=0,0,(W150-W152)/W150)</f>
        <v/>
      </c>
      <c r="X156" s="7">
        <f>IF(X150=0,0,(X150-X152)/X150)</f>
        <v/>
      </c>
      <c r="Y156" s="7">
        <f>IF(Y150=0,0,(Y150-Y152)/Y150)</f>
        <v/>
      </c>
      <c r="Z156" s="7">
        <f>IF(Z150=0,0,(Z150-Z152)/Z150)</f>
        <v/>
      </c>
      <c r="AA156" s="7">
        <f>IF(AA150=0,0,(AA150-AA152)/AA150)</f>
        <v/>
      </c>
    </row>
    <row r="158">
      <c r="A158" s="12" t="inlineStr">
        <is>
          <t>Titik impas Skenario B (bulan pertama kumulatif B &lt; kumulatif A)</t>
        </is>
      </c>
      <c r="D158" s="12">
        <f>IFERROR(MATCH(TRUE,INDEX(D153:AA153&gt;0,0),0),"tidak tercapai dalam 24 bulan")</f>
        <v/>
      </c>
    </row>
    <row r="159">
      <c r="A159" s="12" t="inlineStr">
        <is>
          <t>Titik impas Skenario C (bulan pertama kumulatif C &lt; kumulatif A)</t>
        </is>
      </c>
      <c r="D159" s="12">
        <f>IFERROR(MATCH(TRUE,INDEX(D154:AA154&gt;0,0),0),"tidak tercapai dalam 24 bulan")</f>
        <v/>
      </c>
    </row>
    <row r="161">
      <c r="A161" s="3" t="inlineStr">
        <is>
          <t>TOTAL 24 BULAN</t>
        </is>
      </c>
    </row>
    <row r="162">
      <c r="A162" t="inlineStr">
        <is>
          <t>Biaya SDM 24 bulan - A</t>
        </is>
      </c>
      <c r="D162" s="6">
        <f>SUM(D133:AA133)</f>
        <v/>
      </c>
    </row>
    <row r="163">
      <c r="A163" t="inlineStr">
        <is>
          <t>Biaya SDM 24 bulan - B</t>
        </is>
      </c>
      <c r="D163" s="6">
        <f>SUM(D134:AA134)</f>
        <v/>
      </c>
    </row>
    <row r="164">
      <c r="A164" t="inlineStr">
        <is>
          <t>Biaya SDM 24 bulan - C</t>
        </is>
      </c>
      <c r="D164" s="6">
        <f>SUM(D135:AA135)</f>
        <v/>
      </c>
    </row>
    <row r="165">
      <c r="A165" t="inlineStr">
        <is>
          <t>Biaya AI 24 bulan - B (termasuk implementasi)</t>
        </is>
      </c>
      <c r="D165" s="6">
        <f>SUM(D142:AA142)+SUM(D144:AA144)</f>
        <v/>
      </c>
    </row>
    <row r="166">
      <c r="A166" t="inlineStr">
        <is>
          <t>Biaya AI 24 bulan - C (termasuk implementasi)</t>
        </is>
      </c>
      <c r="D166" s="6">
        <f>SUM(D143:AA143)+SUM(D144:AA144)</f>
        <v/>
      </c>
    </row>
    <row r="167">
      <c r="A167" s="12" t="inlineStr">
        <is>
          <t>TOTAL 24 BULAN - A (Rp)</t>
        </is>
      </c>
      <c r="D167" s="13">
        <f>AA150</f>
        <v/>
      </c>
    </row>
    <row r="168">
      <c r="A168" s="12" t="inlineStr">
        <is>
          <t>TOTAL 24 BULAN - B (Rp)</t>
        </is>
      </c>
      <c r="D168" s="13">
        <f>AA151</f>
        <v/>
      </c>
    </row>
    <row r="169">
      <c r="A169" s="12" t="inlineStr">
        <is>
          <t>TOTAL 24 BULAN - C (Rp)</t>
        </is>
      </c>
      <c r="D169" s="13">
        <f>AA152</f>
        <v/>
      </c>
    </row>
    <row r="170">
      <c r="A170" s="12" t="inlineStr">
        <is>
          <t>Penghematan 24 bulan B vs A (Rp / %)</t>
        </is>
      </c>
      <c r="D170" s="6">
        <f>D167-D168</f>
        <v/>
      </c>
      <c r="E170" s="7">
        <f>(D167-D168)/D167</f>
        <v/>
      </c>
    </row>
    <row r="171">
      <c r="A171" s="12" t="inlineStr">
        <is>
          <t>Penghematan 24 bulan C vs A (Rp / %)</t>
        </is>
      </c>
      <c r="D171" s="6">
        <f>D167-D169</f>
        <v/>
      </c>
      <c r="E171" s="7">
        <f>(D167-D169)/D167</f>
        <v/>
      </c>
    </row>
    <row r="172">
      <c r="A172" s="12" t="inlineStr">
        <is>
          <t>Pengurangan headcount pada bulan 24 (B / C)</t>
        </is>
      </c>
      <c r="D172" s="6">
        <f>AA130-AA131</f>
        <v/>
      </c>
      <c r="E172" s="6">
        <f>AA130-AA132</f>
        <v/>
      </c>
    </row>
    <row r="173">
      <c r="A173" s="21" t="inlineStr">
        <is>
          <t>UJI: Total SDM 24 bulan Skenario A harus sama dengan model lama Rp11.689.208.853 (selisih 0)</t>
        </is>
      </c>
      <c r="D173" s="23">
        <f>SUM(D133:AA133)-11689208853</f>
        <v/>
      </c>
    </row>
    <row r="174">
      <c r="A174" s="8" t="inlineStr">
        <is>
          <t>Catatan: total 24 bulan Skenario A pada lembar ini (SDM + non-gaji) berbeda sekitar Rp11,2 juta dari angka Rp13.616.258.853 pada model lama. Penyebabnya tunggal dan diketahui: model lama menghitung biaya kursi kantor hanya untuk karyawan non-Remote dan memakai tarif Padang yang berbeda, sedangkan lembar ini memakai tarif non-gaji rata-rata per orang per fase agar dapat diskalakan ke headcount Skenario B dan C. Selisih 0,08% ini tidak mengubah kesimpulan mana pun.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30" customWidth="1" min="4" max="4"/>
    <col width="24" customWidth="1" min="5" max="5"/>
    <col width="30" customWidth="1" min="6" max="6"/>
    <col width="26" customWidth="1" min="7" max="7"/>
    <col width="44" customWidth="1" min="8" max="8"/>
  </cols>
  <sheetData>
    <row r="1">
      <c r="A1" s="1" t="inlineStr">
        <is>
          <t>AntarKita - Analisis Sensitivitas Skenario B (Hibrida)</t>
        </is>
      </c>
    </row>
    <row r="2">
      <c r="A2" t="inlineStr">
        <is>
          <t>Semua tabel di bawah adalah rumus hidup terhadap blok asumsi lembar 'Tumpukan Tool AI'. Ubah asumsi di sana, angka di sini ikut berubah.</t>
        </is>
      </c>
    </row>
    <row r="4">
      <c r="A4" s="3" t="inlineStr">
        <is>
          <t>A. HARGA TOKEN LLM NAIK / TURUN (dampak pada biaya AI Fase 2 dan total bulanan Skenario B)</t>
        </is>
      </c>
    </row>
    <row r="5">
      <c r="A5" s="5" t="inlineStr">
        <is>
          <t>Pengali harga token</t>
        </is>
      </c>
      <c r="B5" s="5" t="inlineStr">
        <is>
          <t>Biaya LLM/bulan Fase 2 (Rp)</t>
        </is>
      </c>
      <c r="C5" s="5" t="inlineStr">
        <is>
          <t>Total biaya AI/bulan Fase 2 (Rp)</t>
        </is>
      </c>
      <c r="D5" s="5" t="inlineStr">
        <is>
          <t>Total biaya bulanan Skenario B Fase 2 (Rp)</t>
        </is>
      </c>
      <c r="E5" s="5" t="inlineStr">
        <is>
          <t>Penghematan vs A (%)</t>
        </is>
      </c>
      <c r="F5" s="5" t="inlineStr">
        <is>
          <t>Catatan</t>
        </is>
      </c>
    </row>
    <row r="6">
      <c r="A6" s="26" t="n">
        <v>0.5</v>
      </c>
      <c r="B6" s="6">
        <f>'Tumpukan Tool AI'!$J$56*A6</f>
        <v/>
      </c>
      <c r="C6" s="6">
        <f>AI_B_F2-'Tumpukan Tool AI'!$J$56+B6</f>
        <v/>
      </c>
      <c r="D6" s="6">
        <f>'Skenario A B C'!M50+'Skenario A B C'!M51+C6</f>
        <v/>
      </c>
      <c r="E6" s="7">
        <f>('Skenario A B C'!L53-D6)/'Skenario A B C'!L53</f>
        <v/>
      </c>
      <c r="F6" t="inlineStr">
        <is>
          <t>harga token turun separuh (tren historis)</t>
        </is>
      </c>
    </row>
    <row r="7">
      <c r="A7" s="26" t="n">
        <v>1</v>
      </c>
      <c r="B7" s="6">
        <f>'Tumpukan Tool AI'!$J$56*A7</f>
        <v/>
      </c>
      <c r="C7" s="6">
        <f>AI_B_F2-'Tumpukan Tool AI'!$J$56+B7</f>
        <v/>
      </c>
      <c r="D7" s="6">
        <f>'Skenario A B C'!M50+'Skenario A B C'!M51+C7</f>
        <v/>
      </c>
      <c r="E7" s="7">
        <f>('Skenario A B C'!L53-D7)/'Skenario A B C'!L53</f>
        <v/>
      </c>
      <c r="F7" t="inlineStr">
        <is>
          <t>harga terverifikasi 7 Sep 2026 [S-62]</t>
        </is>
      </c>
    </row>
    <row r="8">
      <c r="A8" s="26" t="n">
        <v>2</v>
      </c>
      <c r="B8" s="6">
        <f>'Tumpukan Tool AI'!$J$56*A8</f>
        <v/>
      </c>
      <c r="C8" s="6">
        <f>AI_B_F2-'Tumpukan Tool AI'!$J$56+B8</f>
        <v/>
      </c>
      <c r="D8" s="6">
        <f>'Skenario A B C'!M50+'Skenario A B C'!M51+C8</f>
        <v/>
      </c>
      <c r="E8" s="7">
        <f>('Skenario A B C'!L53-D8)/'Skenario A B C'!L53</f>
        <v/>
      </c>
      <c r="F8" t="inlineStr">
        <is>
          <t>harga token naik 2x</t>
        </is>
      </c>
    </row>
    <row r="9">
      <c r="A9" s="26" t="n">
        <v>4</v>
      </c>
      <c r="B9" s="6">
        <f>'Tumpukan Tool AI'!$J$56*A9</f>
        <v/>
      </c>
      <c r="C9" s="6">
        <f>AI_B_F2-'Tumpukan Tool AI'!$J$56+B9</f>
        <v/>
      </c>
      <c r="D9" s="6">
        <f>'Skenario A B C'!M50+'Skenario A B C'!M51+C9</f>
        <v/>
      </c>
      <c r="E9" s="7">
        <f>('Skenario A B C'!L53-D9)/'Skenario A B C'!L53</f>
        <v/>
      </c>
      <c r="F9" t="inlineStr">
        <is>
          <t>harga token naik 4x - skenario guncangan</t>
        </is>
      </c>
    </row>
    <row r="10">
      <c r="A10" s="21" t="inlineStr">
        <is>
          <t>Kesimpulan: harga token BUKAN tuas utama. Bahkan pada kenaikan 4x, penghematan Skenario B hampir tidak berubah karena biaya token &lt; 1% total biaya bulanan.</t>
        </is>
      </c>
    </row>
    <row r="13">
      <c r="A13" s="3" t="inlineStr">
        <is>
          <t>B. TINGKAT DEFLECTION AGEN CS (dampak pada beban tiket manusia dan jumlah CS Agent minimum)</t>
        </is>
      </c>
    </row>
    <row r="14">
      <c r="A14" s="5" t="inlineStr">
        <is>
          <t>Deflection</t>
        </is>
      </c>
      <c r="B14" s="5" t="inlineStr">
        <is>
          <t>Tiket/bulan Fase 2</t>
        </is>
      </c>
      <c r="C14" s="5" t="inlineStr">
        <is>
          <t>Tiket dieskalasi ke manusia/bulan</t>
        </is>
      </c>
      <c r="D14" s="5" t="inlineStr">
        <is>
          <t>Tiket eskalasi per hari</t>
        </is>
      </c>
      <c r="E14" s="5" t="inlineStr">
        <is>
          <t>CS Agent minimum menurut BEBAN (30 tiket/agen/hari)</t>
        </is>
      </c>
      <c r="F14" s="5" t="inlineStr">
        <is>
          <t>CS Agent minimum menurut CAKUPAN SHIFT (SOP-05)</t>
        </is>
      </c>
      <c r="G14" s="5" t="inlineStr">
        <is>
          <t>CS Agent yang harus dianggarkan</t>
        </is>
      </c>
      <c r="H14" s="5" t="inlineStr">
        <is>
          <t>Catatan</t>
        </is>
      </c>
    </row>
    <row r="15">
      <c r="A15" s="7" t="n">
        <v>0.4</v>
      </c>
      <c r="B15" s="6">
        <f>Order_Hari_F2*Hari_Bulan*Tiket_Per1000_Th2/1000</f>
        <v/>
      </c>
      <c r="C15" s="6">
        <f>B15*(1-A15)</f>
        <v/>
      </c>
      <c r="D15" s="27">
        <f>C15/Hari_Bulan</f>
        <v/>
      </c>
      <c r="E15" s="6">
        <f>ROUNDUP(D15/30,0)</f>
        <v/>
      </c>
      <c r="F15" t="n">
        <v>3</v>
      </c>
      <c r="G15" s="6">
        <f>MAX(E15,F15)</f>
        <v/>
      </c>
      <c r="H15" t="inlineStr">
        <is>
          <t>agen AI buruk / basis pengetahuan tidak dirawat</t>
        </is>
      </c>
    </row>
    <row r="16">
      <c r="A16" s="7" t="n">
        <v>0.5</v>
      </c>
      <c r="B16" s="6">
        <f>Order_Hari_F2*Hari_Bulan*Tiket_Per1000_Th2/1000</f>
        <v/>
      </c>
      <c r="C16" s="6">
        <f>B16*(1-A16)</f>
        <v/>
      </c>
      <c r="D16" s="27">
        <f>C16/Hari_Bulan</f>
        <v/>
      </c>
      <c r="E16" s="6">
        <f>ROUNDUP(D16/30,0)</f>
        <v/>
      </c>
      <c r="F16" t="n">
        <v>3</v>
      </c>
      <c r="G16" s="6">
        <f>MAX(E16,F16)</f>
        <v/>
      </c>
      <c r="H16" t="inlineStr">
        <is>
          <t>batas bawah rentang wajar</t>
        </is>
      </c>
    </row>
    <row r="17">
      <c r="A17" s="7" t="n">
        <v>0.6</v>
      </c>
      <c r="B17" s="6">
        <f>Order_Hari_F2*Hari_Bulan*Tiket_Per1000_Th2/1000</f>
        <v/>
      </c>
      <c r="C17" s="6">
        <f>B17*(1-A17)</f>
        <v/>
      </c>
      <c r="D17" s="27">
        <f>C17/Hari_Bulan</f>
        <v/>
      </c>
      <c r="E17" s="6">
        <f>ROUNDUP(D17/30,0)</f>
        <v/>
      </c>
      <c r="F17" t="n">
        <v>3</v>
      </c>
      <c r="G17" s="6">
        <f>MAX(E17,F17)</f>
        <v/>
      </c>
      <c r="H17" t="inlineStr">
        <is>
          <t>[ASUMSI] dasar model ini</t>
        </is>
      </c>
    </row>
    <row r="18">
      <c r="A18" s="7" t="n">
        <v>0.7</v>
      </c>
      <c r="B18" s="6">
        <f>Order_Hari_F2*Hari_Bulan*Tiket_Per1000_Th2/1000</f>
        <v/>
      </c>
      <c r="C18" s="6">
        <f>B18*(1-A18)</f>
        <v/>
      </c>
      <c r="D18" s="27">
        <f>C18/Hari_Bulan</f>
        <v/>
      </c>
      <c r="E18" s="6">
        <f>ROUNDUP(D18/30,0)</f>
        <v/>
      </c>
      <c r="F18" t="n">
        <v>3</v>
      </c>
      <c r="G18" s="6">
        <f>MAX(E18,F18)</f>
        <v/>
      </c>
      <c r="H18" t="inlineStr">
        <is>
          <t>batas atas rentang wajar</t>
        </is>
      </c>
    </row>
    <row r="19">
      <c r="A19" s="7" t="n">
        <v>0.9</v>
      </c>
      <c r="B19" s="6">
        <f>Order_Hari_F2*Hari_Bulan*Tiket_Per1000_Th2/1000</f>
        <v/>
      </c>
      <c r="C19" s="6">
        <f>B19*(1-A19)</f>
        <v/>
      </c>
      <c r="D19" s="27">
        <f>C19/Hari_Bulan</f>
        <v/>
      </c>
      <c r="E19" s="6">
        <f>ROUNDUP(D19/30,0)</f>
        <v/>
      </c>
      <c r="F19" t="n">
        <v>3</v>
      </c>
      <c r="G19" s="6">
        <f>MAX(E19,F19)</f>
        <v/>
      </c>
      <c r="H19" t="inlineStr">
        <is>
          <t>klaim pemasaran vendor - JANGAN dipakai untuk anggaran</t>
        </is>
      </c>
    </row>
    <row r="20" ht="48" customHeight="1">
      <c r="A20" s="8" t="inlineStr">
        <is>
          <t>Kesimpulan yang menentukan: pada seluruh rentang deflection yang wajar, jumlah CS Agent ditentukan oleh CAKUPAN SHIFT, bukan oleh beban tiket. SOP-05 mewajibkan manusia menerima peringatan darurat dalam 15 menit sepanjang 24 jam di dua kota; itulah lantai 3 orang. Konsekuensinya: menaikkan deflection dari 60% ke 90% TIDAK menghemat satu rupiah pun pada biaya CS. Klaim penghematan CS yang melebihi angka ini harus ditolak.</t>
        </is>
      </c>
    </row>
    <row r="23">
      <c r="A23" s="3" t="inlineStr">
        <is>
          <t>C. PERTUMBUHAN VOLUME ORDER (dampak pada biaya AI variabel dan kapan otomasi kewalahan)</t>
        </is>
      </c>
    </row>
    <row r="24">
      <c r="A24" s="5" t="inlineStr">
        <is>
          <t>Pengali target order/hari akhir Fase 2</t>
        </is>
      </c>
      <c r="B24" s="5" t="inlineStr">
        <is>
          <t>Order/hari</t>
        </is>
      </c>
      <c r="C24" s="5" t="inlineStr">
        <is>
          <t>Tiket/hari</t>
        </is>
      </c>
      <c r="D24" s="5" t="inlineStr">
        <is>
          <t>Tiket eskalasi/hari (deflection dasar)</t>
        </is>
      </c>
      <c r="E24" s="5" t="inlineStr">
        <is>
          <t>CS Agent dibutuhkan</t>
        </is>
      </c>
      <c r="F24" s="5" t="inlineStr">
        <is>
          <t>Biaya AI variabel/bulan (Rp)</t>
        </is>
      </c>
      <c r="G24" s="5" t="inlineStr">
        <is>
          <t>Total biaya AI/bulan (Rp)</t>
        </is>
      </c>
      <c r="H24" s="5" t="inlineStr">
        <is>
          <t>Status</t>
        </is>
      </c>
    </row>
    <row r="25">
      <c r="A25" s="26" t="n">
        <v>0.5</v>
      </c>
      <c r="B25" s="6">
        <f>Order_Hari_F2*A25</f>
        <v/>
      </c>
      <c r="C25" s="27">
        <f>B25*Tiket_Per1000_Th2/1000</f>
        <v/>
      </c>
      <c r="D25" s="27">
        <f>C25*(1-Deflection_CS)</f>
        <v/>
      </c>
      <c r="E25" s="6">
        <f>MAX(3,ROUNDUP(D25/30,0))</f>
        <v/>
      </c>
      <c r="F25" s="6">
        <f>AI_Var_F2*A25</f>
        <v/>
      </c>
      <c r="G25" s="6">
        <f>AI_Var_F2*A25+AI_Tetap_F2+AI_Sembunyi_F2</f>
        <v/>
      </c>
      <c r="H25" t="inlineStr">
        <is>
          <t>target meleset separuh</t>
        </is>
      </c>
    </row>
    <row r="26">
      <c r="A26" s="26" t="n">
        <v>1</v>
      </c>
      <c r="B26" s="6">
        <f>Order_Hari_F2*A26</f>
        <v/>
      </c>
      <c r="C26" s="27">
        <f>B26*Tiket_Per1000_Th2/1000</f>
        <v/>
      </c>
      <c r="D26" s="27">
        <f>C26*(1-Deflection_CS)</f>
        <v/>
      </c>
      <c r="E26" s="6">
        <f>MAX(3,ROUNDUP(D26/30,0))</f>
        <v/>
      </c>
      <c r="F26" s="6">
        <f>AI_Var_F2*A26</f>
        <v/>
      </c>
      <c r="G26" s="6">
        <f>AI_Var_F2*A26+AI_Tetap_F2+AI_Sembunyi_F2</f>
        <v/>
      </c>
      <c r="H26" t="inlineStr">
        <is>
          <t>target Bab 5</t>
        </is>
      </c>
    </row>
    <row r="27">
      <c r="A27" s="26" t="n">
        <v>1.5</v>
      </c>
      <c r="B27" s="6">
        <f>Order_Hari_F2*A27</f>
        <v/>
      </c>
      <c r="C27" s="27">
        <f>B27*Tiket_Per1000_Th2/1000</f>
        <v/>
      </c>
      <c r="D27" s="27">
        <f>C27*(1-Deflection_CS)</f>
        <v/>
      </c>
      <c r="E27" s="6">
        <f>MAX(3,ROUNDUP(D27/30,0))</f>
        <v/>
      </c>
      <c r="F27" s="6">
        <f>AI_Var_F2*A27</f>
        <v/>
      </c>
      <c r="G27" s="6">
        <f>AI_Var_F2*A27+AI_Tetap_F2+AI_Sembunyi_F2</f>
        <v/>
      </c>
      <c r="H27" t="inlineStr">
        <is>
          <t>tumbuh 50% di atas target</t>
        </is>
      </c>
    </row>
    <row r="28">
      <c r="A28" s="26" t="n">
        <v>2</v>
      </c>
      <c r="B28" s="6">
        <f>Order_Hari_F2*A28</f>
        <v/>
      </c>
      <c r="C28" s="27">
        <f>B28*Tiket_Per1000_Th2/1000</f>
        <v/>
      </c>
      <c r="D28" s="27">
        <f>C28*(1-Deflection_CS)</f>
        <v/>
      </c>
      <c r="E28" s="6">
        <f>MAX(3,ROUNDUP(D28/30,0))</f>
        <v/>
      </c>
      <c r="F28" s="6">
        <f>AI_Var_F2*A28</f>
        <v/>
      </c>
      <c r="G28" s="6">
        <f>AI_Var_F2*A28+AI_Tetap_F2+AI_Sembunyi_F2</f>
        <v/>
      </c>
      <c r="H28" t="inlineStr">
        <is>
          <t>tumbuh 2x target</t>
        </is>
      </c>
    </row>
    <row r="29">
      <c r="A29" s="26" t="n">
        <v>3</v>
      </c>
      <c r="B29" s="6">
        <f>Order_Hari_F2*A29</f>
        <v/>
      </c>
      <c r="C29" s="27">
        <f>B29*Tiket_Per1000_Th2/1000</f>
        <v/>
      </c>
      <c r="D29" s="27">
        <f>C29*(1-Deflection_CS)</f>
        <v/>
      </c>
      <c r="E29" s="6">
        <f>MAX(3,ROUNDUP(D29/30,0))</f>
        <v/>
      </c>
      <c r="F29" s="6">
        <f>AI_Var_F2*A29</f>
        <v/>
      </c>
      <c r="G29" s="6">
        <f>AI_Var_F2*A29+AI_Tetap_F2+AI_Sembunyi_F2</f>
        <v/>
      </c>
      <c r="H29" t="inlineStr">
        <is>
          <t>tumbuh 3x target</t>
        </is>
      </c>
    </row>
    <row r="31">
      <c r="A31" s="3" t="inlineStr">
        <is>
          <t>D. KURS DAN PAJAK (porsi biaya ke penyedia luar negeri)</t>
        </is>
      </c>
    </row>
    <row r="32">
      <c r="A32" s="5" t="inlineStr">
        <is>
          <t>Skenario kurs</t>
        </is>
      </c>
      <c r="B32" s="5" t="inlineStr">
        <is>
          <t>Kurs (Rp/USD)</t>
        </is>
      </c>
      <c r="C32" s="5" t="inlineStr">
        <is>
          <t>Biaya tool luar negeri/bulan Fase 2 (Rp)</t>
        </is>
      </c>
      <c r="D32" s="5" t="inlineStr">
        <is>
          <t>Total biaya AI/bulan Fase 2 (Rp)</t>
        </is>
      </c>
      <c r="E32" s="5" t="inlineStr">
        <is>
          <t>Selisih vs dasar (Rp)</t>
        </is>
      </c>
      <c r="F32" s="5" t="inlineStr">
        <is>
          <t>Catatan</t>
        </is>
      </c>
    </row>
    <row r="33">
      <c r="A33" t="inlineStr">
        <is>
          <t>Menguat 10%</t>
        </is>
      </c>
      <c r="B33" s="6" t="n">
        <v>15868</v>
      </c>
      <c r="C33" s="6">
        <f>'Tumpukan Tool AI'!$J$74*(1+PPN_PMSE+GrossUp_PPh26)*B33/Kurs</f>
        <v/>
      </c>
      <c r="D33" s="6">
        <f>AI_B_F2-'Tumpukan Tool AI'!$J$74*(1+PPN_PMSE+Buffer_Kurs+GrossUp_PPh26)+C33</f>
        <v/>
      </c>
      <c r="E33" s="6">
        <f>D33-AI_B_F2</f>
        <v/>
      </c>
      <c r="F33" t="inlineStr">
        <is>
          <t>[ASUMSI]</t>
        </is>
      </c>
    </row>
    <row r="34">
      <c r="A34" t="inlineStr">
        <is>
          <t>Dasar 4 Sep 2026</t>
        </is>
      </c>
      <c r="B34" s="6" t="n">
        <v>17631</v>
      </c>
      <c r="C34" s="6">
        <f>'Tumpukan Tool AI'!$J$74*(1+PPN_PMSE+GrossUp_PPh26)*B34/Kurs</f>
        <v/>
      </c>
      <c r="D34" s="6">
        <f>AI_B_F2-'Tumpukan Tool AI'!$J$74*(1+PPN_PMSE+Buffer_Kurs+GrossUp_PPh26)+C34</f>
        <v/>
      </c>
      <c r="E34" s="6">
        <f>D34-AI_B_F2</f>
        <v/>
      </c>
      <c r="F34" t="inlineStr">
        <is>
          <t>[S-74]</t>
        </is>
      </c>
    </row>
    <row r="35">
      <c r="A35" t="inlineStr">
        <is>
          <t>Melemah 15%</t>
        </is>
      </c>
      <c r="B35" s="6" t="n">
        <v>20276</v>
      </c>
      <c r="C35" s="6">
        <f>'Tumpukan Tool AI'!$J$74*(1+PPN_PMSE+GrossUp_PPh26)*B35/Kurs</f>
        <v/>
      </c>
      <c r="D35" s="6">
        <f>AI_B_F2-'Tumpukan Tool AI'!$J$74*(1+PPN_PMSE+Buffer_Kurs+GrossUp_PPh26)+C35</f>
        <v/>
      </c>
      <c r="E35" s="6">
        <f>D35-AI_B_F2</f>
        <v/>
      </c>
      <c r="F35" t="inlineStr">
        <is>
          <t>[ASUMSI]</t>
        </is>
      </c>
    </row>
    <row r="36">
      <c r="A36" t="inlineStr">
        <is>
          <t>Melemah 30%</t>
        </is>
      </c>
      <c r="B36" s="6" t="n">
        <v>22920</v>
      </c>
      <c r="C36" s="6">
        <f>'Tumpukan Tool AI'!$J$74*(1+PPN_PMSE+GrossUp_PPh26)*B36/Kurs</f>
        <v/>
      </c>
      <c r="D36" s="6">
        <f>AI_B_F2-'Tumpukan Tool AI'!$J$74*(1+PPN_PMSE+Buffer_Kurs+GrossUp_PPh26)+C36</f>
        <v/>
      </c>
      <c r="E36" s="6">
        <f>D36-AI_B_F2</f>
        <v/>
      </c>
      <c r="F36" t="inlineStr">
        <is>
          <t>[ASUMSI] guncangan</t>
        </is>
      </c>
    </row>
    <row r="39">
      <c r="A39" s="3" t="inlineStr">
        <is>
          <t>E. TUAS MANA YANG PALING MENENTUKAN (peringkat)</t>
        </is>
      </c>
    </row>
    <row r="40">
      <c r="A40" s="5" t="inlineStr">
        <is>
          <t>Peringkat</t>
        </is>
      </c>
      <c r="B40" s="5" t="inlineStr">
        <is>
          <t>Tuas</t>
        </is>
      </c>
      <c r="C40" s="5" t="inlineStr">
        <is>
          <t>Dampak pada total biaya 24 bulan</t>
        </is>
      </c>
      <c r="D40" s="5" t="inlineStr">
        <is>
          <t>Sifat</t>
        </is>
      </c>
    </row>
    <row r="41">
      <c r="A41" t="n">
        <v>1</v>
      </c>
      <c r="B41" t="inlineStr">
        <is>
          <t>Jumlah posisi yang benar-benar dipangkas (kolom POTONG)</t>
        </is>
      </c>
      <c r="C41" s="8" t="inlineStr">
        <is>
          <t>Sangat besar - setiap 1 posisi Mid teknologi = Rp15,6 juta/bulan</t>
        </is>
      </c>
      <c r="D41" t="inlineStr">
        <is>
          <t>Keputusan Komisaris</t>
        </is>
      </c>
    </row>
    <row r="42">
      <c r="A42" t="n">
        <v>2</v>
      </c>
      <c r="B42" t="inlineStr">
        <is>
          <t>Jadwal rekrutmen (bulan mulai) posisi gelombang 2</t>
        </is>
      </c>
      <c r="C42" s="8" t="inlineStr">
        <is>
          <t>Besar - menunda 3 bulan setara memangkas 25% biaya posisi itu pada tahun berjalan</t>
        </is>
      </c>
      <c r="D42" t="inlineStr">
        <is>
          <t>Keputusan Dirut</t>
        </is>
      </c>
    </row>
    <row r="43">
      <c r="A43" t="n">
        <v>3</v>
      </c>
      <c r="B43" t="inlineStr">
        <is>
          <t>Biaya pemeliharaan otomasi (H-1) dan implementasi awal</t>
        </is>
      </c>
      <c r="C43" s="8" t="inlineStr">
        <is>
          <t>Sedang - Rp350 juta satu kali + Rp8-16 juta/bulan; sering diabaikan dalam usulan otomasi</t>
        </is>
      </c>
      <c r="D43" t="inlineStr">
        <is>
          <t>Fakta biaya</t>
        </is>
      </c>
    </row>
    <row r="44">
      <c r="A44" t="n">
        <v>4</v>
      </c>
      <c r="B44" t="inlineStr">
        <is>
          <t>Tingkat deflection CS</t>
        </is>
      </c>
      <c r="C44" s="8" t="inlineStr">
        <is>
          <t>Kecil pada biaya, besar pada mutu layanan - lihat tabel B</t>
        </is>
      </c>
      <c r="D44" t="inlineStr">
        <is>
          <t>Operasional</t>
        </is>
      </c>
    </row>
    <row r="45">
      <c r="A45" t="n">
        <v>5</v>
      </c>
      <c r="B45" t="inlineStr">
        <is>
          <t>Kurs USD/IDR</t>
        </is>
      </c>
      <c r="C45" s="8" t="inlineStr">
        <is>
          <t>Kecil - porsi luar negeri hanya sekitar 30% biaya tool</t>
        </is>
      </c>
      <c r="D45" t="inlineStr">
        <is>
          <t>Pasar</t>
        </is>
      </c>
    </row>
    <row r="46">
      <c r="A46" t="n">
        <v>6</v>
      </c>
      <c r="B46" t="inlineStr">
        <is>
          <t>Harga token LLM</t>
        </is>
      </c>
      <c r="C46" s="8" t="inlineStr">
        <is>
          <t>Sangat kecil - di bawah 1% total biaya bulanan</t>
        </is>
      </c>
      <c r="D46" t="inlineStr">
        <is>
          <t>Pasar</t>
        </is>
      </c>
    </row>
  </sheetData>
  <mergeCells count="1">
    <mergeCell ref="A20:H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  <col width="50" customWidth="1" min="4" max="4"/>
    <col width="14" customWidth="1" min="5" max="5"/>
  </cols>
  <sheetData>
    <row r="1">
      <c r="A1" s="1" t="inlineStr">
        <is>
          <t>AntarKita - Sumber, Asumsi, dan Keterbatasan Data</t>
        </is>
      </c>
    </row>
    <row r="2">
      <c r="A2" t="inlineStr">
        <is>
          <t>Penomoran melanjutkan Lampiran A manual organisasi (yang berakhir pada [S-61]) agar dapat dicocokkan silang. Seluruh sumber baru diakses 7 September 2026.</t>
        </is>
      </c>
    </row>
    <row r="4">
      <c r="A4" s="3" t="inlineStr">
        <is>
          <t>A. SUMBER HARGA &amp; REGULASI YANG DIVERIFIKASI</t>
        </is>
      </c>
    </row>
    <row r="5">
      <c r="A5" s="5" t="inlineStr">
        <is>
          <t>ID</t>
        </is>
      </c>
      <c r="B5" s="5" t="inlineStr">
        <is>
          <t>Isi yang dikutip</t>
        </is>
      </c>
      <c r="C5" s="5" t="inlineStr">
        <is>
          <t>Penerbit / halaman</t>
        </is>
      </c>
      <c r="D5" s="5" t="inlineStr">
        <is>
          <t>URL</t>
        </is>
      </c>
      <c r="E5" s="5" t="inlineStr">
        <is>
          <t>Tanggal akses</t>
        </is>
      </c>
    </row>
    <row r="6" ht="40" customHeight="1">
      <c r="A6" s="12" t="inlineStr">
        <is>
          <t>S-62</t>
        </is>
      </c>
      <c r="B6" s="4" t="inlineStr">
        <is>
          <t>Claude API: Haiku 4.5 USD 1 input / 5 output per juta token; Sonnet 5 USD 2/10; Opus 5 USD 5/25</t>
        </is>
      </c>
      <c r="C6" t="inlineStr">
        <is>
          <t>Anthropic - dokumentasi harga API</t>
        </is>
      </c>
      <c r="D6" t="inlineStr">
        <is>
          <t>https://platform.claude.com/docs/en/about-claude/pricing</t>
        </is>
      </c>
      <c r="E6" t="inlineStr">
        <is>
          <t>7 Sep 2026</t>
        </is>
      </c>
    </row>
    <row r="7" ht="40" customHeight="1">
      <c r="A7" s="12" t="inlineStr">
        <is>
          <t>S-63</t>
        </is>
      </c>
      <c r="B7" s="4" t="inlineStr">
        <is>
          <t>OpenAI API: GPT-5.6 Luna USD 0,20/1,20; Terra USD 2/12; Sol USD 5/30 per juta token</t>
        </is>
      </c>
      <c r="C7" t="inlineStr">
        <is>
          <t>OpenAI - halaman harga API</t>
        </is>
      </c>
      <c r="D7" t="inlineStr">
        <is>
          <t>https://openai.com/api/pricing/</t>
        </is>
      </c>
      <c r="E7" t="inlineStr">
        <is>
          <t>7 Sep 2026</t>
        </is>
      </c>
    </row>
    <row r="8" ht="40" customHeight="1">
      <c r="A8" s="12" t="inlineStr">
        <is>
          <t>S-64</t>
        </is>
      </c>
      <c r="B8" s="4" t="inlineStr">
        <is>
          <t>Gemini API: Gemini 3.8 Flash USD 0,75 input / 3,75 output per juta token sampai 31 Des 2026</t>
        </is>
      </c>
      <c r="C8" t="inlineStr">
        <is>
          <t>Google - Gemini API pricing</t>
        </is>
      </c>
      <c r="D8" t="inlineStr">
        <is>
          <t>https://ai.google.dev/gemini-api/docs/pricing</t>
        </is>
      </c>
      <c r="E8" t="inlineStr">
        <is>
          <t>7 Sep 2026</t>
        </is>
      </c>
    </row>
    <row r="9" ht="40" customHeight="1">
      <c r="A9" s="12" t="inlineStr">
        <is>
          <t>S-65</t>
        </is>
      </c>
      <c r="B9" s="4" t="inlineStr">
        <is>
          <t>Intercom Fin AI Agent USD 0,99 per hasil (resolution); kursi Essential USD 29 / Advanced USD 85 / Expert USD 132 per bulan</t>
        </is>
      </c>
      <c r="C9" t="inlineStr">
        <is>
          <t>Intercom - halaman harga</t>
        </is>
      </c>
      <c r="D9" t="inlineStr">
        <is>
          <t>https://www.intercom.com/pricing</t>
        </is>
      </c>
      <c r="E9" t="inlineStr">
        <is>
          <t>7 Sep 2026</t>
        </is>
      </c>
    </row>
    <row r="10" ht="40" customHeight="1">
      <c r="A10" s="12" t="inlineStr">
        <is>
          <t>S-66</t>
        </is>
      </c>
      <c r="B10" s="4" t="inlineStr">
        <is>
          <t>Zendesk Suite Team USD 55 dan Suite Professional USD 115 per agen per bulan (tagihan tahunan); agen AI ditagih per automated resolution, harga tidak dipublikasikan</t>
        </is>
      </c>
      <c r="C10" t="inlineStr">
        <is>
          <t>Zendesk - halaman harga</t>
        </is>
      </c>
      <c r="D10" t="inlineStr">
        <is>
          <t>https://www.zendesk.com/pricing/</t>
        </is>
      </c>
      <c r="E10" t="inlineStr">
        <is>
          <t>7 Sep 2026</t>
        </is>
      </c>
    </row>
    <row r="11" ht="40" customHeight="1">
      <c r="A11" s="12" t="inlineStr">
        <is>
          <t>S-67</t>
        </is>
      </c>
      <c r="B11" s="4" t="inlineStr">
        <is>
          <t>Alur KYC inti (verifikasi dokumen + passive liveness + kecocokan wajah 1:1) USD 0,33 per verifikasi; dengan penyaringan AML USD 0,53; 500 verifikasi gratis per bulan</t>
        </is>
      </c>
      <c r="C11" t="inlineStr">
        <is>
          <t>Didit - perbandingan biaya verifikasi identitas</t>
        </is>
      </c>
      <c r="D11" t="inlineStr">
        <is>
          <t>https://didit.me/id/blog/identity-verification-cost-comparison-ja/</t>
        </is>
      </c>
      <c r="E11" t="inlineStr">
        <is>
          <t>7 Sep 2026</t>
        </is>
      </c>
    </row>
    <row r="12" ht="40" customHeight="1">
      <c r="A12" s="12" t="inlineStr">
        <is>
          <t>S-68</t>
        </is>
      </c>
      <c r="B12" s="4" t="inlineStr">
        <is>
          <t>n8n Cloud: Starter EUR 20 (2.500 eksekusi), Pro EUR 50 (10.000), Business EUR 667 (40.000) per bulan; Community edition swakelola gratis</t>
        </is>
      </c>
      <c r="C12" t="inlineStr">
        <is>
          <t>n8n - halaman harga</t>
        </is>
      </c>
      <c r="D12" t="inlineStr">
        <is>
          <t>https://n8n.io/pricing/</t>
        </is>
      </c>
      <c r="E12" t="inlineStr">
        <is>
          <t>7 Sep 2026</t>
        </is>
      </c>
    </row>
    <row r="13" ht="40" customHeight="1">
      <c r="A13" s="12" t="inlineStr">
        <is>
          <t>S-69</t>
        </is>
      </c>
      <c r="B13" s="4" t="inlineStr">
        <is>
          <t>Metabase: open source gratis; Starter Cloud USD 100/bulan (5 pengguna) + USD 6 per pengguna tambahan; Pro USD 575/bulan; add-on token AI USD 3,75 per juta token</t>
        </is>
      </c>
      <c r="C13" t="inlineStr">
        <is>
          <t>Metabase - halaman harga</t>
        </is>
      </c>
      <c r="D13" t="inlineStr">
        <is>
          <t>https://www.metabase.com/pricing/</t>
        </is>
      </c>
      <c r="E13" t="inlineStr">
        <is>
          <t>7 Sep 2026</t>
        </is>
      </c>
    </row>
    <row r="14" ht="40" customHeight="1">
      <c r="A14" s="12" t="inlineStr">
        <is>
          <t>S-70</t>
        </is>
      </c>
      <c r="B14" s="4" t="inlineStr">
        <is>
          <t>GitHub Copilot: Free USD 0, Pro USD 10, Pro+ USD 39, Max USD 100 per pengguna per bulan</t>
        </is>
      </c>
      <c r="C14" t="inlineStr">
        <is>
          <t>GitHub - halaman paket Copilot</t>
        </is>
      </c>
      <c r="D14" t="inlineStr">
        <is>
          <t>https://github.com/features/copilot/plans</t>
        </is>
      </c>
      <c r="E14" t="inlineStr">
        <is>
          <t>7 Sep 2026</t>
        </is>
      </c>
    </row>
    <row r="15" ht="40" customHeight="1">
      <c r="A15" s="12" t="inlineStr">
        <is>
          <t>S-71</t>
        </is>
      </c>
      <c r="B15" s="4" t="inlineStr">
        <is>
          <t>Claude: Team USD 20 per kursi per bulan (tagihan tahunan) / USD 25 bulanan; kursi premium USD 100 tahunan / USD 125 bulanan; Enterprise USD 20 per kursi + pemakaian tarif API. Seluruh paket berbayar mencakup Claude Code</t>
        </is>
      </c>
      <c r="C15" t="inlineStr">
        <is>
          <t>Anthropic - halaman harga</t>
        </is>
      </c>
      <c r="D15" t="inlineStr">
        <is>
          <t>https://claude.com/pricing</t>
        </is>
      </c>
      <c r="E15" t="inlineStr">
        <is>
          <t>7 Sep 2026</t>
        </is>
      </c>
    </row>
    <row r="16" ht="40" customHeight="1">
      <c r="A16" s="12" t="inlineStr">
        <is>
          <t>S-72</t>
        </is>
      </c>
      <c r="B16" s="4" t="inlineStr">
        <is>
          <t>ElevenLabs: Free 10.000 kredit; Starter USD 6 (30.000); Creator USD 11 (121.000); Pro USD 99 (600.000); Scale USD 299 (1,8 juta); Business USD 990 (6 juta) per bulan</t>
        </is>
      </c>
      <c r="C16" t="inlineStr">
        <is>
          <t>ElevenLabs - halaman harga</t>
        </is>
      </c>
      <c r="D16" t="inlineStr">
        <is>
          <t>https://elevenlabs.io/pricing</t>
        </is>
      </c>
      <c r="E16" t="inlineStr">
        <is>
          <t>7 Sep 2026</t>
        </is>
      </c>
    </row>
    <row r="17" ht="40" customHeight="1">
      <c r="A17" s="12" t="inlineStr">
        <is>
          <t>S-73</t>
        </is>
      </c>
      <c r="B17" s="4" t="inlineStr">
        <is>
          <t>Tarif WhatsApp Business Platform Indonesia berlaku 1 Juli 2026: Marketing Rp586,33; Utility Rp356,65; Authentication domestik Rp356,65 per pesan. Pesan kategori Service (balasan dalam jendela layanan 24 jam) tidak berbiaya</t>
        </is>
      </c>
      <c r="C17" t="inlineStr">
        <is>
          <t>Cekat.ai, mengutip tarif resmi Meta</t>
        </is>
      </c>
      <c r="D17" t="inlineStr">
        <is>
          <t>https://cekat.ai/en/blog/harga-whatsapp-api-indonesia-2026</t>
        </is>
      </c>
      <c r="E17" t="inlineStr">
        <is>
          <t>7 Sep 2026</t>
        </is>
      </c>
    </row>
    <row r="18" ht="40" customHeight="1">
      <c r="A18" s="12" t="inlineStr">
        <is>
          <t>S-74</t>
        </is>
      </c>
      <c r="B18" s="4" t="inlineStr">
        <is>
          <t>Kurs USD/IDR 4 September 2026 = Rp17.631</t>
        </is>
      </c>
      <c r="C18" t="inlineStr">
        <is>
          <t>Exchange-Rates.org - riwayat kurs 2026</t>
        </is>
      </c>
      <c r="D18" t="inlineStr">
        <is>
          <t>https://www.exchange-rates.org/exchange-rate-history/usd-idr-2026</t>
        </is>
      </c>
      <c r="E18" t="inlineStr">
        <is>
          <t>7 Sep 2026</t>
        </is>
      </c>
    </row>
    <row r="19" ht="40" customHeight="1">
      <c r="A19" s="12" t="inlineStr">
        <is>
          <t>S-75</t>
        </is>
      </c>
      <c r="B19" s="4" t="inlineStr">
        <is>
          <t>PPN atas produk digital luar negeri (PMSE) 12% dengan DPP nilai lain 11/12 dari harga - efektif 11%. Dasar: UU HPP, PMK 131/2024, PER-12/PJ/2025</t>
        </is>
      </c>
      <c r="C19" t="inlineStr">
        <is>
          <t>MSM Consulting</t>
        </is>
      </c>
      <c r="D19" t="inlineStr">
        <is>
          <t>https://msmconsulting.co.id/news/190/aturan-ppn-pmse-terbaru-di-coretax-netflix-spotify-zoom</t>
        </is>
      </c>
      <c r="E19" t="inlineStr">
        <is>
          <t>7 Sep 2026</t>
        </is>
      </c>
    </row>
    <row r="20" ht="40" customHeight="1">
      <c r="A20" s="12" t="inlineStr">
        <is>
          <t>S-76</t>
        </is>
      </c>
      <c r="B20" s="4" t="inlineStr">
        <is>
          <t>PMK 49/2026 tentang Sistem Pemungutan Pajak atas Transaksi Digital Luar Negeri (SPP-TDLN) - ditetapkan 14 Juli 2026, berlaku 20 Juli 2026; bank dan lembaga pembayaran dapat ditunjuk sebagai pemungut</t>
        </is>
      </c>
      <c r="C20" t="inlineStr">
        <is>
          <t>PajakOnline.com</t>
        </is>
      </c>
      <c r="D20" t="inlineStr">
        <is>
          <t>https://www.pajakonline.com/pmk-49-2026-pemerintah-perkuat-pemungutan-ppn-atas-transaksi-digital-luar-negeri/</t>
        </is>
      </c>
      <c r="E20" t="inlineStr">
        <is>
          <t>7 Sep 2026</t>
        </is>
      </c>
    </row>
    <row r="21" ht="40" customHeight="1">
      <c r="A21" s="12" t="inlineStr">
        <is>
          <t>S-77</t>
        </is>
      </c>
      <c r="B21" s="4" t="inlineStr">
        <is>
          <t>PPh Pasal 26 = 20% dari penghasilan bruto atas pembayaran royalti/jasa/sewa kepada wajib pajak luar negeri; tarif dapat lebih rendah atau nihil dengan P3B sesuai PER-25/PJ/2018</t>
        </is>
      </c>
      <c r="C21" t="inlineStr">
        <is>
          <t>Ortax</t>
        </is>
      </c>
      <c r="D21" t="inlineStr">
        <is>
          <t>https://ortax.org/pph-pasal-26-subjek-objek-tarif-dan-kaitannya-dengan-tax-treaty</t>
        </is>
      </c>
      <c r="E21" t="inlineStr">
        <is>
          <t>7 Sep 2026</t>
        </is>
      </c>
    </row>
    <row r="22" ht="40" customHeight="1">
      <c r="A22" s="12" t="inlineStr">
        <is>
          <t>S-78</t>
        </is>
      </c>
      <c r="B22" s="4" t="inlineStr">
        <is>
          <t>UU 27/2022 Pasal 10 (hak keberatan atas keputusan yang hanya didasarkan pemrosesan otomatis termasuk pemrofilan, yang menimbulkan akibat hukum atau berdampak signifikan); Pasal 53 (kewajiban menunjuk pejabat/petugas pelindungan data pribadi); Pasal 56 (transfer data ke luar wilayah Indonesia wajib memastikan tingkat pelindungan setara atau lebih tinggi)</t>
        </is>
      </c>
      <c r="C22" t="inlineStr">
        <is>
          <t>Pasal.id - salinan UU No. 27 Tahun 2022</t>
        </is>
      </c>
      <c r="D22" t="inlineStr">
        <is>
          <t>https://pasal.id/peraturan/uu/uu-no-27-tahun-2022</t>
        </is>
      </c>
      <c r="E22" t="inlineStr">
        <is>
          <t>7 Sep 2026</t>
        </is>
      </c>
    </row>
    <row r="24">
      <c r="A24" s="3" t="inlineStr">
        <is>
          <t>B. SUMBER YANG DIWARISI DARI DOKUMEN LAMA (dipakai kembali tanpa perubahan)</t>
        </is>
      </c>
    </row>
    <row r="25">
      <c r="A25" s="12" t="inlineStr">
        <is>
          <t>[S-01][S-03] s.d. [S-06]</t>
        </is>
      </c>
      <c r="B25" t="inlineStr">
        <is>
          <t>UMK Pekanbaru Rp3.998.179,46 dan UMP Sumbar/Padang Rp3.182.955 tahun 2026</t>
        </is>
      </c>
    </row>
    <row r="26">
      <c r="A26" s="12" t="inlineStr">
        <is>
          <t>[S-07] s.d. [S-17]</t>
        </is>
      </c>
      <c r="B26" t="inlineStr">
        <is>
          <t>Tarif iuran BPJS Ketenagakerjaan &amp; Kesehatan, plafon upah, THR, PPh 21 TER</t>
        </is>
      </c>
    </row>
    <row r="27">
      <c r="A27" s="12" t="inlineStr">
        <is>
          <t>[S-25][S-26][S-27]</t>
        </is>
      </c>
      <c r="B27" t="inlineStr">
        <is>
          <t>Perpres 27/2026 - batas potongan aplikasi ojek roda dua maksimal 8% sejak 1 Juli 2026</t>
        </is>
      </c>
    </row>
    <row r="28">
      <c r="A28" s="12" t="inlineStr">
        <is>
          <t>[S-37][S-38][S-39]</t>
        </is>
      </c>
      <c r="B28" t="inlineStr">
        <is>
          <t>UU 27/2022 Pelindungan Data Pribadi dan Putusan MK 151/PUU-XXII/2024</t>
        </is>
      </c>
    </row>
    <row r="29">
      <c r="A29" s="12" t="inlineStr">
        <is>
          <t>[S-41][S-42][S-43]</t>
        </is>
      </c>
      <c r="B29" t="inlineStr">
        <is>
          <t>KBLI 53200 Aktivitas Kurir, modal minimum sektoral Rp500 juta, konversi KBLI 2025</t>
        </is>
      </c>
    </row>
    <row r="30">
      <c r="A30" s="12" t="inlineStr">
        <is>
          <t>[S-58][S-59]</t>
        </is>
      </c>
      <c r="B30" t="inlineStr">
        <is>
          <t>Rasio mitra aktif terhadap mitra terdaftar sekitar 20%; order per hari mitra roda dua</t>
        </is>
      </c>
    </row>
    <row r="32">
      <c r="A32" s="3" t="inlineStr">
        <is>
          <t>C. KETERBATASAN DATA - BACA SEBELUM MEMAKAI ANGKA MANA PUN</t>
        </is>
      </c>
    </row>
    <row r="33" ht="46" customHeight="1">
      <c r="A33" s="4" t="inlineStr">
        <is>
          <t>C.1  Seluruh volume order, tiket, mitra, dan merchant diturunkan dari target Bab 5 manual organisasi yang SELURUHNYA berlabel [ASUMSI] penyusun manual. AntarKita belum beroperasi komersial, sehingga tidak ada data historis. Bila target meleset separuh, biaya AI variabel turun separuh tetapi biaya tetap tidak - lihat lembar 'Sensitivitas' tabel C.</t>
        </is>
      </c>
    </row>
    <row r="34" ht="46" customHeight="1">
      <c r="A34" s="4" t="inlineStr">
        <is>
          <t>C.2  Harga T-04 (intelijen perangkat/fraud), T-08 (moderasi konten), T-11 (CI), T-12 (observability LLM), dan T-13 (residensi data) TIDAK dapat diverifikasi dari daftar harga publik karena berbasis kutipan. Angkanya adalah [ASUMSI] penyusun. Bersama-sama ia mencakup sekitar 40% biaya tool Fase 2 - ini keterbatasan terbesar pada berkas ini.</t>
        </is>
      </c>
    </row>
    <row r="35" ht="46" customHeight="1">
      <c r="A35" s="4" t="inlineStr">
        <is>
          <t>C.3  Tarif verifikasi identitas penyedia LOKAL berizin Rp10.000 adalah [ASUMSI]. Tidak ditemukan daftar harga publik Verihubs, Privy, atau VIDA. Pembanding terverifikasi hanya penyedia luar negeri (Didit USD 0,33 [S-67]) yang justru TIDAK direkomendasikan karena memicu Pasal 56 UU PDP.</t>
        </is>
      </c>
    </row>
    <row r="36" ht="46" customHeight="1">
      <c r="A36" s="4" t="inlineStr">
        <is>
          <t>C.4  Tingkat deflection CS 60% adalah [ASUMSI]. Tidak ada tolok ukur publik untuk agen CS berbahasa Indonesia pada layanan ride-hailing. Rentang 50-70% dipakai sebagai batas kewajaran; klaim vendor 90%+ sengaja tidak dipakai.</t>
        </is>
      </c>
    </row>
    <row r="37" ht="46" customHeight="1">
      <c r="A37" s="4" t="inlineStr">
        <is>
          <t>C.5  Biaya implementasi Rp250 juta dan DPIA Rp100 juta adalah [ASUMSI]. Tarif internal Rp97.504/jam diturunkan dari CTC Backend Engineer (Mid) dibagi 160 jam kerja - konsisten dengan model biaya lama, tetapi bukan kutipan penawaran vendor.</t>
        </is>
      </c>
    </row>
    <row r="38" ht="46" customHeight="1">
      <c r="A38" s="4" t="inlineStr">
        <is>
          <t>C.6  Faktor Skenario C (tool 1,25x, biaya tersembunyi 1,80x) adalah [ASUMSI] penyusun, bukan hasil pengukuran. Skenario C disajikan untuk menunjukkan DI MANA ia pecah, bukan sebagai pilihan yang dapat dianggarkan.</t>
        </is>
      </c>
    </row>
    <row r="39" ht="46" customHeight="1">
      <c r="A39" s="4" t="inlineStr">
        <is>
          <t>C.7  Model ini tidak memuat: kenaikan gaji tahunan, pesangon atau kompensasi pemutusan hubungan kerja atas posisi yang dipangkas (bila posisi sudah terisi), insentif variabel maksimal 20% (DESAIN 4.5), beban ESOP, honorarium Dewan Komisaris, dan biaya mitra pengemudi (BPU/BHR) yang berada di luar hubungan kerja.</t>
        </is>
      </c>
    </row>
    <row r="40" ht="46" customHeight="1">
      <c r="A40" s="4" t="inlineStr">
        <is>
          <t>C.8  PENTING - pemangkasan pada berkas ini diterapkan pada POSISI YANG BELUM DIREKRUT. Bila posisi sudah terisi, biaya pemutusan hubungan kerja dan risiko hukum ketenagakerjaan WAJIB dihitung terpisah dan akan menunda titik impas.</t>
        </is>
      </c>
    </row>
    <row r="41" ht="62" customHeight="1">
      <c r="A41" s="4" t="inlineStr">
        <is>
          <t>D.1  KETIDAKCOCOKAN YANG DITEMUKAN PADA DOKUMEN LAMA (dilaporkan, tidak diubah): DESAIN-ORGANISASI.md 4.3 menyatakan 'biaya perusahaan = gaji pokok x 1,19', sedangkan model biaya menghasilkan rasio 1,276 (Fase 0) sampai 1,289 (Fase 2). Lembar 'Ringkasan' model lama sudah menandai hal ini dengan catatan 'angka indikatif 1,19x - lihat catatan koreksi'. Berkas ini memakai angka model (1,28x), bukan angka DESAIN. Perbedaan ini perlu dirapikan pada revisi DESAIN-ORGANISASI berikutnya.</t>
        </is>
      </c>
    </row>
    <row r="42" ht="62" customHeight="1">
      <c r="A42" s="4" t="inlineStr">
        <is>
          <t>D.2  KETIDAKCOCOKAN KEDUA: sel U64 lembar 'Biaya Bulanan' model lama diberi label 'Rasio CTC : Gaji Pokok' tetapi rumusnya =SUM(Y64:AA64)/SUMPRODUCT(K26:K63,X26:X63) menjumlahkan biaya TIGA fase dan membaginya dengan gaji pokok SATU fase, menghasilkan 2,638 - angka yang tidak bermakna sebagai rasio. Baris U64 sebaiknya dihapus atau diperbaiki. Tidak berdampak pada angka lain karena tidak dirujuk lembar mana pun.</t>
        </is>
      </c>
    </row>
  </sheetData>
  <mergeCells count="10">
    <mergeCell ref="A39:E39"/>
    <mergeCell ref="A34:E34"/>
    <mergeCell ref="A35:E35"/>
    <mergeCell ref="A38:E38"/>
    <mergeCell ref="A42:E42"/>
    <mergeCell ref="A41:E41"/>
    <mergeCell ref="A33:E33"/>
    <mergeCell ref="A37:E37"/>
    <mergeCell ref="A36:E36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2026-09-07T12:58:57Z</dcterms:created>
  <dcterms:modified xmlns:dcterms="http://purl.org/dc/terms/" xmlns:xsi="http://www.w3.org/2001/XMLSchema-instance" xsi:type="dcterms:W3CDTF">2026-09-07T12:58:57Z</dcterms:modified>
</cp:coreProperties>
</file>