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umsi" sheetId="1" state="visible" r:id="rId3"/>
    <sheet name="Biaya PG" sheetId="2" state="visible" r:id="rId4"/>
    <sheet name="Per Layanan" sheetId="3" state="visible" r:id="rId5"/>
    <sheet name="Bulanan" sheetId="4" state="visible" r:id="rId6"/>
    <sheet name="Legend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Pagar keras: komisi ride_motor ≤ commission_cap_two_wheel (8 %). Trigger t_guard_commission_cap menolak nilai lebih tinggi di DB.</t>
        </r>
      </text>
    </comment>
    <comment ref="K6" authorId="0">
      <text>
        <r>
          <rPr>
            <sz val="10"/>
            <rFont val="Arial"/>
            <family val="2"/>
          </rPr>
          <t xml:space="preserve">Nilai lama tabel pricing (DB lokal 23 Sep 2026, dicatat 0098 di kolom notes). Dipakai untuk membandingkan pendapatan driver v1 vs v2.</t>
        </r>
      </text>
    </comment>
  </commentList>
</comments>
</file>

<file path=xl/sharedStrings.xml><?xml version="1.0" encoding="utf-8"?>
<sst xmlns="http://schemas.openxmlformats.org/spreadsheetml/2006/main" count="2203" uniqueCount="509">
  <si>
    <t xml:space="preserve">Asumsi — aturan uang per layanan (service_economics) &amp; parameter bisnis</t>
  </si>
  <si>
    <t xml:space="preserve">Biru = input (ubah di sini untuk simulasi; nilai produksi diubah di Panel Admin). Label per baris: FAKTA SUMBER / FAKTA KODE / ASUMSI.</t>
  </si>
  <si>
    <t xml:space="preserve">Tabel 1 — service_economics (nilai awal migrasi 0098 = nilai DB lokal 23 Sep 2026)</t>
  </si>
  <si>
    <t xml:space="preserve">Kunci layanan</t>
  </si>
  <si>
    <t xml:space="preserve">Layanan</t>
  </si>
  <si>
    <t xml:space="preserve">Komisi driver dari ongkir (%)</t>
  </si>
  <si>
    <t xml:space="preserve">Fee merchant / mitra (%)</t>
  </si>
  <si>
    <t xml:space="preserve">Biaya platform pelanggan (Rp/order)</t>
  </si>
  <si>
    <t xml:space="preserve">Jasa belanja (%)</t>
  </si>
  <si>
    <t xml:space="preserve">Jasa belanja minimum (Rp)</t>
  </si>
  <si>
    <t xml:space="preserve">Porsi driver dari jasa belanja (%)</t>
  </si>
  <si>
    <t xml:space="preserve">Kebijakan biaya PG</t>
  </si>
  <si>
    <t xml:space="preserve">Pemilik promo default</t>
  </si>
  <si>
    <t xml:space="preserve">Komisi lama pricing.commission_pct (%)</t>
  </si>
  <si>
    <t xml:space="preserve">Biaya platform lama pricing.platform_fee (Rp)</t>
  </si>
  <si>
    <t xml:space="preserve">Label</t>
  </si>
  <si>
    <t xml:space="preserve">Sumber</t>
  </si>
  <si>
    <t xml:space="preserve">ride_motor</t>
  </si>
  <si>
    <t xml:space="preserve">AntarRide Motor</t>
  </si>
  <si>
    <t xml:space="preserve">platform</t>
  </si>
  <si>
    <t xml:space="preserve">FAKTA SUMBER (komisi ≤ 8 %) · ASUMSI (biaya platform)</t>
  </si>
  <si>
    <t xml:space="preserve">Keputusan 23 Sep 2026 §0.2; pagar commission_cap_two_wheel (0031); 0098 baris ride_motor</t>
  </si>
  <si>
    <t xml:space="preserve">ride_car</t>
  </si>
  <si>
    <t xml:space="preserve">AntarRide Mobil</t>
  </si>
  <si>
    <t xml:space="preserve">ASUMSI</t>
  </si>
  <si>
    <t xml:space="preserve">0098: komisi 15 % (roda empat tidak diatur cap 8 %); biaya platform = pricing lama</t>
  </si>
  <si>
    <t xml:space="preserve">food</t>
  </si>
  <si>
    <t xml:space="preserve">AntarFood</t>
  </si>
  <si>
    <t xml:space="preserve">FAKTA SUMBER (ongkir hak driver) · FAKTA KODE (fee 15 %) · ASUMSI (Rp2.000)</t>
  </si>
  <si>
    <t xml:space="preserve">Keputusan §0.1; pricing.merchant_commission_pct lama 15; 0098</t>
  </si>
  <si>
    <t xml:space="preserve">send</t>
  </si>
  <si>
    <t xml:space="preserve">AntarSend (Antar Barang)</t>
  </si>
  <si>
    <t xml:space="preserve">FAKTA SUMBER (ongkir hak driver) · ASUMSI (Rp3.000)</t>
  </si>
  <si>
    <t xml:space="preserve">Keputusan §0.1; 0098</t>
  </si>
  <si>
    <t xml:space="preserve">shop</t>
  </si>
  <si>
    <t xml:space="preserve">AntarShop</t>
  </si>
  <si>
    <t xml:space="preserve">FAKTA SUMBER (ongkir) · FAKTA KODE (jasa 5 %/Rp5.000/70 %) · ASUMSI (Rp1.000)</t>
  </si>
  <si>
    <t xml:space="preserve">0013 shop_service_pct/min, shop_driver_share_pct; 0098</t>
  </si>
  <si>
    <t xml:space="preserve">market</t>
  </si>
  <si>
    <t xml:space="preserve">AntarMarket</t>
  </si>
  <si>
    <t xml:space="preserve">FAKTA SUMBER (ongkir) · FAKTA KODE (jasa 10 %/Rp8.000/70 %) · ASUMSI (Rp1.000)</t>
  </si>
  <si>
    <t xml:space="preserve">0013 market_service_pct/min, market_driver_share_pct; 0098</t>
  </si>
  <si>
    <t xml:space="preserve">box</t>
  </si>
  <si>
    <t xml:space="preserve">AntarBox (kargo)</t>
  </si>
  <si>
    <t xml:space="preserve">0098: kargo bukan penumpang — tidak tunduk cap roda dua</t>
  </si>
  <si>
    <t xml:space="preserve">travel</t>
  </si>
  <si>
    <t xml:space="preserve">AntarTravel (kursi/carter)</t>
  </si>
  <si>
    <t xml:space="preserve">FAKTA KODE</t>
  </si>
  <si>
    <t xml:space="preserve">travel_commission_pct 10 &amp; travel_platform_fee 5.000 lama; 0098 (kolom komisi lama tidak berlaku: fee mitra 10 % sama)</t>
  </si>
  <si>
    <t xml:space="preserve">Tabel 2 — Parameter bisnis (app_settings / payment_channel_fees / ad_products)</t>
  </si>
  <si>
    <t xml:space="preserve">Kunci</t>
  </si>
  <si>
    <t xml:space="preserve">Parameter</t>
  </si>
  <si>
    <t xml:space="preserve">Nilai</t>
  </si>
  <si>
    <t xml:space="preserve">Satuan</t>
  </si>
  <si>
    <t xml:space="preserve">Sumber / tempat mengubah</t>
  </si>
  <si>
    <t xml:space="preserve">ppn_pct</t>
  </si>
  <si>
    <t xml:space="preserve">PPN atas biaya gateway (saluran yang tarifnya belum termasuk PPN)</t>
  </si>
  <si>
    <t xml:space="preserve">%</t>
  </si>
  <si>
    <t xml:space="preserve">payment_channel_fees.ppn_pct (0100) — Panel Admin › Biaya Payment Gateway</t>
  </si>
  <si>
    <t xml:space="preserve">bonus_peak</t>
  </si>
  <si>
    <t xml:space="preserve">Bonus sesi driver jam sibuk (dari ongkir, dibatasi ≤ komisi)</t>
  </si>
  <si>
    <t xml:space="preserve">pricing_sessions "Jam sibuk pagi/sore" (0006); B = min(komisi, ongkir × bonus) — ledger_calc 0099</t>
  </si>
  <si>
    <t xml:space="preserve">travel_send_partner_pct</t>
  </si>
  <si>
    <t xml:space="preserve">Porsi mitra travel pada titipan antar kota</t>
  </si>
  <si>
    <t xml:space="preserve">app_settings.travel_send_partner_pct</t>
  </si>
  <si>
    <t xml:space="preserve">driver_debt_limit</t>
  </si>
  <si>
    <t xml:space="preserve">Batas saldo minus driver/mitra travel</t>
  </si>
  <si>
    <t xml:space="preserve">Rp</t>
  </si>
  <si>
    <t xml:space="preserve">app_settings.driver_debt_limit (0098/0104) — admin_set_settings (PIN)</t>
  </si>
  <si>
    <t xml:space="preserve">commission_cap_two_wheel</t>
  </si>
  <si>
    <t xml:space="preserve">Batas komisi roda dua (porsi driver ≥ 92 %)</t>
  </si>
  <si>
    <t xml:space="preserve">FAKTA SUMBER</t>
  </si>
  <si>
    <t xml:space="preserve">Keputusan 23 Sep 2026 §0.2 (acuan regulasi Sep 2026); 0031/0104</t>
  </si>
  <si>
    <t xml:space="preserve">take_rate_north_star_pct</t>
  </si>
  <si>
    <t xml:space="preserve">North-star take rate bersih portofolio matang (bukan target per order, bukan laba)</t>
  </si>
  <si>
    <t xml:space="preserve">Keputusan 23 Sep 2026 §0.5; app_settings (0103)</t>
  </si>
  <si>
    <t xml:space="preserve">gate_contribution_weeks</t>
  </si>
  <si>
    <t xml:space="preserve">Gerbang: minggu berturut-turut contribution &gt; 0</t>
  </si>
  <si>
    <t xml:space="preserve">minggu</t>
  </si>
  <si>
    <t xml:space="preserve">Keputusan §7; app_settings (0104)</t>
  </si>
  <si>
    <t xml:space="preserve">gate_reconciliation_diff</t>
  </si>
  <si>
    <t xml:space="preserve">Gerbang: selisih rekonsiliasi</t>
  </si>
  <si>
    <t xml:space="preserve">Keputusan §6/§7; v_reconciliation_daily (0102)</t>
  </si>
  <si>
    <t xml:space="preserve">gate_payout_on_time_pct</t>
  </si>
  <si>
    <t xml:space="preserve">Gerbang: pencairan settled dalam SLA</t>
  </si>
  <si>
    <t xml:space="preserve">app_settings (0103)</t>
  </si>
  <si>
    <t xml:space="preserve">gate_retention_driver_pct</t>
  </si>
  <si>
    <t xml:space="preserve">Gerbang: retensi driver 30 hari</t>
  </si>
  <si>
    <t xml:space="preserve">gate_retention_merchant_pct</t>
  </si>
  <si>
    <t xml:space="preserve">Gerbang: retensi merchant 30 hari</t>
  </si>
  <si>
    <t xml:space="preserve">gate_refund_max_pct</t>
  </si>
  <si>
    <t xml:space="preserve">Gerbang: batas pesanan direfund</t>
  </si>
  <si>
    <t xml:space="preserve">app_settings (0103); plus 0 fraud_flags high terbuka</t>
  </si>
  <si>
    <t xml:space="preserve">payout_sla_hours</t>
  </si>
  <si>
    <t xml:space="preserve">SLA pencairan (approved → settled)</t>
  </si>
  <si>
    <t xml:space="preserve">jam</t>
  </si>
  <si>
    <t xml:space="preserve">app_settings (0104)</t>
  </si>
  <si>
    <t xml:space="preserve">payout_fee_per_withdrawal</t>
  </si>
  <si>
    <t xml:space="preserve">Biaya transfer per pencairan</t>
  </si>
  <si>
    <t xml:space="preserve">app_settings (0103) — isi dari tagihan bank/provider</t>
  </si>
  <si>
    <t xml:space="preserve">order_payment_timeout_min</t>
  </si>
  <si>
    <t xml:space="preserve">Batas waktu bayar pesanan gateway</t>
  </si>
  <si>
    <t xml:space="preserve">menit</t>
  </si>
  <si>
    <t xml:space="preserve">app_settings (0100/0104)</t>
  </si>
  <si>
    <t xml:space="preserve">min_auto_disburse</t>
  </si>
  <si>
    <t xml:space="preserve">Pencairan otomatis Midtrans bila dana tertampung ≥</t>
  </si>
  <si>
    <t xml:space="preserve">PKS Midtrans SOP B.6.a.iii</t>
  </si>
  <si>
    <t xml:space="preserve">ad_featured_home</t>
  </si>
  <si>
    <t xml:space="preserve">Iklan "Unggulan Beranda" per hari</t>
  </si>
  <si>
    <t xml:space="preserve">Rp/hari</t>
  </si>
  <si>
    <t xml:space="preserve">ad_products (0101) — Panel Admin › Iklan &amp; Boost</t>
  </si>
  <si>
    <t xml:space="preserve">ad_boost_nearby</t>
  </si>
  <si>
    <t xml:space="preserve">Iklan "Boost Terdekat" per hari</t>
  </si>
  <si>
    <t xml:space="preserve">ad_products (0101)</t>
  </si>
  <si>
    <t xml:space="preserve">ad_banner_category</t>
  </si>
  <si>
    <t xml:space="preserve">Iklan "Banner Kategori" per minggu</t>
  </si>
  <si>
    <t xml:space="preserve">Rp/minggu</t>
  </si>
  <si>
    <t xml:space="preserve">helper_fee</t>
  </si>
  <si>
    <t xml:space="preserve">Biaya helper AntarBox per orang (masuk ongkir)</t>
  </si>
  <si>
    <t xml:space="preserve">app_settings.helper_fee</t>
  </si>
  <si>
    <t xml:space="preserve">target_take_rate_pct_lama</t>
  </si>
  <si>
    <t xml:space="preserve">Target take rate LAMA (rekomendasi otomatis 0019) — masih aktif, berbeda dari north-star</t>
  </si>
  <si>
    <t xml:space="preserve">app_settings.target_take_rate_pct (0019) — Panel Admin › Otomasi; perlu diselaraskan</t>
  </si>
  <si>
    <t xml:space="preserve">Batasan data: angka FAKTA SUMBER diambil dari dokumen keputusan 23 Sep 2026, PKS Midtrans Ver.Aug-26 (M568767786_825925) dan kode migrasi 0098–0104; angka ASUMSI adalah usulan yang wajib diubah dari Panel Admin; belum ada HASIL PILOT. Volume &amp; biaya tetap di sheet Bulanan adalah ILUSTRASI, bukan proyeksi. Uji silang memakai log DB lokal /tmp/antarkita-db-lokal/test-uji_skema_bisnis_v2.sql.log (23 Sep 2026), bukan data produksi.</t>
  </si>
  <si>
    <t xml:space="preserve">Biaya payment gateway — PKS Midtrans Ver.Aug-26 (M568767786_825925, layanan Aggregator)</t>
  </si>
  <si>
    <t xml:space="preserve">Nominal transaksi (Rp)</t>
  </si>
  <si>
    <t xml:space="preserve">Ubah nominal untuk melihat biaya per saluran. Rumus = pg_fee_calc (0100): fee = ROUND(nominal × %) + tetap; PPN = 0 bila tarif sudah termasuk PPN, selain itu ROUND(fee × PPN).</t>
  </si>
  <si>
    <t xml:space="preserve">Kunci saluran</t>
  </si>
  <si>
    <t xml:space="preserve">Saluran</t>
  </si>
  <si>
    <t xml:space="preserve">Penyedia</t>
  </si>
  <si>
    <t xml:space="preserve">Fee (%)</t>
  </si>
  <si>
    <t xml:space="preserve">Fee tetap (Rp)</t>
  </si>
  <si>
    <t xml:space="preserve">Tarif termasuk PPN?</t>
  </si>
  <si>
    <t xml:space="preserve">PPN (%)</t>
  </si>
  <si>
    <t xml:space="preserve">Dana ditahan (H+n hari kalender)</t>
  </si>
  <si>
    <t xml:space="preserve">H+n khusus VA BSI/SeaBank</t>
  </si>
  <si>
    <t xml:space="preserve">Rujukan PKS</t>
  </si>
  <si>
    <t xml:space="preserve">Catatan</t>
  </si>
  <si>
    <t xml:space="preserve">Fee (Rp)</t>
  </si>
  <si>
    <t xml:space="preserve">PPN (Rp)</t>
  </si>
  <si>
    <t xml:space="preserve">Total biaya PG (Rp)</t>
  </si>
  <si>
    <t xml:space="preserve">Biaya efektif (%)</t>
  </si>
  <si>
    <t xml:space="preserve">Dana bersih (Rp)</t>
  </si>
  <si>
    <t xml:space="preserve">bank_transfer</t>
  </si>
  <si>
    <t xml:space="preserve">Transfer bank (VA)</t>
  </si>
  <si>
    <t xml:space="preserve">midtrans</t>
  </si>
  <si>
    <t xml:space="preserve">Tidak</t>
  </si>
  <si>
    <t xml:space="preserve">Pasal 6 ayat 2 (VA Aggregator Rp4.000, tidak termasuk PPN); SOP B.6.a.i (VA H+1; BSI/SeaBank H+2)</t>
  </si>
  <si>
    <t xml:space="preserve">Mandiri/BNI/BRI/CIMB/Permata/Danamon/BCA/BSI/SeaBank</t>
  </si>
  <si>
    <t xml:space="preserve">card</t>
  </si>
  <si>
    <t xml:space="preserve">Kartu kredit/debit</t>
  </si>
  <si>
    <t xml:space="preserve">Pasal 6 ayat 2 (Transaksi Kartu Aggregator 2,9 % + Rp2.000); SOP B.6.a.i (H+3)</t>
  </si>
  <si>
    <t xml:space="preserve">Visa/MasterCard/JCB</t>
  </si>
  <si>
    <t xml:space="preserve">gopay</t>
  </si>
  <si>
    <t xml:space="preserve">GoPay</t>
  </si>
  <si>
    <t xml:space="preserve">Ya</t>
  </si>
  <si>
    <t xml:space="preserve">Pasal 6 ayat 2 tabel E-Money GoPay non-digital 2 % (termasuk PPN); SOP B.6.a.i (H+1)</t>
  </si>
  <si>
    <t xml:space="preserve">Kategori digital 5 % — Midtrans berhak menentukan kategori</t>
  </si>
  <si>
    <t xml:space="preserve">shopeepay</t>
  </si>
  <si>
    <t xml:space="preserve">ShopeePay</t>
  </si>
  <si>
    <t xml:space="preserve">Pasal 6 ayat 2 tabel E-Money ShopeePay non-digital 2 % (termasuk PPN); SOP B.6.a.i (H+2)</t>
  </si>
  <si>
    <t xml:space="preserve">Kategori digital 4 %</t>
  </si>
  <si>
    <t xml:space="preserve">qris</t>
  </si>
  <si>
    <t xml:space="preserve">QRIS</t>
  </si>
  <si>
    <t xml:space="preserve">Pasal 6 ayat 2 tabel QRIS Reguler Umum 0,7 % (termasuk PPN); SOP B.6.a.i (H+1)</t>
  </si>
  <si>
    <t xml:space="preserve">dana</t>
  </si>
  <si>
    <t xml:space="preserve">DANA</t>
  </si>
  <si>
    <t xml:space="preserve">Pasal 6 ayat 2 (E-Money DANA 1,5 %, tidak termasuk PPN); SOP B.6.a.i (H+2)</t>
  </si>
  <si>
    <t xml:space="preserve">ovo</t>
  </si>
  <si>
    <t xml:space="preserve">OVO</t>
  </si>
  <si>
    <t xml:space="preserve">Pasal 6 ayat 2 tabel OVO non-digital domestik 1,5 % (tidak termasuk PPN); SOP B.6.a.i "lainnya" H+5</t>
  </si>
  <si>
    <t xml:space="preserve">Digital domestik 2,73 %</t>
  </si>
  <si>
    <t xml:space="preserve">akulaku</t>
  </si>
  <si>
    <t xml:space="preserve">Akulaku PayLater</t>
  </si>
  <si>
    <t xml:space="preserve">Pasal 6 ayat 2 (1,7 %); SOP "lainnya" H+5</t>
  </si>
  <si>
    <t xml:space="preserve">Belum dipakai aplikasi</t>
  </si>
  <si>
    <t xml:space="preserve">kredivo</t>
  </si>
  <si>
    <t xml:space="preserve">Kredivo</t>
  </si>
  <si>
    <t xml:space="preserve">Pasal 6 ayat 2 (2 %; teks PKS terpotong "Kdi/revo"); SOP B.6.a.i (H+2)</t>
  </si>
  <si>
    <t xml:space="preserve">alfamart</t>
  </si>
  <si>
    <t xml:space="preserve">Alfamart</t>
  </si>
  <si>
    <t xml:space="preserve">Pasal 6 ayat 2 (OTC Alfamart Rp5.000); SOP "lainnya" H+5</t>
  </si>
  <si>
    <t xml:space="preserve">indomaret</t>
  </si>
  <si>
    <t xml:space="preserve">Indomaret</t>
  </si>
  <si>
    <t xml:space="preserve">Pasal 6 ayat 2 (Partner Fee + Rp1.000); SOP "lainnya" H+5</t>
  </si>
  <si>
    <t xml:space="preserve">FAKTA SUMBER + ASUMSI</t>
  </si>
  <si>
    <t xml:space="preserve">Partner fee Indomaret TIDAK tercantum di PKS — hanya Rp1.000 bagian Midtrans</t>
  </si>
  <si>
    <t xml:space="preserve">cash</t>
  </si>
  <si>
    <t xml:space="preserve">Tunai/COD</t>
  </si>
  <si>
    <t xml:space="preserve">internal</t>
  </si>
  <si>
    <t xml:space="preserve">Bukan gateway</t>
  </si>
  <si>
    <t xml:space="preserve">Tidak ada biaya PG</t>
  </si>
  <si>
    <t xml:space="preserve">antarpay</t>
  </si>
  <si>
    <t xml:space="preserve">AntarPay (saldo)</t>
  </si>
  <si>
    <t xml:space="preserve">Biaya top up dicatat terpisah di wallet_transactions.pg_fee</t>
  </si>
  <si>
    <t xml:space="preserve">emoney_nfc</t>
  </si>
  <si>
    <t xml:space="preserve">E-money (kartu NFC)</t>
  </si>
  <si>
    <t xml:space="preserve">Pasal 6 ayat 3: biaya di atas belum termasuk biaya administrasi bank dan pajak sesuai hukum yang berlaku.</t>
  </si>
  <si>
    <t xml:space="preserve">SOP B.6.a.i: dana ditahan di rekening Midtrans H+n hari KALENDER sejak transaksi; B.6.a.iii: pencairan otomatis bila dana tertampung ≥ Rp50.000 (MAP); B.6.a.iv: permintaan sebelum 11:00 diproses hari kerja yang sama.</t>
  </si>
  <si>
    <t xml:space="preserve">Pasal 7 ayat 4(b): fitur uang elektronik/dompet elektronik yang butuh izin BI tanpa izin → Midtrans berhak menghentikan layanan tanpa batas waktu. Karena itu AntarPay top up harus NONAKTIF sampai review legal.</t>
  </si>
  <si>
    <t xml:space="preserve">Tarif GoPay/ShopeePay/QRIS termasuk PPN (tabel "termasuk PPN"); tarif lain "tidak termasuk PPN" → PPN 11 % [ASUMSI tarif efektif, konfirmasi konsultan pajak].</t>
  </si>
  <si>
    <t xml:space="preserve">Per Layanan — alokasi satu order, mencerminkan ledger_calc (0099) baris demi baris</t>
  </si>
  <si>
    <t xml:space="preserve">Setiap blok = satu layanan. Ubah sel biru (input). Baris hitam = rumus ledger. Blok "UJI SILANG" memakai input persis skenario log uji — jangan diubah; kolom Selisih harus 0.</t>
  </si>
  <si>
    <t xml:space="preserve">Ringkasan per layanan (dari blok di bawah) — termasuk dampak ke driver v1 (komisi lama) vs v2</t>
  </si>
  <si>
    <t xml:space="preserve">Total pelanggan (Rp)</t>
  </si>
  <si>
    <t xml:space="preserve">Ongkir (Rp)</t>
  </si>
  <si>
    <t xml:space="preserve">driver_payable (Rp)</t>
  </si>
  <si>
    <t xml:space="preserve">Porsi driver dari ongkir</t>
  </si>
  <si>
    <t xml:space="preserve">Driver dari ongkir v1 komisi lama (Rp)</t>
  </si>
  <si>
    <t xml:space="preserve">Driver dari ongkir v2 (Rp)</t>
  </si>
  <si>
    <t xml:space="preserve">Δ driver v2 − v1 (Rp)</t>
  </si>
  <si>
    <t xml:space="preserve">merchant_payable (Rp)</t>
  </si>
  <si>
    <t xml:space="preserve">platform_revenue (Rp)</t>
  </si>
  <si>
    <t xml:space="preserve">Biaya PG platform (Rp)</t>
  </si>
  <si>
    <t xml:space="preserve">Contribution (Rp)</t>
  </si>
  <si>
    <t xml:space="preserve">Take rate bersih order</t>
  </si>
  <si>
    <t xml:space="preserve">Status uji silang terhadap log DB lokal (harus 0 / LULUS)</t>
  </si>
  <si>
    <t xml:space="preserve">Blok uji silang</t>
  </si>
  <si>
    <t xml:space="preserve">Σ |Selisih| (Rp)</t>
  </si>
  <si>
    <t xml:space="preserve">Cek keseimbangan</t>
  </si>
  <si>
    <t xml:space="preserve">Status</t>
  </si>
  <si>
    <t xml:space="preserve">UJI SILANG 1 — S13 ride_motor tunai, promo platform V2PLATFORM</t>
  </si>
  <si>
    <t xml:space="preserve">UJI SILANG 2 — S21 food saldo, promo merchant V2MERCHANT</t>
  </si>
  <si>
    <t xml:space="preserve">UJI SILANG 3 — S26 shop tunai tanpa promo</t>
  </si>
  <si>
    <t xml:space="preserve">UJI SILANG 4 — S45 ride_car kartu, biaya PG ditanggung pelanggan</t>
  </si>
  <si>
    <t xml:space="preserve">UJI SILANG 5 — S61 send VA BSI (biaya PG ditanggung platform)</t>
  </si>
  <si>
    <t xml:space="preserve">UJI SILANG 6 — S48a travel kursi saldo</t>
  </si>
  <si>
    <t xml:space="preserve">Total seluruh uji silang</t>
  </si>
  <si>
    <t xml:space="preserve">BLOK ride_motor — AntarRide Motor</t>
  </si>
  <si>
    <t xml:space="preserve">Baris</t>
  </si>
  <si>
    <t xml:space="preserve">Entri ledger / keterangan</t>
  </si>
  <si>
    <t xml:space="preserve">Nilai log uji</t>
  </si>
  <si>
    <t xml:space="preserve">Selisih</t>
  </si>
  <si>
    <t xml:space="preserve">|Selisih|</t>
  </si>
  <si>
    <t xml:space="preserve">service_type</t>
  </si>
  <si>
    <t xml:space="preserve">Ongkir / tarif jasa (travel: harga kursi/carter dasar) (Rp)</t>
  </si>
  <si>
    <t xml:space="preserve">delivery_fee / intercity_fare</t>
  </si>
  <si>
    <t xml:space="preserve">Nilai barang (subtotal) (Rp)</t>
  </si>
  <si>
    <t xml:space="preserve">items_subtotal — hanya food/shop/market</t>
  </si>
  <si>
    <t xml:space="preserve">Promo diminta (Rp)</t>
  </si>
  <si>
    <t xml:space="preserve">discount (dibatasi ≤ ongkir + barang food)</t>
  </si>
  <si>
    <t xml:space="preserve">Pemilik biaya promo (kosong = default layanan)</t>
  </si>
  <si>
    <t xml:space="preserve">promos.funded_by</t>
  </si>
  <si>
    <t xml:space="preserve">Saluran bayar</t>
  </si>
  <si>
    <t xml:space="preserve">pg_channel (cash = tunai)</t>
  </si>
  <si>
    <t xml:space="preserve">Bank VA (bsi/seabank untuk H+2; boleh kosong)</t>
  </si>
  <si>
    <t xml:space="preserve">hold_days_by_bank</t>
  </si>
  <si>
    <t xml:space="preserve">Tip (Rp)</t>
  </si>
  <si>
    <t xml:space="preserve">tip</t>
  </si>
  <si>
    <t xml:space="preserve">Extras (Rp)</t>
  </si>
  <si>
    <t xml:space="preserve">extras</t>
  </si>
  <si>
    <t xml:space="preserve">Bonus sesi driver (% ongkir; 0 = jam normal)</t>
  </si>
  <si>
    <t xml:space="preserve">pricing_sessions.driver_bonus_pct</t>
  </si>
  <si>
    <t xml:space="preserve">Kebijakan biaya PG (kosong = dari Asumsi)</t>
  </si>
  <si>
    <t xml:space="preserve">pg_fee_policy</t>
  </si>
  <si>
    <t xml:space="preserve">Komisi driver (%)</t>
  </si>
  <si>
    <t xml:space="preserve">driver_commission_pct_snap</t>
  </si>
  <si>
    <t xml:space="preserve">merchant_fee_pct_snap</t>
  </si>
  <si>
    <t xml:space="preserve">Biaya platform pelanggan (Rp)</t>
  </si>
  <si>
    <t xml:space="preserve">customer_platform_fee</t>
  </si>
  <si>
    <t xml:space="preserve">service_fee_pct</t>
  </si>
  <si>
    <t xml:space="preserve">service_fee_min</t>
  </si>
  <si>
    <t xml:space="preserve">Porsi driver jasa belanja (%)</t>
  </si>
  <si>
    <t xml:space="preserve">service_fee_driver_share_pct</t>
  </si>
  <si>
    <t xml:space="preserve">Kebijakan biaya PG efektif</t>
  </si>
  <si>
    <t xml:space="preserve">'platform' | 'customer'</t>
  </si>
  <si>
    <t xml:space="preserve">Pemilik promo efektif</t>
  </si>
  <si>
    <t xml:space="preserve">promo merchant tanpa merchant → platform</t>
  </si>
  <si>
    <t xml:space="preserve">Ada merchant (food)? 1/0</t>
  </si>
  <si>
    <t xml:space="preserve">Belanja driver (shop/market)? 1/0</t>
  </si>
  <si>
    <t xml:space="preserve">Travel (ledger_post_travel)? 1/0</t>
  </si>
  <si>
    <t xml:space="preserve">Nilai barang efektif (Rp)</t>
  </si>
  <si>
    <t xml:space="preserve">items_subtotal</t>
  </si>
  <si>
    <t xml:space="preserve">Jasa belanja (Rp)</t>
  </si>
  <si>
    <t xml:space="preserve">service_fee = max(min, floor(S × %))</t>
  </si>
  <si>
    <t xml:space="preserve">Bagian driver dari jasa belanja (Rp)</t>
  </si>
  <si>
    <t xml:space="preserve">driver_service_share</t>
  </si>
  <si>
    <t xml:space="preserve">Diskon efektif (Rp)</t>
  </si>
  <si>
    <t xml:space="preserve">discount</t>
  </si>
  <si>
    <t xml:space="preserve">Komisi driver (Rp)</t>
  </si>
  <si>
    <t xml:space="preserve">driver_commission = floor(F × %)</t>
  </si>
  <si>
    <t xml:space="preserve">Bonus sesi / insentif driver (Rp)</t>
  </si>
  <si>
    <t xml:space="preserve">adjustment (−, driver) = min(C, floor(F × bonus))</t>
  </si>
  <si>
    <t xml:space="preserve">Fee merchant / fee mitra travel (Rp)</t>
  </si>
  <si>
    <t xml:space="preserve">merchant_fee = floor(S × %)</t>
  </si>
  <si>
    <t xml:space="preserve">Promo ditanggung merchant (Rp)</t>
  </si>
  <si>
    <t xml:space="preserve">promo_merchant</t>
  </si>
  <si>
    <t xml:space="preserve">Promo ditanggung sponsor (Rp)</t>
  </si>
  <si>
    <t xml:space="preserve">promo_sponsor</t>
  </si>
  <si>
    <t xml:space="preserve">Promo ditanggung platform (Rp)</t>
  </si>
  <si>
    <t xml:space="preserve">promo_platform</t>
  </si>
  <si>
    <t xml:space="preserve">Total pesanan sebelum biaya pembayaran (Rp)</t>
  </si>
  <si>
    <t xml:space="preserve">dasar pg_fee_calc</t>
  </si>
  <si>
    <t xml:space="preserve">Biaya PG — fee (Rp)</t>
  </si>
  <si>
    <t xml:space="preserve">pg_fee (travel: ledger v2 tidak memposting biaya PG)</t>
  </si>
  <si>
    <t xml:space="preserve">Biaya PG — PPN (Rp)</t>
  </si>
  <si>
    <t xml:space="preserve">pg_fee_ppn</t>
  </si>
  <si>
    <t xml:space="preserve">Biaya pembayaran ditagih ke pelanggan (Rp)</t>
  </si>
  <si>
    <t xml:space="preserve">baris "Biaya pembayaran" di checkout</t>
  </si>
  <si>
    <t xml:space="preserve">Total dibayar pelanggan (Rp)</t>
  </si>
  <si>
    <t xml:space="preserve">orders.total</t>
  </si>
  <si>
    <t xml:space="preserve">Tip efektif (Rp)</t>
  </si>
  <si>
    <t xml:space="preserve">gross_customer (Rp)</t>
  </si>
  <si>
    <t xml:space="preserve">gross_customer = total + tip</t>
  </si>
  <si>
    <t xml:space="preserve">driver_payable — pendapatan driver (Rp)</t>
  </si>
  <si>
    <t xml:space="preserve">(F − C + B) + tip + extras + bagian jasa</t>
  </si>
  <si>
    <t xml:space="preserve">S − M − promo merchant</t>
  </si>
  <si>
    <t xml:space="preserve">vendor_payable — ganti belanja driver (Rp)</t>
  </si>
  <si>
    <t xml:space="preserve">shop/market: driver menalangi di toko/pasar</t>
  </si>
  <si>
    <t xml:space="preserve">partner_payable — mitra travel (Rp)</t>
  </si>
  <si>
    <t xml:space="preserve">harga dasar − fee mitra</t>
  </si>
  <si>
    <t xml:space="preserve">Jasa belanja bagian platform (Rp)</t>
  </si>
  <si>
    <t xml:space="preserve">service_fee − driver share</t>
  </si>
  <si>
    <t xml:space="preserve">PF + (C − B) + M + jasa platform − promo platform</t>
  </si>
  <si>
    <t xml:space="preserve">revenue_net laporan (sebelum insentif) (Rp)</t>
  </si>
  <si>
    <t xml:space="preserve">order_economics_v2.revenue_net = R + B</t>
  </si>
  <si>
    <t xml:space="preserve">Biaya PG total fee + PPN (Rp)</t>
  </si>
  <si>
    <t xml:space="preserve">pg_fee + pg_fee_ppn</t>
  </si>
  <si>
    <t xml:space="preserve">Biaya PG ditanggung platform (Rp)</t>
  </si>
  <si>
    <t xml:space="preserve">funded_by = platform</t>
  </si>
  <si>
    <t xml:space="preserve">Contribution order (Rp)</t>
  </si>
  <si>
    <t xml:space="preserve">ledger_check.contribution = R − PG platform</t>
  </si>
  <si>
    <t xml:space="preserve">driver_receivable — setoran tunai ke platform (Rp)</t>
  </si>
  <si>
    <t xml:space="preserve">tunai: total − vendor − merchant − (driver − tip); negatif = platform membayar selisih</t>
  </si>
  <si>
    <t xml:space="preserve">Tunai / digital</t>
  </si>
  <si>
    <t xml:space="preserve">filter cash_digital</t>
  </si>
  <si>
    <t xml:space="preserve">Dana gateway ditahan (H+n hari)</t>
  </si>
  <si>
    <t xml:space="preserve">SOP B.6.a.i</t>
  </si>
  <si>
    <t xml:space="preserve">GMV bersih order (Rp)</t>
  </si>
  <si>
    <t xml:space="preserve">items + ongkir (+ antar kota)</t>
  </si>
  <si>
    <t xml:space="preserve">Take rate bersih order (revenue_net ÷ GMV)</t>
  </si>
  <si>
    <t xml:space="preserve">§0.5 — per order hanya ilustrasi; target 25 % berlaku portofolio</t>
  </si>
  <si>
    <t xml:space="preserve">ride_motor wajib ≥ 92 %</t>
  </si>
  <si>
    <t xml:space="preserve">Cek keseimbangan (harus 0)</t>
  </si>
  <si>
    <t xml:space="preserve">gross + promo sponsor − (payable + revenue + PG pelanggan)</t>
  </si>
  <si>
    <t xml:space="preserve">Contoh angka = S11 log uji (ongkir Rp7.000, tunai).</t>
  </si>
  <si>
    <t xml:space="preserve">BLOK ride_car — AntarRide Mobil</t>
  </si>
  <si>
    <t xml:space="preserve">Contoh angka = S16 log uji (ongkir Rp22.000, saldo).</t>
  </si>
  <si>
    <t xml:space="preserve">BLOK food — AntarFood (Antar Makan)</t>
  </si>
  <si>
    <t xml:space="preserve">Contoh angka = S60f log uji (ongkir Rp8.000, barang Rp60.000, QRIS).</t>
  </si>
  <si>
    <t xml:space="preserve">BLOK send — AntarSend (Antar Barang instan)</t>
  </si>
  <si>
    <t xml:space="preserve">Contoh angka = S23 log uji (ongkir Rp8.000, tunai).</t>
  </si>
  <si>
    <t xml:space="preserve">BLOK shop — AntarShop</t>
  </si>
  <si>
    <t xml:space="preserve">Contoh angka = S26 log uji.</t>
  </si>
  <si>
    <t xml:space="preserve">BLOK market — AntarMarket</t>
  </si>
  <si>
    <t xml:space="preserve">Contoh angka = S29 log uji.</t>
  </si>
  <si>
    <t xml:space="preserve">BLOK box — AntarBox</t>
  </si>
  <si>
    <t xml:space="preserve">Contoh angka = S31 log uji (ongkir termasuk helper).</t>
  </si>
  <si>
    <t xml:space="preserve">BLOK travel — AntarTravel (kursi/carter)</t>
  </si>
  <si>
    <t xml:space="preserve">Contoh angka = S48a log uji (2 kursi × Rp150.000). Titipan antar kota (porsi mitra 80 %) tidak dimodelkan.</t>
  </si>
  <si>
    <t xml:space="preserve">Log: "S13 OK ride_motor cash V2PLATFORM … total=6000 ongkir=7000 (komisi 8.00%=560 bonus=0) … diskon=2000 [platform] | driver_payable=6440 … revenue=-440 receivable=-440"</t>
  </si>
  <si>
    <t xml:space="preserve">merchant</t>
  </si>
  <si>
    <t xml:space="preserve">Log: "S21 OK food wallet V2MERCHANT … total=65000 … driver_payable=8000 merchant_payable=46000 … revenue=11000 receivable=0"; fee 9000 dari S49b (order sejenis).</t>
  </si>
  <si>
    <t xml:space="preserve">Log: "S26 OK shop cash tanpa promo … total=166450 ongkir=9000 … jasa=7450 … driver_payable=14215 … vendor=149000 revenue=3235 receivable=3235"</t>
  </si>
  <si>
    <t xml:space="preserve">customer</t>
  </si>
  <si>
    <t xml:space="preserve">Log: "S45 OK ride_car via card, policy=customer: total=29057 = ongkir 22000 + biaya platform 4000 + biaya pembayaran 3057 (fee 2754 + ppn 303) … revenue=7300"</t>
  </si>
  <si>
    <t xml:space="preserve">bsi</t>
  </si>
  <si>
    <t xml:space="preserve">Log: "S61 OK send VA BSI … pg_fee=4000 ppn=440 … hold=2 days (BSI H+2) … contribution=-1440 = revenue 3000 − 4.440"</t>
  </si>
  <si>
    <t xml:space="preserve">Log: "S48a OK travel kursi SALDO … harga=305000 (2×150.000 + biaya platform 5000, fee mitra 10%=30000) … gross=305000 partner_payable=270000 revenue=35000"</t>
  </si>
  <si>
    <t xml:space="preserve">Bulanan — volume × unit economics per kota → GMV bersih, pendapatan per sumber, take rate bersih, contribution, EBITDA kota, gerbang</t>
  </si>
  <si>
    <t xml:space="preserve">Unit per order diambil dari blok Per Layanan (order tipikal). Volume, % digital, iklan, variable_ops &amp; biaya tetap = ILUSTRASI yang WAJIB diganti. Sel kuning = isi.</t>
  </si>
  <si>
    <t xml:space="preserve">Saluran digital acuan (untuk biaya PG bagian order digital)</t>
  </si>
  <si>
    <t xml:space="preserve">A. Unit per order (link ke Per Layanan)</t>
  </si>
  <si>
    <t xml:space="preserve">GMV bersih/order</t>
  </si>
  <si>
    <t xml:space="preserve">Biaya platform pelanggan</t>
  </si>
  <si>
    <t xml:space="preserve">Komisi driver (kotor)</t>
  </si>
  <si>
    <t xml:space="preserve">Insentif (bonus sesi)</t>
  </si>
  <si>
    <t xml:space="preserve">Fee merchant/mitra</t>
  </si>
  <si>
    <t xml:space="preserve">Jasa belanja bagian platform</t>
  </si>
  <si>
    <t xml:space="preserve">Promo platform</t>
  </si>
  <si>
    <t xml:space="preserve">Total dasar</t>
  </si>
  <si>
    <t xml:space="preserve">Kebijakan PG</t>
  </si>
  <si>
    <t xml:space="preserve">Biaya PG/order digital (acuan)</t>
  </si>
  <si>
    <t xml:space="preserve">driver_payable</t>
  </si>
  <si>
    <t xml:space="preserve">revenue_net</t>
  </si>
  <si>
    <t xml:space="preserve">B. Input volume &amp; biaya per kota (ILUSTRASI — ganti dengan rencana/hasil pilot)</t>
  </si>
  <si>
    <t xml:space="preserve">Input</t>
  </si>
  <si>
    <t xml:space="preserve">Kota pilot A</t>
  </si>
  <si>
    <t xml:space="preserve">Kota B (opsional)</t>
  </si>
  <si>
    <t xml:space="preserve">Nama kota</t>
  </si>
  <si>
    <t xml:space="preserve">Kota Pilot A</t>
  </si>
  <si>
    <t xml:space="preserve">Kota B</t>
  </si>
  <si>
    <t xml:space="preserve">Order selesai/bulan — ride_motor</t>
  </si>
  <si>
    <t xml:space="preserve">order</t>
  </si>
  <si>
    <t xml:space="preserve">ASUMSI ILUSTRASI (pilot fokus send + food)</t>
  </si>
  <si>
    <t xml:space="preserve">Order selesai/bulan — ride_car</t>
  </si>
  <si>
    <t xml:space="preserve">Order selesai/bulan — food</t>
  </si>
  <si>
    <t xml:space="preserve">Order selesai/bulan — send</t>
  </si>
  <si>
    <t xml:space="preserve">Order selesai/bulan — shop</t>
  </si>
  <si>
    <t xml:space="preserve">Order selesai/bulan — market</t>
  </si>
  <si>
    <t xml:space="preserve">Order selesai/bulan — box</t>
  </si>
  <si>
    <t xml:space="preserve">Order selesai/bulan — travel</t>
  </si>
  <si>
    <t xml:space="preserve">% order dibayar lewat gateway (digital)</t>
  </si>
  <si>
    <t xml:space="preserve">ASUMSI — gateway per order default OFF; AntarPay harus OFF</t>
  </si>
  <si>
    <t xml:space="preserve">Hari iklan "Boost Terdekat" terjual/bulan</t>
  </si>
  <si>
    <t xml:space="preserve">hari</t>
  </si>
  <si>
    <t xml:space="preserve">ASUMSI ILUSTRASI (mis. 2 merchant × 30 hari)</t>
  </si>
  <si>
    <t xml:space="preserve">Hari iklan "Unggulan Beranda" terjual/bulan</t>
  </si>
  <si>
    <t xml:space="preserve">ASUMSI ILUSTRASI</t>
  </si>
  <si>
    <t xml:space="preserve">Minggu "Banner Kategori" terjual/bulan</t>
  </si>
  <si>
    <t xml:space="preserve">Jumlah pencairan (withdrawal) settled/bulan</t>
  </si>
  <si>
    <t xml:space="preserve">transaksi</t>
  </si>
  <si>
    <t xml:space="preserve">variable_ops (support, fraud, asuransi, cloud variabel)</t>
  </si>
  <si>
    <t xml:space="preserve">ASUMSI ILUSTRASI — city_fixed_costs.variable_ops</t>
  </si>
  <si>
    <t xml:space="preserve">Biaya tetap — tim</t>
  </si>
  <si>
    <t xml:space="preserve">ASUMSI ILUSTRASI — city_fixed_costs.tim</t>
  </si>
  <si>
    <t xml:space="preserve">Biaya tetap — akuisisi</t>
  </si>
  <si>
    <t xml:space="preserve">Biaya tetap — kantor</t>
  </si>
  <si>
    <t xml:space="preserve">Biaya tetap — legal</t>
  </si>
  <si>
    <t xml:space="preserve">Biaya tetap — teknologi</t>
  </si>
  <si>
    <t xml:space="preserve">Biaya tetap — lainnya</t>
  </si>
  <si>
    <t xml:space="preserve">C. Hasil per kota (rumus) — definisi exec_report_v2 (0103)</t>
  </si>
  <si>
    <t xml:space="preserve">Rumus</t>
  </si>
  <si>
    <t xml:space="preserve">Total</t>
  </si>
  <si>
    <t xml:space="preserve">Order selesai</t>
  </si>
  <si>
    <t xml:space="preserve">Σ order</t>
  </si>
  <si>
    <t xml:space="preserve">GMV bersih</t>
  </si>
  <si>
    <t xml:space="preserve">Σ order × (barang + ongkir)</t>
  </si>
  <si>
    <t xml:space="preserve">Pendapatan — fee merchant/mitra</t>
  </si>
  <si>
    <t xml:space="preserve">Σ order × fee</t>
  </si>
  <si>
    <t xml:space="preserve">Pendapatan — biaya platform pelanggan</t>
  </si>
  <si>
    <t xml:space="preserve">Σ order × biaya platform</t>
  </si>
  <si>
    <t xml:space="preserve">Pendapatan — komisi driver (kotor)</t>
  </si>
  <si>
    <t xml:space="preserve">Σ order × komisi</t>
  </si>
  <si>
    <t xml:space="preserve">Pendapatan — jasa belanja bagian platform</t>
  </si>
  <si>
    <t xml:space="preserve">Σ order × jasa platform</t>
  </si>
  <si>
    <t xml:space="preserve">Pendapatan — iklan/boost</t>
  </si>
  <si>
    <t xml:space="preserve">hari × harga (Asumsi)</t>
  </si>
  <si>
    <t xml:space="preserve">Dikurangi — promo ditanggung platform</t>
  </si>
  <si>
    <t xml:space="preserve">Σ order × promo platform</t>
  </si>
  <si>
    <t xml:space="preserve">revenue_net (pembilang take rate)</t>
  </si>
  <si>
    <t xml:space="preserve">Σ sumber − promo platform</t>
  </si>
  <si>
    <t xml:space="preserve">Take rate bersih</t>
  </si>
  <si>
    <t xml:space="preserve">revenue_net ÷ GMV bersih</t>
  </si>
  <si>
    <t xml:space="preserve">North-star take rate (portofolio matang)</t>
  </si>
  <si>
    <t xml:space="preserve">Asumsi</t>
  </si>
  <si>
    <t xml:space="preserve">Insentif driver (bonus sesi)</t>
  </si>
  <si>
    <t xml:space="preserve">Σ order × bonus</t>
  </si>
  <si>
    <t xml:space="preserve">Biaya PG ditanggung platform</t>
  </si>
  <si>
    <t xml:space="preserve">Σ order × PG acuan × % digital</t>
  </si>
  <si>
    <t xml:space="preserve">Biaya payout</t>
  </si>
  <si>
    <t xml:space="preserve">pencairan × biaya/transaksi</t>
  </si>
  <si>
    <t xml:space="preserve">variable_ops</t>
  </si>
  <si>
    <t xml:space="preserve">input</t>
  </si>
  <si>
    <t xml:space="preserve">Contribution</t>
  </si>
  <si>
    <t xml:space="preserve">revenue_net − insentif − PG − payout − variable_ops</t>
  </si>
  <si>
    <t xml:space="preserve">Contribution per order</t>
  </si>
  <si>
    <t xml:space="preserve">contribution ÷ order</t>
  </si>
  <si>
    <t xml:space="preserve">Biaya tetap kota</t>
  </si>
  <si>
    <t xml:space="preserve">Σ kategori</t>
  </si>
  <si>
    <t xml:space="preserve">EBITDA kota</t>
  </si>
  <si>
    <t xml:space="preserve">contribution − biaya tetap</t>
  </si>
  <si>
    <t xml:space="preserve">Total pendapatan driver (Σ driver_payable)</t>
  </si>
  <si>
    <t xml:space="preserve">Σ order × driver_payable</t>
  </si>
  <si>
    <t xml:space="preserve">Order/bulan untuk EBITDA = 0 (pada bauran ini)</t>
  </si>
  <si>
    <t xml:space="preserve">biaya tetap ÷ contribution per order</t>
  </si>
  <si>
    <t xml:space="preserve">D. Gerbang scale-up (exec_report_v2 gates) — isi nilai HASIL PILOT; kosong = BELUM ADA DATA</t>
  </si>
  <si>
    <t xml:space="preserve">Gerbang</t>
  </si>
  <si>
    <t xml:space="preserve">Ambang (Asumsi)</t>
  </si>
  <si>
    <t xml:space="preserve">Nilai pilot (isi)</t>
  </si>
  <si>
    <t xml:space="preserve">Label ambang</t>
  </si>
  <si>
    <t xml:space="preserve">Aturan</t>
  </si>
  <si>
    <t xml:space="preserve">Minggu berturut-turut contribution &gt; 0</t>
  </si>
  <si>
    <t xml:space="preserve">nilai ≥ ambang</t>
  </si>
  <si>
    <t xml:space="preserve">Selisih rekonsiliasi harian (Σ |diff|, Rp)</t>
  </si>
  <si>
    <t xml:space="preserve">nilai ≤ ambang (= 0)</t>
  </si>
  <si>
    <t xml:space="preserve">Pencairan settled dalam SLA (%)</t>
  </si>
  <si>
    <t xml:space="preserve">Retensi driver 30 hari (%)</t>
  </si>
  <si>
    <t xml:space="preserve">Retensi merchant 30 hari (%)</t>
  </si>
  <si>
    <t xml:space="preserve">Pesanan direfund (%)</t>
  </si>
  <si>
    <t xml:space="preserve">nilai ≤ ambang</t>
  </si>
  <si>
    <t xml:space="preserve">Fraud flag severity high yang masih terbuka</t>
  </si>
  <si>
    <t xml:space="preserve">KODE 0103</t>
  </si>
  <si>
    <t xml:space="preserve">harus 0</t>
  </si>
  <si>
    <t xml:space="preserve">Proksi bulan ini: contribution total &gt; 0 (dari bagian C)</t>
  </si>
  <si>
    <t xml:space="preserve">SIMULASI</t>
  </si>
  <si>
    <t xml:space="preserve">bukan pengganti 8 minggu data nyata</t>
  </si>
  <si>
    <t xml:space="preserve">SIAP SCALE-UP? (semua gerbang LULUS)</t>
  </si>
  <si>
    <t xml:space="preserve">scale_up_ready (0103): semua gerbang pass</t>
  </si>
  <si>
    <t xml:space="preserve">Uji silang Per Layanan terhadap log uji</t>
  </si>
  <si>
    <t xml:space="preserve">Legenda &amp; cara pakai</t>
  </si>
  <si>
    <t xml:space="preserve">Kode</t>
  </si>
  <si>
    <t xml:space="preserve">Arti</t>
  </si>
  <si>
    <t xml:space="preserve">Teks biru</t>
  </si>
  <si>
    <t xml:space="preserve">Input / asumsi yang boleh diubah untuk simulasi.</t>
  </si>
  <si>
    <t xml:space="preserve">Teks hitam</t>
  </si>
  <si>
    <t xml:space="preserve">Rumus — jangan ditimpa.</t>
  </si>
  <si>
    <t xml:space="preserve">Teks hijau</t>
  </si>
  <si>
    <t xml:space="preserve">Tautan ke sheet lain.</t>
  </si>
  <si>
    <t xml:space="preserve">Isian kuning</t>
  </si>
  <si>
    <t xml:space="preserve">Sel yang diharapkan diisi pengguna (volume, biaya, hasil pilot).</t>
  </si>
  <si>
    <t xml:space="preserve">Isian hijau muda</t>
  </si>
  <si>
    <t xml:space="preserve">Keluaran kunci (driver_payable, platform_revenue, contribution, take rate, EBITDA).</t>
  </si>
  <si>
    <t xml:space="preserve">Dari dokumen keputusan 23 Sep 2026 atau PKS Midtrans Ver.Aug-26.</t>
  </si>
  <si>
    <t xml:space="preserve">Nilai yang sudah ada di kode/DB sebelum v2 (pricing, app_settings, pricing_sessions).</t>
  </si>
  <si>
    <t xml:space="preserve">Usulan; wajib bisa diubah dari Panel Admin (PIN + audit). Ganti dengan keputusan komisaris / data.</t>
  </si>
  <si>
    <t xml:space="preserve">HASIL PILOT</t>
  </si>
  <si>
    <t xml:space="preserve">Belum ada. Diisi dari exec_report_v2 setelah pilot berjalan.</t>
  </si>
  <si>
    <t xml:space="preserve">ILUSTRASI</t>
  </si>
  <si>
    <t xml:space="preserve">Angka contoh supaya model menghitung — BUKAN proyeksi dan bukan target.</t>
  </si>
  <si>
    <t xml:space="preserve">Cara pakai:</t>
  </si>
  <si>
    <t xml:space="preserve">1. Asumsi: ubah komisi/fee/biaya platform per layanan (Tabel 1) dan parameter (Tabel 2). Nilai produksi diubah di Panel Admin › Aturan Bisnis (service_economics) dan Otomasi/app_settings.</t>
  </si>
  <si>
    <t xml:space="preserve">2. Biaya PG: tarif PKS per saluran; ubah nominal di B3 untuk melihat biaya &amp; dana bersih per saluran.</t>
  </si>
  <si>
    <t xml:space="preserve">3. Per Layanan: ubah input biru pada blok layanan (ongkir, nilai barang, promo &amp; pemiliknya, saluran, tip, bonus sesi). Semua baris alokasi = ledger_calc 0099.</t>
  </si>
  <si>
    <t xml:space="preserve">4. Blok UJI SILANG jangan diubah: input = skenario log uji; kolom Selisih harus 0 dan status LULUS.</t>
  </si>
  <si>
    <t xml:space="preserve">5. Bulanan: isi volume order per layanan per kota, % digital, iklan, variable_ops, biaya tetap → take rate bersih, contribution, EBITDA kota. Isi nilai pilot di tabel gerbang.</t>
  </si>
  <si>
    <t xml:space="preserve">Rumus kunci: take rate bersih = (fee merchant + biaya platform pelanggan + komisi + jasa belanja platform + iklan − promo platform) ÷ GMV bersih (barang + ongkir order selesai tidak direfund).</t>
  </si>
  <si>
    <t xml:space="preserve">Contribution = revenue_net − insentif driver − biaya PG ditanggung platform − biaya PG hangus (refund) − variable_ops − biaya payout. EBITDA kota = Σ contribution − biaya tetap kota.</t>
  </si>
  <si>
    <t xml:space="preserve">Keterbatasan: pembulatan mengikuti PostgreSQL (floor untuk komisi/fee, round untuk PG). Travel titipan antar kota, helper AntarBox terpisah, refund &amp; biaya PG hangus tidak dimodelkan per order.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</si>
</sst>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#,##0;\(#,##0\);\-"/>
    <numFmt numFmtId="167" formatCode="0;\(0\);\-"/>
    <numFmt numFmtId="168" formatCode="0.00%;\(0.0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2" min="10" style="0" width="14"/>
    <col collapsed="false" customWidth="true" hidden="false" outlineLevel="0" max="13" min="13" style="0" width="34"/>
    <col collapsed="false" customWidth="true" hidden="false" outlineLevel="0" max="14" min="14" style="0" width="5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46.2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23.85" hidden="false" customHeight="false" outlineLevel="0" collapsed="false">
      <c r="A6" s="6" t="s">
        <v>17</v>
      </c>
      <c r="B6" s="7" t="s">
        <v>18</v>
      </c>
      <c r="C6" s="8" t="n">
        <v>0.08</v>
      </c>
      <c r="D6" s="8" t="n">
        <v>0</v>
      </c>
      <c r="E6" s="9" t="n">
        <v>1000</v>
      </c>
      <c r="F6" s="8" t="n">
        <v>0</v>
      </c>
      <c r="G6" s="9" t="n">
        <v>0</v>
      </c>
      <c r="H6" s="8" t="n">
        <v>0</v>
      </c>
      <c r="I6" s="10" t="s">
        <v>19</v>
      </c>
      <c r="J6" s="10" t="s">
        <v>19</v>
      </c>
      <c r="K6" s="8" t="n">
        <v>0.08</v>
      </c>
      <c r="L6" s="9" t="n">
        <v>1000</v>
      </c>
      <c r="M6" s="11" t="s">
        <v>20</v>
      </c>
      <c r="N6" s="11" t="s">
        <v>21</v>
      </c>
    </row>
    <row r="7" customFormat="false" ht="23.85" hidden="false" customHeight="false" outlineLevel="0" collapsed="false">
      <c r="A7" s="6" t="s">
        <v>22</v>
      </c>
      <c r="B7" s="7" t="s">
        <v>23</v>
      </c>
      <c r="C7" s="8" t="n">
        <v>0.15</v>
      </c>
      <c r="D7" s="8" t="n">
        <v>0</v>
      </c>
      <c r="E7" s="9" t="n">
        <v>4000</v>
      </c>
      <c r="F7" s="8" t="n">
        <v>0</v>
      </c>
      <c r="G7" s="9" t="n">
        <v>0</v>
      </c>
      <c r="H7" s="8" t="n">
        <v>0</v>
      </c>
      <c r="I7" s="10" t="s">
        <v>19</v>
      </c>
      <c r="J7" s="10" t="s">
        <v>19</v>
      </c>
      <c r="K7" s="8" t="n">
        <v>0.2</v>
      </c>
      <c r="L7" s="9" t="n">
        <v>4000</v>
      </c>
      <c r="M7" s="11" t="s">
        <v>24</v>
      </c>
      <c r="N7" s="11" t="s">
        <v>25</v>
      </c>
    </row>
    <row r="8" customFormat="false" ht="35.05" hidden="false" customHeight="false" outlineLevel="0" collapsed="false">
      <c r="A8" s="6" t="s">
        <v>26</v>
      </c>
      <c r="B8" s="7" t="s">
        <v>27</v>
      </c>
      <c r="C8" s="8" t="n">
        <v>0</v>
      </c>
      <c r="D8" s="8" t="n">
        <v>0.15</v>
      </c>
      <c r="E8" s="9" t="n">
        <v>2000</v>
      </c>
      <c r="F8" s="8" t="n">
        <v>0</v>
      </c>
      <c r="G8" s="9" t="n">
        <v>0</v>
      </c>
      <c r="H8" s="8" t="n">
        <v>0</v>
      </c>
      <c r="I8" s="10" t="s">
        <v>19</v>
      </c>
      <c r="J8" s="10" t="s">
        <v>19</v>
      </c>
      <c r="K8" s="8" t="n">
        <v>0.2</v>
      </c>
      <c r="L8" s="9" t="n">
        <v>1000</v>
      </c>
      <c r="M8" s="11" t="s">
        <v>28</v>
      </c>
      <c r="N8" s="11" t="s">
        <v>29</v>
      </c>
    </row>
    <row r="9" customFormat="false" ht="23.85" hidden="false" customHeight="false" outlineLevel="0" collapsed="false">
      <c r="A9" s="6" t="s">
        <v>30</v>
      </c>
      <c r="B9" s="7" t="s">
        <v>31</v>
      </c>
      <c r="C9" s="8" t="n">
        <v>0</v>
      </c>
      <c r="D9" s="8" t="n">
        <v>0</v>
      </c>
      <c r="E9" s="9" t="n">
        <v>3000</v>
      </c>
      <c r="F9" s="8" t="n">
        <v>0</v>
      </c>
      <c r="G9" s="9" t="n">
        <v>0</v>
      </c>
      <c r="H9" s="8" t="n">
        <v>0</v>
      </c>
      <c r="I9" s="10" t="s">
        <v>19</v>
      </c>
      <c r="J9" s="10" t="s">
        <v>19</v>
      </c>
      <c r="K9" s="8" t="n">
        <v>0.2</v>
      </c>
      <c r="L9" s="9" t="n">
        <v>1000</v>
      </c>
      <c r="M9" s="11" t="s">
        <v>32</v>
      </c>
      <c r="N9" s="11" t="s">
        <v>33</v>
      </c>
    </row>
    <row r="10" customFormat="false" ht="35.05" hidden="false" customHeight="false" outlineLevel="0" collapsed="false">
      <c r="A10" s="6" t="s">
        <v>34</v>
      </c>
      <c r="B10" s="7" t="s">
        <v>35</v>
      </c>
      <c r="C10" s="8" t="n">
        <v>0</v>
      </c>
      <c r="D10" s="8" t="n">
        <v>0</v>
      </c>
      <c r="E10" s="9" t="n">
        <v>1000</v>
      </c>
      <c r="F10" s="8" t="n">
        <v>0.05</v>
      </c>
      <c r="G10" s="9" t="n">
        <v>5000</v>
      </c>
      <c r="H10" s="8" t="n">
        <v>0.7</v>
      </c>
      <c r="I10" s="10" t="s">
        <v>19</v>
      </c>
      <c r="J10" s="10" t="s">
        <v>19</v>
      </c>
      <c r="K10" s="8" t="n">
        <v>0.2</v>
      </c>
      <c r="L10" s="9" t="n">
        <v>1000</v>
      </c>
      <c r="M10" s="11" t="s">
        <v>36</v>
      </c>
      <c r="N10" s="11" t="s">
        <v>37</v>
      </c>
    </row>
    <row r="11" customFormat="false" ht="35.05" hidden="false" customHeight="false" outlineLevel="0" collapsed="false">
      <c r="A11" s="6" t="s">
        <v>38</v>
      </c>
      <c r="B11" s="7" t="s">
        <v>39</v>
      </c>
      <c r="C11" s="8" t="n">
        <v>0</v>
      </c>
      <c r="D11" s="8" t="n">
        <v>0</v>
      </c>
      <c r="E11" s="9" t="n">
        <v>1000</v>
      </c>
      <c r="F11" s="8" t="n">
        <v>0.1</v>
      </c>
      <c r="G11" s="9" t="n">
        <v>8000</v>
      </c>
      <c r="H11" s="8" t="n">
        <v>0.7</v>
      </c>
      <c r="I11" s="10" t="s">
        <v>19</v>
      </c>
      <c r="J11" s="10" t="s">
        <v>19</v>
      </c>
      <c r="K11" s="8" t="n">
        <v>0.2</v>
      </c>
      <c r="L11" s="9" t="n">
        <v>1000</v>
      </c>
      <c r="M11" s="11" t="s">
        <v>40</v>
      </c>
      <c r="N11" s="11" t="s">
        <v>41</v>
      </c>
    </row>
    <row r="12" customFormat="false" ht="15" hidden="false" customHeight="false" outlineLevel="0" collapsed="false">
      <c r="A12" s="6" t="s">
        <v>42</v>
      </c>
      <c r="B12" s="7" t="s">
        <v>43</v>
      </c>
      <c r="C12" s="8" t="n">
        <v>0.1</v>
      </c>
      <c r="D12" s="8" t="n">
        <v>0</v>
      </c>
      <c r="E12" s="9" t="n">
        <v>2000</v>
      </c>
      <c r="F12" s="8" t="n">
        <v>0</v>
      </c>
      <c r="G12" s="9" t="n">
        <v>0</v>
      </c>
      <c r="H12" s="8" t="n">
        <v>0</v>
      </c>
      <c r="I12" s="10" t="s">
        <v>19</v>
      </c>
      <c r="J12" s="10" t="s">
        <v>19</v>
      </c>
      <c r="K12" s="8" t="n">
        <v>0.2</v>
      </c>
      <c r="L12" s="9" t="n">
        <v>2000</v>
      </c>
      <c r="M12" s="11" t="s">
        <v>24</v>
      </c>
      <c r="N12" s="11" t="s">
        <v>44</v>
      </c>
    </row>
    <row r="13" customFormat="false" ht="23.85" hidden="false" customHeight="false" outlineLevel="0" collapsed="false">
      <c r="A13" s="6" t="s">
        <v>45</v>
      </c>
      <c r="B13" s="7" t="s">
        <v>46</v>
      </c>
      <c r="C13" s="8" t="n">
        <v>0</v>
      </c>
      <c r="D13" s="8" t="n">
        <v>0.1</v>
      </c>
      <c r="E13" s="9" t="n">
        <v>5000</v>
      </c>
      <c r="F13" s="8" t="n">
        <v>0</v>
      </c>
      <c r="G13" s="9" t="n">
        <v>0</v>
      </c>
      <c r="H13" s="8" t="n">
        <v>0</v>
      </c>
      <c r="I13" s="10" t="s">
        <v>19</v>
      </c>
      <c r="J13" s="10" t="s">
        <v>19</v>
      </c>
      <c r="K13" s="8" t="n">
        <v>0</v>
      </c>
      <c r="L13" s="9" t="n">
        <v>5000</v>
      </c>
      <c r="M13" s="11" t="s">
        <v>47</v>
      </c>
      <c r="N13" s="11" t="s">
        <v>48</v>
      </c>
    </row>
    <row r="16" customFormat="false" ht="15" hidden="false" customHeight="false" outlineLevel="0" collapsed="false">
      <c r="A16" s="3" t="s">
        <v>49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35.05" hidden="false" customHeight="false" outlineLevel="0" collapsed="false">
      <c r="A17" s="5" t="s">
        <v>50</v>
      </c>
      <c r="B17" s="5" t="s">
        <v>51</v>
      </c>
      <c r="C17" s="5" t="s">
        <v>52</v>
      </c>
      <c r="D17" s="5" t="s">
        <v>53</v>
      </c>
      <c r="E17" s="5" t="s">
        <v>15</v>
      </c>
      <c r="F17" s="5" t="s">
        <v>54</v>
      </c>
    </row>
    <row r="18" customFormat="false" ht="79.85" hidden="false" customHeight="false" outlineLevel="0" collapsed="false">
      <c r="A18" s="6" t="s">
        <v>55</v>
      </c>
      <c r="B18" s="11" t="s">
        <v>56</v>
      </c>
      <c r="C18" s="8" t="n">
        <v>0.11</v>
      </c>
      <c r="D18" s="7" t="s">
        <v>57</v>
      </c>
      <c r="E18" s="7" t="s">
        <v>24</v>
      </c>
      <c r="F18" s="11" t="s">
        <v>58</v>
      </c>
    </row>
    <row r="19" customFormat="false" ht="102.2" hidden="false" customHeight="false" outlineLevel="0" collapsed="false">
      <c r="A19" s="6" t="s">
        <v>59</v>
      </c>
      <c r="B19" s="11" t="s">
        <v>60</v>
      </c>
      <c r="C19" s="8" t="n">
        <v>0.05</v>
      </c>
      <c r="D19" s="7" t="s">
        <v>57</v>
      </c>
      <c r="E19" s="7" t="s">
        <v>47</v>
      </c>
      <c r="F19" s="11" t="s">
        <v>61</v>
      </c>
    </row>
    <row r="20" customFormat="false" ht="35.05" hidden="false" customHeight="false" outlineLevel="0" collapsed="false">
      <c r="A20" s="6" t="s">
        <v>62</v>
      </c>
      <c r="B20" s="11" t="s">
        <v>63</v>
      </c>
      <c r="C20" s="8" t="n">
        <v>0.8</v>
      </c>
      <c r="D20" s="7" t="s">
        <v>57</v>
      </c>
      <c r="E20" s="7" t="s">
        <v>47</v>
      </c>
      <c r="F20" s="11" t="s">
        <v>64</v>
      </c>
    </row>
    <row r="21" customFormat="false" ht="79.85" hidden="false" customHeight="false" outlineLevel="0" collapsed="false">
      <c r="A21" s="6" t="s">
        <v>65</v>
      </c>
      <c r="B21" s="11" t="s">
        <v>66</v>
      </c>
      <c r="C21" s="9" t="n">
        <v>-500000</v>
      </c>
      <c r="D21" s="7" t="s">
        <v>67</v>
      </c>
      <c r="E21" s="7" t="s">
        <v>24</v>
      </c>
      <c r="F21" s="11" t="s">
        <v>68</v>
      </c>
    </row>
    <row r="22" customFormat="false" ht="68.65" hidden="false" customHeight="false" outlineLevel="0" collapsed="false">
      <c r="A22" s="6" t="s">
        <v>69</v>
      </c>
      <c r="B22" s="11" t="s">
        <v>70</v>
      </c>
      <c r="C22" s="8" t="n">
        <v>0.08</v>
      </c>
      <c r="D22" s="7" t="s">
        <v>57</v>
      </c>
      <c r="E22" s="7" t="s">
        <v>71</v>
      </c>
      <c r="F22" s="11" t="s">
        <v>72</v>
      </c>
    </row>
    <row r="23" customFormat="false" ht="57.45" hidden="false" customHeight="false" outlineLevel="0" collapsed="false">
      <c r="A23" s="6" t="s">
        <v>73</v>
      </c>
      <c r="B23" s="11" t="s">
        <v>74</v>
      </c>
      <c r="C23" s="8" t="n">
        <v>0.25</v>
      </c>
      <c r="D23" s="7" t="s">
        <v>57</v>
      </c>
      <c r="E23" s="7" t="s">
        <v>71</v>
      </c>
      <c r="F23" s="11" t="s">
        <v>75</v>
      </c>
    </row>
    <row r="24" customFormat="false" ht="46.25" hidden="false" customHeight="false" outlineLevel="0" collapsed="false">
      <c r="A24" s="6" t="s">
        <v>76</v>
      </c>
      <c r="B24" s="11" t="s">
        <v>77</v>
      </c>
      <c r="C24" s="12" t="n">
        <v>8</v>
      </c>
      <c r="D24" s="7" t="s">
        <v>78</v>
      </c>
      <c r="E24" s="7" t="s">
        <v>71</v>
      </c>
      <c r="F24" s="11" t="s">
        <v>79</v>
      </c>
    </row>
    <row r="25" customFormat="false" ht="46.25" hidden="false" customHeight="false" outlineLevel="0" collapsed="false">
      <c r="A25" s="6" t="s">
        <v>80</v>
      </c>
      <c r="B25" s="11" t="s">
        <v>81</v>
      </c>
      <c r="C25" s="9" t="n">
        <v>0</v>
      </c>
      <c r="D25" s="7" t="s">
        <v>67</v>
      </c>
      <c r="E25" s="7" t="s">
        <v>71</v>
      </c>
      <c r="F25" s="11" t="s">
        <v>82</v>
      </c>
    </row>
    <row r="26" customFormat="false" ht="23.85" hidden="false" customHeight="false" outlineLevel="0" collapsed="false">
      <c r="A26" s="6" t="s">
        <v>83</v>
      </c>
      <c r="B26" s="11" t="s">
        <v>84</v>
      </c>
      <c r="C26" s="8" t="n">
        <v>0.95</v>
      </c>
      <c r="D26" s="7" t="s">
        <v>57</v>
      </c>
      <c r="E26" s="7" t="s">
        <v>24</v>
      </c>
      <c r="F26" s="11" t="s">
        <v>85</v>
      </c>
    </row>
    <row r="27" customFormat="false" ht="23.85" hidden="false" customHeight="false" outlineLevel="0" collapsed="false">
      <c r="A27" s="6" t="s">
        <v>86</v>
      </c>
      <c r="B27" s="11" t="s">
        <v>87</v>
      </c>
      <c r="C27" s="8" t="n">
        <v>0.6</v>
      </c>
      <c r="D27" s="7" t="s">
        <v>57</v>
      </c>
      <c r="E27" s="7" t="s">
        <v>24</v>
      </c>
      <c r="F27" s="11" t="s">
        <v>85</v>
      </c>
    </row>
    <row r="28" customFormat="false" ht="23.85" hidden="false" customHeight="false" outlineLevel="0" collapsed="false">
      <c r="A28" s="6" t="s">
        <v>88</v>
      </c>
      <c r="B28" s="11" t="s">
        <v>89</v>
      </c>
      <c r="C28" s="8" t="n">
        <v>0.7</v>
      </c>
      <c r="D28" s="7" t="s">
        <v>57</v>
      </c>
      <c r="E28" s="7" t="s">
        <v>24</v>
      </c>
      <c r="F28" s="11" t="s">
        <v>85</v>
      </c>
    </row>
    <row r="29" customFormat="false" ht="46.25" hidden="false" customHeight="false" outlineLevel="0" collapsed="false">
      <c r="A29" s="6" t="s">
        <v>90</v>
      </c>
      <c r="B29" s="11" t="s">
        <v>91</v>
      </c>
      <c r="C29" s="8" t="n">
        <v>0.02</v>
      </c>
      <c r="D29" s="7" t="s">
        <v>57</v>
      </c>
      <c r="E29" s="7" t="s">
        <v>24</v>
      </c>
      <c r="F29" s="11" t="s">
        <v>92</v>
      </c>
    </row>
    <row r="30" customFormat="false" ht="23.85" hidden="false" customHeight="false" outlineLevel="0" collapsed="false">
      <c r="A30" s="6" t="s">
        <v>93</v>
      </c>
      <c r="B30" s="11" t="s">
        <v>94</v>
      </c>
      <c r="C30" s="12" t="n">
        <v>24</v>
      </c>
      <c r="D30" s="7" t="s">
        <v>95</v>
      </c>
      <c r="E30" s="7" t="s">
        <v>24</v>
      </c>
      <c r="F30" s="11" t="s">
        <v>96</v>
      </c>
    </row>
    <row r="31" customFormat="false" ht="46.25" hidden="false" customHeight="false" outlineLevel="0" collapsed="false">
      <c r="A31" s="6" t="s">
        <v>97</v>
      </c>
      <c r="B31" s="11" t="s">
        <v>98</v>
      </c>
      <c r="C31" s="9" t="n">
        <v>0</v>
      </c>
      <c r="D31" s="7" t="s">
        <v>67</v>
      </c>
      <c r="E31" s="7" t="s">
        <v>24</v>
      </c>
      <c r="F31" s="11" t="s">
        <v>99</v>
      </c>
    </row>
    <row r="32" customFormat="false" ht="23.85" hidden="false" customHeight="false" outlineLevel="0" collapsed="false">
      <c r="A32" s="6" t="s">
        <v>100</v>
      </c>
      <c r="B32" s="11" t="s">
        <v>101</v>
      </c>
      <c r="C32" s="12" t="n">
        <v>15</v>
      </c>
      <c r="D32" s="7" t="s">
        <v>102</v>
      </c>
      <c r="E32" s="7" t="s">
        <v>24</v>
      </c>
      <c r="F32" s="11" t="s">
        <v>103</v>
      </c>
    </row>
    <row r="33" customFormat="false" ht="23.85" hidden="false" customHeight="false" outlineLevel="0" collapsed="false">
      <c r="A33" s="6" t="s">
        <v>104</v>
      </c>
      <c r="B33" s="11" t="s">
        <v>105</v>
      </c>
      <c r="C33" s="9" t="n">
        <v>50000</v>
      </c>
      <c r="D33" s="7" t="s">
        <v>67</v>
      </c>
      <c r="E33" s="7" t="s">
        <v>71</v>
      </c>
      <c r="F33" s="11" t="s">
        <v>106</v>
      </c>
    </row>
    <row r="34" customFormat="false" ht="46.25" hidden="false" customHeight="false" outlineLevel="0" collapsed="false">
      <c r="A34" s="6" t="s">
        <v>107</v>
      </c>
      <c r="B34" s="11" t="s">
        <v>108</v>
      </c>
      <c r="C34" s="9" t="n">
        <v>25000</v>
      </c>
      <c r="D34" s="7" t="s">
        <v>109</v>
      </c>
      <c r="E34" s="7" t="s">
        <v>24</v>
      </c>
      <c r="F34" s="11" t="s">
        <v>110</v>
      </c>
    </row>
    <row r="35" customFormat="false" ht="23.85" hidden="false" customHeight="false" outlineLevel="0" collapsed="false">
      <c r="A35" s="6" t="s">
        <v>111</v>
      </c>
      <c r="B35" s="11" t="s">
        <v>112</v>
      </c>
      <c r="C35" s="9" t="n">
        <v>15000</v>
      </c>
      <c r="D35" s="7" t="s">
        <v>109</v>
      </c>
      <c r="E35" s="7" t="s">
        <v>24</v>
      </c>
      <c r="F35" s="11" t="s">
        <v>113</v>
      </c>
    </row>
    <row r="36" customFormat="false" ht="23.85" hidden="false" customHeight="false" outlineLevel="0" collapsed="false">
      <c r="A36" s="6" t="s">
        <v>114</v>
      </c>
      <c r="B36" s="11" t="s">
        <v>115</v>
      </c>
      <c r="C36" s="9" t="n">
        <v>50000</v>
      </c>
      <c r="D36" s="7" t="s">
        <v>116</v>
      </c>
      <c r="E36" s="7" t="s">
        <v>24</v>
      </c>
      <c r="F36" s="11" t="s">
        <v>113</v>
      </c>
    </row>
    <row r="37" customFormat="false" ht="23.85" hidden="false" customHeight="false" outlineLevel="0" collapsed="false">
      <c r="A37" s="6" t="s">
        <v>117</v>
      </c>
      <c r="B37" s="11" t="s">
        <v>118</v>
      </c>
      <c r="C37" s="9" t="n">
        <v>50000</v>
      </c>
      <c r="D37" s="7" t="s">
        <v>67</v>
      </c>
      <c r="E37" s="7" t="s">
        <v>47</v>
      </c>
      <c r="F37" s="11" t="s">
        <v>119</v>
      </c>
    </row>
    <row r="38" customFormat="false" ht="91" hidden="false" customHeight="false" outlineLevel="0" collapsed="false">
      <c r="A38" s="6" t="s">
        <v>120</v>
      </c>
      <c r="B38" s="11" t="s">
        <v>121</v>
      </c>
      <c r="C38" s="8" t="n">
        <v>0.18</v>
      </c>
      <c r="D38" s="7" t="s">
        <v>57</v>
      </c>
      <c r="E38" s="7" t="s">
        <v>47</v>
      </c>
      <c r="F38" s="11" t="s">
        <v>122</v>
      </c>
    </row>
    <row r="40" customFormat="false" ht="15" hidden="false" customHeight="true" outlineLevel="0" collapsed="false">
      <c r="A40" s="13" t="s">
        <v>123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</sheetData>
  <mergeCells count="1">
    <mergeCell ref="A40:N42"/>
  </mergeCells>
  <dataValidations count="2">
    <dataValidation allowBlank="true" errorStyle="stop" operator="between" showDropDown="false" showErrorMessage="false" showInputMessage="false" sqref="I6:I13" type="list">
      <formula1>"platform,customer"</formula1>
      <formula2>0</formula2>
    </dataValidation>
    <dataValidation allowBlank="true" errorStyle="stop" operator="between" showDropDown="false" showErrorMessage="false" showInputMessage="false" sqref="J6:J13" type="list">
      <formula1>"platform,merchant,sponsor"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16"/>
    <col collapsed="false" customWidth="true" hidden="false" outlineLevel="0" max="12" min="12" style="0" width="36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3"/>
  </cols>
  <sheetData>
    <row r="1" customFormat="false" ht="15" hidden="false" customHeight="false" outlineLevel="0" collapsed="false">
      <c r="A1" s="1" t="s">
        <v>124</v>
      </c>
    </row>
    <row r="3" customFormat="false" ht="15" hidden="false" customHeight="false" outlineLevel="0" collapsed="false">
      <c r="A3" s="6" t="s">
        <v>125</v>
      </c>
      <c r="B3" s="14" t="n">
        <v>100000</v>
      </c>
      <c r="C3" s="2" t="s">
        <v>126</v>
      </c>
    </row>
    <row r="6" customFormat="false" ht="35.05" hidden="false" customHeight="false" outlineLevel="0" collapsed="false">
      <c r="A6" s="5" t="s">
        <v>127</v>
      </c>
      <c r="B6" s="5" t="s">
        <v>128</v>
      </c>
      <c r="C6" s="5" t="s">
        <v>129</v>
      </c>
      <c r="D6" s="5" t="s">
        <v>130</v>
      </c>
      <c r="E6" s="5" t="s">
        <v>131</v>
      </c>
      <c r="F6" s="5" t="s">
        <v>132</v>
      </c>
      <c r="G6" s="5" t="s">
        <v>133</v>
      </c>
      <c r="H6" s="5" t="s">
        <v>134</v>
      </c>
      <c r="I6" s="5" t="s">
        <v>135</v>
      </c>
      <c r="J6" s="5" t="s">
        <v>136</v>
      </c>
      <c r="K6" s="5" t="s">
        <v>15</v>
      </c>
      <c r="L6" s="5" t="s">
        <v>137</v>
      </c>
      <c r="M6" s="5" t="s">
        <v>138</v>
      </c>
      <c r="N6" s="5" t="s">
        <v>139</v>
      </c>
      <c r="O6" s="5" t="s">
        <v>140</v>
      </c>
      <c r="P6" s="5" t="s">
        <v>141</v>
      </c>
      <c r="Q6" s="5" t="s">
        <v>142</v>
      </c>
    </row>
    <row r="7" customFormat="false" ht="23.85" hidden="false" customHeight="false" outlineLevel="0" collapsed="false">
      <c r="A7" s="6" t="s">
        <v>143</v>
      </c>
      <c r="B7" s="7" t="s">
        <v>144</v>
      </c>
      <c r="C7" s="7" t="s">
        <v>145</v>
      </c>
      <c r="D7" s="15" t="n">
        <v>0</v>
      </c>
      <c r="E7" s="9" t="n">
        <v>4000</v>
      </c>
      <c r="F7" s="10" t="s">
        <v>146</v>
      </c>
      <c r="G7" s="16" t="n">
        <f aca="false">Asumsi!$C$18</f>
        <v>0.11</v>
      </c>
      <c r="H7" s="12" t="n">
        <v>1</v>
      </c>
      <c r="I7" s="12" t="n">
        <v>2</v>
      </c>
      <c r="J7" s="11" t="s">
        <v>147</v>
      </c>
      <c r="K7" s="7" t="s">
        <v>71</v>
      </c>
      <c r="L7" s="11" t="s">
        <v>148</v>
      </c>
      <c r="M7" s="17" t="n">
        <f aca="false">IF($B$3&lt;=0,0,ROUND($B$3*D7,0)+E7)</f>
        <v>4000</v>
      </c>
      <c r="N7" s="17" t="n">
        <f aca="false">IF(F7="Ya",0,ROUND(M7*G7,0))</f>
        <v>440</v>
      </c>
      <c r="O7" s="18" t="n">
        <f aca="false">M7+N7</f>
        <v>4440</v>
      </c>
      <c r="P7" s="19" t="n">
        <f aca="false">IF($B$3&gt;0,O7/$B$3,0)</f>
        <v>0.0444</v>
      </c>
      <c r="Q7" s="17" t="n">
        <f aca="false">$B$3-O7</f>
        <v>95560</v>
      </c>
    </row>
    <row r="8" customFormat="false" ht="23.85" hidden="false" customHeight="false" outlineLevel="0" collapsed="false">
      <c r="A8" s="6" t="s">
        <v>149</v>
      </c>
      <c r="B8" s="7" t="s">
        <v>150</v>
      </c>
      <c r="C8" s="7" t="s">
        <v>145</v>
      </c>
      <c r="D8" s="15" t="n">
        <v>0.029</v>
      </c>
      <c r="E8" s="9" t="n">
        <v>2000</v>
      </c>
      <c r="F8" s="10" t="s">
        <v>146</v>
      </c>
      <c r="G8" s="16" t="n">
        <f aca="false">Asumsi!$C$18</f>
        <v>0.11</v>
      </c>
      <c r="H8" s="12" t="n">
        <v>3</v>
      </c>
      <c r="I8" s="12"/>
      <c r="J8" s="11" t="s">
        <v>151</v>
      </c>
      <c r="K8" s="7" t="s">
        <v>71</v>
      </c>
      <c r="L8" s="11" t="s">
        <v>152</v>
      </c>
      <c r="M8" s="17" t="n">
        <f aca="false">IF($B$3&lt;=0,0,ROUND($B$3*D8,0)+E8)</f>
        <v>4900</v>
      </c>
      <c r="N8" s="17" t="n">
        <f aca="false">IF(F8="Ya",0,ROUND(M8*G8,0))</f>
        <v>539</v>
      </c>
      <c r="O8" s="18" t="n">
        <f aca="false">M8+N8</f>
        <v>5439</v>
      </c>
      <c r="P8" s="19" t="n">
        <f aca="false">IF($B$3&gt;0,O8/$B$3,0)</f>
        <v>0.05439</v>
      </c>
      <c r="Q8" s="17" t="n">
        <f aca="false">$B$3-O8</f>
        <v>94561</v>
      </c>
    </row>
    <row r="9" customFormat="false" ht="23.85" hidden="false" customHeight="false" outlineLevel="0" collapsed="false">
      <c r="A9" s="6" t="s">
        <v>153</v>
      </c>
      <c r="B9" s="7" t="s">
        <v>154</v>
      </c>
      <c r="C9" s="7" t="s">
        <v>145</v>
      </c>
      <c r="D9" s="15" t="n">
        <v>0.02</v>
      </c>
      <c r="E9" s="9" t="n">
        <v>0</v>
      </c>
      <c r="F9" s="10" t="s">
        <v>155</v>
      </c>
      <c r="G9" s="16" t="n">
        <f aca="false">Asumsi!$C$18</f>
        <v>0.11</v>
      </c>
      <c r="H9" s="12" t="n">
        <v>1</v>
      </c>
      <c r="I9" s="12"/>
      <c r="J9" s="11" t="s">
        <v>156</v>
      </c>
      <c r="K9" s="7" t="s">
        <v>71</v>
      </c>
      <c r="L9" s="11" t="s">
        <v>157</v>
      </c>
      <c r="M9" s="17" t="n">
        <f aca="false">IF($B$3&lt;=0,0,ROUND($B$3*D9,0)+E9)</f>
        <v>2000</v>
      </c>
      <c r="N9" s="17" t="n">
        <f aca="false">IF(F9="Ya",0,ROUND(M9*G9,0))</f>
        <v>0</v>
      </c>
      <c r="O9" s="18" t="n">
        <f aca="false">M9+N9</f>
        <v>2000</v>
      </c>
      <c r="P9" s="19" t="n">
        <f aca="false">IF($B$3&gt;0,O9/$B$3,0)</f>
        <v>0.02</v>
      </c>
      <c r="Q9" s="17" t="n">
        <f aca="false">$B$3-O9</f>
        <v>98000</v>
      </c>
    </row>
    <row r="10" customFormat="false" ht="23.85" hidden="false" customHeight="false" outlineLevel="0" collapsed="false">
      <c r="A10" s="6" t="s">
        <v>158</v>
      </c>
      <c r="B10" s="7" t="s">
        <v>159</v>
      </c>
      <c r="C10" s="7" t="s">
        <v>145</v>
      </c>
      <c r="D10" s="15" t="n">
        <v>0.02</v>
      </c>
      <c r="E10" s="9" t="n">
        <v>0</v>
      </c>
      <c r="F10" s="10" t="s">
        <v>155</v>
      </c>
      <c r="G10" s="16" t="n">
        <f aca="false">Asumsi!$C$18</f>
        <v>0.11</v>
      </c>
      <c r="H10" s="12" t="n">
        <v>2</v>
      </c>
      <c r="I10" s="12"/>
      <c r="J10" s="11" t="s">
        <v>160</v>
      </c>
      <c r="K10" s="7" t="s">
        <v>71</v>
      </c>
      <c r="L10" s="11" t="s">
        <v>161</v>
      </c>
      <c r="M10" s="17" t="n">
        <f aca="false">IF($B$3&lt;=0,0,ROUND($B$3*D10,0)+E10)</f>
        <v>2000</v>
      </c>
      <c r="N10" s="17" t="n">
        <f aca="false">IF(F10="Ya",0,ROUND(M10*G10,0))</f>
        <v>0</v>
      </c>
      <c r="O10" s="18" t="n">
        <f aca="false">M10+N10</f>
        <v>2000</v>
      </c>
      <c r="P10" s="19" t="n">
        <f aca="false">IF($B$3&gt;0,O10/$B$3,0)</f>
        <v>0.02</v>
      </c>
      <c r="Q10" s="17" t="n">
        <f aca="false">$B$3-O10</f>
        <v>98000</v>
      </c>
    </row>
    <row r="11" customFormat="false" ht="23.85" hidden="false" customHeight="false" outlineLevel="0" collapsed="false">
      <c r="A11" s="6" t="s">
        <v>162</v>
      </c>
      <c r="B11" s="7" t="s">
        <v>163</v>
      </c>
      <c r="C11" s="7" t="s">
        <v>145</v>
      </c>
      <c r="D11" s="15" t="n">
        <v>0.007</v>
      </c>
      <c r="E11" s="9" t="n">
        <v>0</v>
      </c>
      <c r="F11" s="10" t="s">
        <v>155</v>
      </c>
      <c r="G11" s="16" t="n">
        <f aca="false">Asumsi!$C$18</f>
        <v>0.11</v>
      </c>
      <c r="H11" s="12" t="n">
        <v>1</v>
      </c>
      <c r="I11" s="12"/>
      <c r="J11" s="11" t="s">
        <v>164</v>
      </c>
      <c r="K11" s="7" t="s">
        <v>71</v>
      </c>
      <c r="L11" s="11"/>
      <c r="M11" s="17" t="n">
        <f aca="false">IF($B$3&lt;=0,0,ROUND($B$3*D11,0)+E11)</f>
        <v>700</v>
      </c>
      <c r="N11" s="17" t="n">
        <f aca="false">IF(F11="Ya",0,ROUND(M11*G11,0))</f>
        <v>0</v>
      </c>
      <c r="O11" s="18" t="n">
        <f aca="false">M11+N11</f>
        <v>700</v>
      </c>
      <c r="P11" s="19" t="n">
        <f aca="false">IF($B$3&gt;0,O11/$B$3,0)</f>
        <v>0.007</v>
      </c>
      <c r="Q11" s="17" t="n">
        <f aca="false">$B$3-O11</f>
        <v>99300</v>
      </c>
    </row>
    <row r="12" customFormat="false" ht="23.85" hidden="false" customHeight="false" outlineLevel="0" collapsed="false">
      <c r="A12" s="6" t="s">
        <v>165</v>
      </c>
      <c r="B12" s="7" t="s">
        <v>166</v>
      </c>
      <c r="C12" s="7" t="s">
        <v>145</v>
      </c>
      <c r="D12" s="15" t="n">
        <v>0.015</v>
      </c>
      <c r="E12" s="9" t="n">
        <v>0</v>
      </c>
      <c r="F12" s="10" t="s">
        <v>146</v>
      </c>
      <c r="G12" s="16" t="n">
        <f aca="false">Asumsi!$C$18</f>
        <v>0.11</v>
      </c>
      <c r="H12" s="12" t="n">
        <v>2</v>
      </c>
      <c r="I12" s="12"/>
      <c r="J12" s="11" t="s">
        <v>167</v>
      </c>
      <c r="K12" s="7" t="s">
        <v>71</v>
      </c>
      <c r="L12" s="11"/>
      <c r="M12" s="17" t="n">
        <f aca="false">IF($B$3&lt;=0,0,ROUND($B$3*D12,0)+E12)</f>
        <v>1500</v>
      </c>
      <c r="N12" s="17" t="n">
        <f aca="false">IF(F12="Ya",0,ROUND(M12*G12,0))</f>
        <v>165</v>
      </c>
      <c r="O12" s="18" t="n">
        <f aca="false">M12+N12</f>
        <v>1665</v>
      </c>
      <c r="P12" s="19" t="n">
        <f aca="false">IF($B$3&gt;0,O12/$B$3,0)</f>
        <v>0.01665</v>
      </c>
      <c r="Q12" s="17" t="n">
        <f aca="false">$B$3-O12</f>
        <v>98335</v>
      </c>
    </row>
    <row r="13" customFormat="false" ht="23.85" hidden="false" customHeight="false" outlineLevel="0" collapsed="false">
      <c r="A13" s="6" t="s">
        <v>168</v>
      </c>
      <c r="B13" s="7" t="s">
        <v>169</v>
      </c>
      <c r="C13" s="7" t="s">
        <v>145</v>
      </c>
      <c r="D13" s="15" t="n">
        <v>0.015</v>
      </c>
      <c r="E13" s="9" t="n">
        <v>0</v>
      </c>
      <c r="F13" s="10" t="s">
        <v>146</v>
      </c>
      <c r="G13" s="16" t="n">
        <f aca="false">Asumsi!$C$18</f>
        <v>0.11</v>
      </c>
      <c r="H13" s="12" t="n">
        <v>5</v>
      </c>
      <c r="I13" s="12"/>
      <c r="J13" s="11" t="s">
        <v>170</v>
      </c>
      <c r="K13" s="7" t="s">
        <v>71</v>
      </c>
      <c r="L13" s="11" t="s">
        <v>171</v>
      </c>
      <c r="M13" s="17" t="n">
        <f aca="false">IF($B$3&lt;=0,0,ROUND($B$3*D13,0)+E13)</f>
        <v>1500</v>
      </c>
      <c r="N13" s="17" t="n">
        <f aca="false">IF(F13="Ya",0,ROUND(M13*G13,0))</f>
        <v>165</v>
      </c>
      <c r="O13" s="18" t="n">
        <f aca="false">M13+N13</f>
        <v>1665</v>
      </c>
      <c r="P13" s="19" t="n">
        <f aca="false">IF($B$3&gt;0,O13/$B$3,0)</f>
        <v>0.01665</v>
      </c>
      <c r="Q13" s="17" t="n">
        <f aca="false">$B$3-O13</f>
        <v>98335</v>
      </c>
    </row>
    <row r="14" customFormat="false" ht="15" hidden="false" customHeight="false" outlineLevel="0" collapsed="false">
      <c r="A14" s="6" t="s">
        <v>172</v>
      </c>
      <c r="B14" s="7" t="s">
        <v>173</v>
      </c>
      <c r="C14" s="7" t="s">
        <v>145</v>
      </c>
      <c r="D14" s="15" t="n">
        <v>0.017</v>
      </c>
      <c r="E14" s="9" t="n">
        <v>0</v>
      </c>
      <c r="F14" s="10" t="s">
        <v>146</v>
      </c>
      <c r="G14" s="16" t="n">
        <f aca="false">Asumsi!$C$18</f>
        <v>0.11</v>
      </c>
      <c r="H14" s="12" t="n">
        <v>5</v>
      </c>
      <c r="I14" s="12"/>
      <c r="J14" s="11" t="s">
        <v>174</v>
      </c>
      <c r="K14" s="7" t="s">
        <v>71</v>
      </c>
      <c r="L14" s="11" t="s">
        <v>175</v>
      </c>
      <c r="M14" s="17" t="n">
        <f aca="false">IF($B$3&lt;=0,0,ROUND($B$3*D14,0)+E14)</f>
        <v>1700</v>
      </c>
      <c r="N14" s="17" t="n">
        <f aca="false">IF(F14="Ya",0,ROUND(M14*G14,0))</f>
        <v>187</v>
      </c>
      <c r="O14" s="18" t="n">
        <f aca="false">M14+N14</f>
        <v>1887</v>
      </c>
      <c r="P14" s="19" t="n">
        <f aca="false">IF($B$3&gt;0,O14/$B$3,0)</f>
        <v>0.01887</v>
      </c>
      <c r="Q14" s="17" t="n">
        <f aca="false">$B$3-O14</f>
        <v>98113</v>
      </c>
    </row>
    <row r="15" customFormat="false" ht="23.85" hidden="false" customHeight="false" outlineLevel="0" collapsed="false">
      <c r="A15" s="6" t="s">
        <v>176</v>
      </c>
      <c r="B15" s="7" t="s">
        <v>177</v>
      </c>
      <c r="C15" s="7" t="s">
        <v>145</v>
      </c>
      <c r="D15" s="15" t="n">
        <v>0.02</v>
      </c>
      <c r="E15" s="9" t="n">
        <v>0</v>
      </c>
      <c r="F15" s="10" t="s">
        <v>146</v>
      </c>
      <c r="G15" s="16" t="n">
        <f aca="false">Asumsi!$C$18</f>
        <v>0.11</v>
      </c>
      <c r="H15" s="12" t="n">
        <v>2</v>
      </c>
      <c r="I15" s="12"/>
      <c r="J15" s="11" t="s">
        <v>178</v>
      </c>
      <c r="K15" s="7" t="s">
        <v>71</v>
      </c>
      <c r="L15" s="11" t="s">
        <v>175</v>
      </c>
      <c r="M15" s="17" t="n">
        <f aca="false">IF($B$3&lt;=0,0,ROUND($B$3*D15,0)+E15)</f>
        <v>2000</v>
      </c>
      <c r="N15" s="17" t="n">
        <f aca="false">IF(F15="Ya",0,ROUND(M15*G15,0))</f>
        <v>220</v>
      </c>
      <c r="O15" s="18" t="n">
        <f aca="false">M15+N15</f>
        <v>2220</v>
      </c>
      <c r="P15" s="19" t="n">
        <f aca="false">IF($B$3&gt;0,O15/$B$3,0)</f>
        <v>0.0222</v>
      </c>
      <c r="Q15" s="17" t="n">
        <f aca="false">$B$3-O15</f>
        <v>97780</v>
      </c>
    </row>
    <row r="16" customFormat="false" ht="15" hidden="false" customHeight="false" outlineLevel="0" collapsed="false">
      <c r="A16" s="6" t="s">
        <v>179</v>
      </c>
      <c r="B16" s="7" t="s">
        <v>180</v>
      </c>
      <c r="C16" s="7" t="s">
        <v>145</v>
      </c>
      <c r="D16" s="15" t="n">
        <v>0</v>
      </c>
      <c r="E16" s="9" t="n">
        <v>5000</v>
      </c>
      <c r="F16" s="10" t="s">
        <v>146</v>
      </c>
      <c r="G16" s="16" t="n">
        <f aca="false">Asumsi!$C$18</f>
        <v>0.11</v>
      </c>
      <c r="H16" s="12" t="n">
        <v>5</v>
      </c>
      <c r="I16" s="12"/>
      <c r="J16" s="11" t="s">
        <v>181</v>
      </c>
      <c r="K16" s="7" t="s">
        <v>71</v>
      </c>
      <c r="L16" s="11" t="s">
        <v>175</v>
      </c>
      <c r="M16" s="17" t="n">
        <f aca="false">IF($B$3&lt;=0,0,ROUND($B$3*D16,0)+E16)</f>
        <v>5000</v>
      </c>
      <c r="N16" s="17" t="n">
        <f aca="false">IF(F16="Ya",0,ROUND(M16*G16,0))</f>
        <v>550</v>
      </c>
      <c r="O16" s="18" t="n">
        <f aca="false">M16+N16</f>
        <v>5550</v>
      </c>
      <c r="P16" s="19" t="n">
        <f aca="false">IF($B$3&gt;0,O16/$B$3,0)</f>
        <v>0.0555</v>
      </c>
      <c r="Q16" s="17" t="n">
        <f aca="false">$B$3-O16</f>
        <v>94450</v>
      </c>
    </row>
    <row r="17" customFormat="false" ht="23.85" hidden="false" customHeight="false" outlineLevel="0" collapsed="false">
      <c r="A17" s="6" t="s">
        <v>182</v>
      </c>
      <c r="B17" s="7" t="s">
        <v>183</v>
      </c>
      <c r="C17" s="7" t="s">
        <v>145</v>
      </c>
      <c r="D17" s="15" t="n">
        <v>0</v>
      </c>
      <c r="E17" s="9" t="n">
        <v>1000</v>
      </c>
      <c r="F17" s="10" t="s">
        <v>146</v>
      </c>
      <c r="G17" s="16" t="n">
        <f aca="false">Asumsi!$C$18</f>
        <v>0.11</v>
      </c>
      <c r="H17" s="12" t="n">
        <v>5</v>
      </c>
      <c r="I17" s="12"/>
      <c r="J17" s="11" t="s">
        <v>184</v>
      </c>
      <c r="K17" s="7" t="s">
        <v>185</v>
      </c>
      <c r="L17" s="11" t="s">
        <v>186</v>
      </c>
      <c r="M17" s="17" t="n">
        <f aca="false">IF($B$3&lt;=0,0,ROUND($B$3*D17,0)+E17)</f>
        <v>1000</v>
      </c>
      <c r="N17" s="17" t="n">
        <f aca="false">IF(F17="Ya",0,ROUND(M17*G17,0))</f>
        <v>110</v>
      </c>
      <c r="O17" s="18" t="n">
        <f aca="false">M17+N17</f>
        <v>1110</v>
      </c>
      <c r="P17" s="19" t="n">
        <f aca="false">IF($B$3&gt;0,O17/$B$3,0)</f>
        <v>0.0111</v>
      </c>
      <c r="Q17" s="17" t="n">
        <f aca="false">$B$3-O17</f>
        <v>98890</v>
      </c>
    </row>
    <row r="18" customFormat="false" ht="15" hidden="false" customHeight="false" outlineLevel="0" collapsed="false">
      <c r="A18" s="6" t="s">
        <v>187</v>
      </c>
      <c r="B18" s="7" t="s">
        <v>188</v>
      </c>
      <c r="C18" s="7" t="s">
        <v>189</v>
      </c>
      <c r="D18" s="15" t="n">
        <v>0</v>
      </c>
      <c r="E18" s="9" t="n">
        <v>0</v>
      </c>
      <c r="F18" s="10" t="s">
        <v>155</v>
      </c>
      <c r="G18" s="16" t="n">
        <f aca="false">Asumsi!$C$18</f>
        <v>0.11</v>
      </c>
      <c r="H18" s="12" t="n">
        <v>0</v>
      </c>
      <c r="I18" s="12"/>
      <c r="J18" s="11" t="s">
        <v>190</v>
      </c>
      <c r="K18" s="7" t="s">
        <v>47</v>
      </c>
      <c r="L18" s="11" t="s">
        <v>191</v>
      </c>
      <c r="M18" s="17" t="n">
        <f aca="false">IF($B$3&lt;=0,0,ROUND($B$3*D18,0)+E18)</f>
        <v>0</v>
      </c>
      <c r="N18" s="17" t="n">
        <f aca="false">IF(F18="Ya",0,ROUND(M18*G18,0))</f>
        <v>0</v>
      </c>
      <c r="O18" s="18" t="n">
        <f aca="false">M18+N18</f>
        <v>0</v>
      </c>
      <c r="P18" s="19" t="n">
        <f aca="false">IF($B$3&gt;0,O18/$B$3,0)</f>
        <v>0</v>
      </c>
      <c r="Q18" s="17" t="n">
        <f aca="false">$B$3-O18</f>
        <v>100000</v>
      </c>
    </row>
    <row r="19" customFormat="false" ht="23.85" hidden="false" customHeight="false" outlineLevel="0" collapsed="false">
      <c r="A19" s="6" t="s">
        <v>192</v>
      </c>
      <c r="B19" s="7" t="s">
        <v>193</v>
      </c>
      <c r="C19" s="7" t="s">
        <v>189</v>
      </c>
      <c r="D19" s="15" t="n">
        <v>0</v>
      </c>
      <c r="E19" s="9" t="n">
        <v>0</v>
      </c>
      <c r="F19" s="10" t="s">
        <v>155</v>
      </c>
      <c r="G19" s="16" t="n">
        <f aca="false">Asumsi!$C$18</f>
        <v>0.11</v>
      </c>
      <c r="H19" s="12" t="n">
        <v>0</v>
      </c>
      <c r="I19" s="12"/>
      <c r="J19" s="11" t="s">
        <v>190</v>
      </c>
      <c r="K19" s="7" t="s">
        <v>47</v>
      </c>
      <c r="L19" s="11" t="s">
        <v>194</v>
      </c>
      <c r="M19" s="17" t="n">
        <f aca="false">IF($B$3&lt;=0,0,ROUND($B$3*D19,0)+E19)</f>
        <v>0</v>
      </c>
      <c r="N19" s="17" t="n">
        <f aca="false">IF(F19="Ya",0,ROUND(M19*G19,0))</f>
        <v>0</v>
      </c>
      <c r="O19" s="18" t="n">
        <f aca="false">M19+N19</f>
        <v>0</v>
      </c>
      <c r="P19" s="19" t="n">
        <f aca="false">IF($B$3&gt;0,O19/$B$3,0)</f>
        <v>0</v>
      </c>
      <c r="Q19" s="17" t="n">
        <f aca="false">$B$3-O19</f>
        <v>100000</v>
      </c>
    </row>
    <row r="20" customFormat="false" ht="15" hidden="false" customHeight="false" outlineLevel="0" collapsed="false">
      <c r="A20" s="6" t="s">
        <v>195</v>
      </c>
      <c r="B20" s="7" t="s">
        <v>196</v>
      </c>
      <c r="C20" s="7" t="s">
        <v>189</v>
      </c>
      <c r="D20" s="15" t="n">
        <v>0</v>
      </c>
      <c r="E20" s="9" t="n">
        <v>0</v>
      </c>
      <c r="F20" s="10" t="s">
        <v>155</v>
      </c>
      <c r="G20" s="16" t="n">
        <f aca="false">Asumsi!$C$18</f>
        <v>0.11</v>
      </c>
      <c r="H20" s="12" t="n">
        <v>0</v>
      </c>
      <c r="I20" s="12"/>
      <c r="J20" s="11" t="s">
        <v>190</v>
      </c>
      <c r="K20" s="7" t="s">
        <v>47</v>
      </c>
      <c r="L20" s="11" t="s">
        <v>191</v>
      </c>
      <c r="M20" s="17" t="n">
        <f aca="false">IF($B$3&lt;=0,0,ROUND($B$3*D20,0)+E20)</f>
        <v>0</v>
      </c>
      <c r="N20" s="17" t="n">
        <f aca="false">IF(F20="Ya",0,ROUND(M20*G20,0))</f>
        <v>0</v>
      </c>
      <c r="O20" s="18" t="n">
        <f aca="false">M20+N20</f>
        <v>0</v>
      </c>
      <c r="P20" s="19" t="n">
        <f aca="false">IF($B$3&gt;0,O20/$B$3,0)</f>
        <v>0</v>
      </c>
      <c r="Q20" s="17" t="n">
        <f aca="false">$B$3-O20</f>
        <v>100000</v>
      </c>
    </row>
    <row r="22" customFormat="false" ht="15" hidden="false" customHeight="false" outlineLevel="0" collapsed="false">
      <c r="A22" s="2" t="s">
        <v>197</v>
      </c>
    </row>
    <row r="23" customFormat="false" ht="15" hidden="false" customHeight="false" outlineLevel="0" collapsed="false">
      <c r="A23" s="2" t="s">
        <v>198</v>
      </c>
    </row>
    <row r="24" customFormat="false" ht="15" hidden="false" customHeight="false" outlineLevel="0" collapsed="false">
      <c r="A24" s="2" t="s">
        <v>199</v>
      </c>
    </row>
    <row r="25" customFormat="false" ht="15" hidden="false" customHeight="false" outlineLevel="0" collapsed="false">
      <c r="A25" s="2" t="s">
        <v>200</v>
      </c>
    </row>
    <row r="27" customFormat="false" ht="15" hidden="false" customHeight="false" outlineLevel="0" collapsed="false">
      <c r="A27" s="2" t="s">
        <v>123</v>
      </c>
    </row>
  </sheetData>
  <dataValidations count="1">
    <dataValidation allowBlank="false" errorStyle="stop" operator="between" showDropDown="false" showErrorMessage="false" showInputMessage="false" sqref="F7:F20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12" min="4" style="0" width="1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3" customFormat="false" ht="15" hidden="false" customHeight="false" outlineLevel="0" collapsed="false">
      <c r="A3" s="3" t="s">
        <v>203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46.25" hidden="false" customHeight="false" outlineLevel="0" collapsed="false">
      <c r="A4" s="5" t="s">
        <v>4</v>
      </c>
      <c r="B4" s="5" t="s">
        <v>204</v>
      </c>
      <c r="C4" s="5" t="s">
        <v>205</v>
      </c>
      <c r="D4" s="5" t="s">
        <v>206</v>
      </c>
      <c r="E4" s="5" t="s">
        <v>207</v>
      </c>
      <c r="F4" s="5" t="s">
        <v>208</v>
      </c>
      <c r="G4" s="5" t="s">
        <v>209</v>
      </c>
      <c r="H4" s="5" t="s">
        <v>210</v>
      </c>
      <c r="I4" s="5" t="s">
        <v>211</v>
      </c>
      <c r="J4" s="5" t="s">
        <v>212</v>
      </c>
      <c r="K4" s="5" t="s">
        <v>213</v>
      </c>
      <c r="L4" s="5" t="s">
        <v>214</v>
      </c>
      <c r="M4" s="5" t="s">
        <v>215</v>
      </c>
    </row>
    <row r="5" customFormat="false" ht="15" hidden="false" customHeight="false" outlineLevel="0" collapsed="false">
      <c r="A5" s="6" t="s">
        <v>17</v>
      </c>
      <c r="B5" s="17" t="n">
        <f aca="false">$B$63</f>
        <v>8000</v>
      </c>
      <c r="C5" s="17" t="n">
        <f aca="false">$B$28</f>
        <v>7000</v>
      </c>
      <c r="D5" s="17" t="n">
        <f aca="false">$B$66</f>
        <v>6440</v>
      </c>
      <c r="E5" s="20" t="n">
        <f aca="false">$B$81</f>
        <v>0.92</v>
      </c>
      <c r="F5" s="17" t="n">
        <f aca="false">IF($B$48=1,0,$B$28-INT(ROUND($B$28*INDEX(Asumsi!$K$6:$K$13,MATCH($A5,Asumsi!$A$6:$A$13,0)),6))+MIN(INT(ROUND($B$28*INDEX(Asumsi!$K$6:$K$13,MATCH($A5,Asumsi!$A$6:$A$13,0)),6)),INT(ROUND($B$28*$B$36,6))))</f>
        <v>6440</v>
      </c>
      <c r="G5" s="17" t="n">
        <f aca="false">IF($B$48=1,0,$B$28-$B$53+$B$54)</f>
        <v>6440</v>
      </c>
      <c r="H5" s="18" t="n">
        <f aca="false">G5-F5</f>
        <v>0</v>
      </c>
      <c r="I5" s="17" t="n">
        <f aca="false">$B$67</f>
        <v>0</v>
      </c>
      <c r="J5" s="17" t="n">
        <f aca="false">$B$71</f>
        <v>1560</v>
      </c>
      <c r="K5" s="17" t="n">
        <f aca="false">$B$74</f>
        <v>0</v>
      </c>
      <c r="L5" s="18" t="n">
        <f aca="false">$B$75</f>
        <v>1560</v>
      </c>
      <c r="M5" s="20" t="n">
        <f aca="false">$B$80</f>
        <v>0.222857142857143</v>
      </c>
    </row>
    <row r="6" customFormat="false" ht="15" hidden="false" customHeight="false" outlineLevel="0" collapsed="false">
      <c r="A6" s="6" t="s">
        <v>22</v>
      </c>
      <c r="B6" s="17" t="n">
        <f aca="false">$B$123</f>
        <v>26000</v>
      </c>
      <c r="C6" s="17" t="n">
        <f aca="false">$B$88</f>
        <v>22000</v>
      </c>
      <c r="D6" s="17" t="n">
        <f aca="false">$B$126</f>
        <v>18700</v>
      </c>
      <c r="E6" s="20" t="n">
        <f aca="false">$B$141</f>
        <v>0.85</v>
      </c>
      <c r="F6" s="17" t="n">
        <f aca="false">IF($B$108=1,0,$B$88-INT(ROUND($B$88*INDEX(Asumsi!$K$6:$K$13,MATCH($A6,Asumsi!$A$6:$A$13,0)),6))+MIN(INT(ROUND($B$88*INDEX(Asumsi!$K$6:$K$13,MATCH($A6,Asumsi!$A$6:$A$13,0)),6)),INT(ROUND($B$88*$B$96,6))))</f>
        <v>17600</v>
      </c>
      <c r="G6" s="17" t="n">
        <f aca="false">IF($B$108=1,0,$B$88-$B$113+$B$114)</f>
        <v>18700</v>
      </c>
      <c r="H6" s="18" t="n">
        <f aca="false">G6-F6</f>
        <v>1100</v>
      </c>
      <c r="I6" s="17" t="n">
        <f aca="false">$B$127</f>
        <v>0</v>
      </c>
      <c r="J6" s="17" t="n">
        <f aca="false">$B$131</f>
        <v>7300</v>
      </c>
      <c r="K6" s="17" t="n">
        <f aca="false">$B$134</f>
        <v>0</v>
      </c>
      <c r="L6" s="18" t="n">
        <f aca="false">$B$135</f>
        <v>7300</v>
      </c>
      <c r="M6" s="20" t="n">
        <f aca="false">$B$140</f>
        <v>0.331818181818182</v>
      </c>
    </row>
    <row r="7" customFormat="false" ht="15" hidden="false" customHeight="false" outlineLevel="0" collapsed="false">
      <c r="A7" s="6" t="s">
        <v>26</v>
      </c>
      <c r="B7" s="17" t="n">
        <f aca="false">$B$183</f>
        <v>70000</v>
      </c>
      <c r="C7" s="17" t="n">
        <f aca="false">$B$148</f>
        <v>8000</v>
      </c>
      <c r="D7" s="17" t="n">
        <f aca="false">$B$186</f>
        <v>8000</v>
      </c>
      <c r="E7" s="20" t="n">
        <f aca="false">$B$201</f>
        <v>1</v>
      </c>
      <c r="F7" s="17" t="n">
        <f aca="false">IF($B$168=1,0,$B$148-INT(ROUND($B$148*INDEX(Asumsi!$K$6:$K$13,MATCH($A7,Asumsi!$A$6:$A$13,0)),6))+MIN(INT(ROUND($B$148*INDEX(Asumsi!$K$6:$K$13,MATCH($A7,Asumsi!$A$6:$A$13,0)),6)),INT(ROUND($B$148*$B$156,6))))</f>
        <v>6400</v>
      </c>
      <c r="G7" s="17" t="n">
        <f aca="false">IF($B$168=1,0,$B$148-$B$173+$B$174)</f>
        <v>8000</v>
      </c>
      <c r="H7" s="18" t="n">
        <f aca="false">G7-F7</f>
        <v>1600</v>
      </c>
      <c r="I7" s="17" t="n">
        <f aca="false">$B$187</f>
        <v>51000</v>
      </c>
      <c r="J7" s="17" t="n">
        <f aca="false">$B$191</f>
        <v>11000</v>
      </c>
      <c r="K7" s="17" t="n">
        <f aca="false">$B$194</f>
        <v>490</v>
      </c>
      <c r="L7" s="18" t="n">
        <f aca="false">$B$195</f>
        <v>10510</v>
      </c>
      <c r="M7" s="20" t="n">
        <f aca="false">$B$200</f>
        <v>0.161764705882353</v>
      </c>
    </row>
    <row r="8" customFormat="false" ht="15" hidden="false" customHeight="false" outlineLevel="0" collapsed="false">
      <c r="A8" s="6" t="s">
        <v>30</v>
      </c>
      <c r="B8" s="17" t="n">
        <f aca="false">$B$243</f>
        <v>11000</v>
      </c>
      <c r="C8" s="17" t="n">
        <f aca="false">$B$208</f>
        <v>8000</v>
      </c>
      <c r="D8" s="17" t="n">
        <f aca="false">$B$246</f>
        <v>8000</v>
      </c>
      <c r="E8" s="20" t="n">
        <f aca="false">$B$261</f>
        <v>1</v>
      </c>
      <c r="F8" s="17" t="n">
        <f aca="false">IF($B$228=1,0,$B$208-INT(ROUND($B$208*INDEX(Asumsi!$K$6:$K$13,MATCH($A8,Asumsi!$A$6:$A$13,0)),6))+MIN(INT(ROUND($B$208*INDEX(Asumsi!$K$6:$K$13,MATCH($A8,Asumsi!$A$6:$A$13,0)),6)),INT(ROUND($B$208*$B$216,6))))</f>
        <v>6400</v>
      </c>
      <c r="G8" s="17" t="n">
        <f aca="false">IF($B$228=1,0,$B$208-$B$233+$B$234)</f>
        <v>8000</v>
      </c>
      <c r="H8" s="18" t="n">
        <f aca="false">G8-F8</f>
        <v>1600</v>
      </c>
      <c r="I8" s="17" t="n">
        <f aca="false">$B$247</f>
        <v>0</v>
      </c>
      <c r="J8" s="17" t="n">
        <f aca="false">$B$251</f>
        <v>3000</v>
      </c>
      <c r="K8" s="17" t="n">
        <f aca="false">$B$254</f>
        <v>0</v>
      </c>
      <c r="L8" s="18" t="n">
        <f aca="false">$B$255</f>
        <v>3000</v>
      </c>
      <c r="M8" s="20" t="n">
        <f aca="false">$B$260</f>
        <v>0.375</v>
      </c>
    </row>
    <row r="9" customFormat="false" ht="15" hidden="false" customHeight="false" outlineLevel="0" collapsed="false">
      <c r="A9" s="6" t="s">
        <v>34</v>
      </c>
      <c r="B9" s="17" t="n">
        <f aca="false">$B$303</f>
        <v>166450</v>
      </c>
      <c r="C9" s="17" t="n">
        <f aca="false">$B$268</f>
        <v>9000</v>
      </c>
      <c r="D9" s="17" t="n">
        <f aca="false">$B$306</f>
        <v>14215</v>
      </c>
      <c r="E9" s="20" t="n">
        <f aca="false">$B$321</f>
        <v>1</v>
      </c>
      <c r="F9" s="17" t="n">
        <f aca="false">IF($B$288=1,0,$B$268-INT(ROUND($B$268*INDEX(Asumsi!$K$6:$K$13,MATCH($A9,Asumsi!$A$6:$A$13,0)),6))+MIN(INT(ROUND($B$268*INDEX(Asumsi!$K$6:$K$13,MATCH($A9,Asumsi!$A$6:$A$13,0)),6)),INT(ROUND($B$268*$B$276,6))))</f>
        <v>7200</v>
      </c>
      <c r="G9" s="17" t="n">
        <f aca="false">IF($B$288=1,0,$B$268-$B$293+$B$294)</f>
        <v>9000</v>
      </c>
      <c r="H9" s="18" t="n">
        <f aca="false">G9-F9</f>
        <v>1800</v>
      </c>
      <c r="I9" s="17" t="n">
        <f aca="false">$B$307</f>
        <v>0</v>
      </c>
      <c r="J9" s="17" t="n">
        <f aca="false">$B$311</f>
        <v>3235</v>
      </c>
      <c r="K9" s="17" t="n">
        <f aca="false">$B$314</f>
        <v>0</v>
      </c>
      <c r="L9" s="18" t="n">
        <f aca="false">$B$315</f>
        <v>3235</v>
      </c>
      <c r="M9" s="20" t="n">
        <f aca="false">$B$320</f>
        <v>0.0204746835443038</v>
      </c>
    </row>
    <row r="10" customFormat="false" ht="15" hidden="false" customHeight="false" outlineLevel="0" collapsed="false">
      <c r="A10" s="6" t="s">
        <v>38</v>
      </c>
      <c r="B10" s="17" t="n">
        <f aca="false">$B$363</f>
        <v>49000</v>
      </c>
      <c r="C10" s="17" t="n">
        <f aca="false">$B$328</f>
        <v>11000</v>
      </c>
      <c r="D10" s="17" t="n">
        <f aca="false">$B$366</f>
        <v>16600</v>
      </c>
      <c r="E10" s="20" t="n">
        <f aca="false">$B$381</f>
        <v>1</v>
      </c>
      <c r="F10" s="17" t="n">
        <f aca="false">IF($B$348=1,0,$B$328-INT(ROUND($B$328*INDEX(Asumsi!$K$6:$K$13,MATCH($A10,Asumsi!$A$6:$A$13,0)),6))+MIN(INT(ROUND($B$328*INDEX(Asumsi!$K$6:$K$13,MATCH($A10,Asumsi!$A$6:$A$13,0)),6)),INT(ROUND($B$328*$B$336,6))))</f>
        <v>8800</v>
      </c>
      <c r="G10" s="17" t="n">
        <f aca="false">IF($B$348=1,0,$B$328-$B$353+$B$354)</f>
        <v>11000</v>
      </c>
      <c r="H10" s="18" t="n">
        <f aca="false">G10-F10</f>
        <v>2200</v>
      </c>
      <c r="I10" s="17" t="n">
        <f aca="false">$B$367</f>
        <v>0</v>
      </c>
      <c r="J10" s="17" t="n">
        <f aca="false">$B$371</f>
        <v>3400</v>
      </c>
      <c r="K10" s="17" t="n">
        <f aca="false">$B$374</f>
        <v>0</v>
      </c>
      <c r="L10" s="18" t="n">
        <f aca="false">$B$375</f>
        <v>3400</v>
      </c>
      <c r="M10" s="20" t="n">
        <f aca="false">$B$380</f>
        <v>0.085</v>
      </c>
    </row>
    <row r="11" customFormat="false" ht="15" hidden="false" customHeight="false" outlineLevel="0" collapsed="false">
      <c r="A11" s="6" t="s">
        <v>42</v>
      </c>
      <c r="B11" s="17" t="n">
        <f aca="false">$B$423</f>
        <v>115000</v>
      </c>
      <c r="C11" s="17" t="n">
        <f aca="false">$B$388</f>
        <v>113000</v>
      </c>
      <c r="D11" s="17" t="n">
        <f aca="false">$B$426</f>
        <v>101700</v>
      </c>
      <c r="E11" s="20" t="n">
        <f aca="false">$B$441</f>
        <v>0.9</v>
      </c>
      <c r="F11" s="17" t="n">
        <f aca="false">IF($B$408=1,0,$B$388-INT(ROUND($B$388*INDEX(Asumsi!$K$6:$K$13,MATCH($A11,Asumsi!$A$6:$A$13,0)),6))+MIN(INT(ROUND($B$388*INDEX(Asumsi!$K$6:$K$13,MATCH($A11,Asumsi!$A$6:$A$13,0)),6)),INT(ROUND($B$388*$B$396,6))))</f>
        <v>90400</v>
      </c>
      <c r="G11" s="17" t="n">
        <f aca="false">IF($B$408=1,0,$B$388-$B$413+$B$414)</f>
        <v>101700</v>
      </c>
      <c r="H11" s="18" t="n">
        <f aca="false">G11-F11</f>
        <v>11300</v>
      </c>
      <c r="I11" s="17" t="n">
        <f aca="false">$B$427</f>
        <v>0</v>
      </c>
      <c r="J11" s="17" t="n">
        <f aca="false">$B$431</f>
        <v>13300</v>
      </c>
      <c r="K11" s="17" t="n">
        <f aca="false">$B$434</f>
        <v>0</v>
      </c>
      <c r="L11" s="18" t="n">
        <f aca="false">$B$435</f>
        <v>13300</v>
      </c>
      <c r="M11" s="20" t="n">
        <f aca="false">$B$440</f>
        <v>0.117699115044248</v>
      </c>
    </row>
    <row r="12" customFormat="false" ht="15" hidden="false" customHeight="false" outlineLevel="0" collapsed="false">
      <c r="A12" s="6" t="s">
        <v>45</v>
      </c>
      <c r="B12" s="17" t="n">
        <f aca="false">$B$483</f>
        <v>305000</v>
      </c>
      <c r="C12" s="17" t="n">
        <f aca="false">$B$448</f>
        <v>300000</v>
      </c>
      <c r="D12" s="17" t="n">
        <f aca="false">$B$486</f>
        <v>0</v>
      </c>
      <c r="E12" s="20" t="n">
        <f aca="false">$B$501</f>
        <v>0</v>
      </c>
      <c r="F12" s="17" t="n">
        <f aca="false">IF($B$468=1,0,$B$448-INT(ROUND($B$448*INDEX(Asumsi!$K$6:$K$13,MATCH($A12,Asumsi!$A$6:$A$13,0)),6))+MIN(INT(ROUND($B$448*INDEX(Asumsi!$K$6:$K$13,MATCH($A12,Asumsi!$A$6:$A$13,0)),6)),INT(ROUND($B$448*$B$456,6))))</f>
        <v>0</v>
      </c>
      <c r="G12" s="17" t="n">
        <f aca="false">IF($B$468=1,0,$B$448-$B$473+$B$474)</f>
        <v>0</v>
      </c>
      <c r="H12" s="18" t="n">
        <f aca="false">G12-F12</f>
        <v>0</v>
      </c>
      <c r="I12" s="17" t="n">
        <f aca="false">$B$487</f>
        <v>0</v>
      </c>
      <c r="J12" s="17" t="n">
        <f aca="false">$B$491</f>
        <v>35000</v>
      </c>
      <c r="K12" s="17" t="n">
        <f aca="false">$B$494</f>
        <v>0</v>
      </c>
      <c r="L12" s="18" t="n">
        <f aca="false">$B$495</f>
        <v>35000</v>
      </c>
      <c r="M12" s="20" t="n">
        <f aca="false">$B$500</f>
        <v>0.116666666666667</v>
      </c>
    </row>
    <row r="14" customFormat="false" ht="15" hidden="false" customHeight="false" outlineLevel="0" collapsed="false">
      <c r="A14" s="3" t="s">
        <v>216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5" hidden="false" customHeight="false" outlineLevel="0" collapsed="false">
      <c r="A15" s="5" t="s">
        <v>217</v>
      </c>
      <c r="B15" s="5" t="s">
        <v>218</v>
      </c>
      <c r="C15" s="5" t="s">
        <v>219</v>
      </c>
      <c r="D15" s="5" t="s">
        <v>220</v>
      </c>
    </row>
    <row r="16" customFormat="false" ht="15" hidden="false" customHeight="false" outlineLevel="0" collapsed="false">
      <c r="A16" s="7" t="s">
        <v>221</v>
      </c>
      <c r="B16" s="17" t="n">
        <f aca="false">SUM(F507:F562)</f>
        <v>0</v>
      </c>
      <c r="C16" s="17" t="n">
        <f aca="false">$B$562</f>
        <v>0</v>
      </c>
      <c r="D16" s="6" t="str">
        <f aca="false">IF(AND(B16=0,C16=0),"LULUS","CEK")</f>
        <v>LULUS</v>
      </c>
    </row>
    <row r="17" customFormat="false" ht="15" hidden="false" customHeight="false" outlineLevel="0" collapsed="false">
      <c r="A17" s="7" t="s">
        <v>222</v>
      </c>
      <c r="B17" s="17" t="n">
        <f aca="false">SUM(F567:F622)</f>
        <v>0</v>
      </c>
      <c r="C17" s="17" t="n">
        <f aca="false">$B$622</f>
        <v>0</v>
      </c>
      <c r="D17" s="6" t="str">
        <f aca="false">IF(AND(B17=0,C17=0),"LULUS","CEK")</f>
        <v>LULUS</v>
      </c>
    </row>
    <row r="18" customFormat="false" ht="15" hidden="false" customHeight="false" outlineLevel="0" collapsed="false">
      <c r="A18" s="7" t="s">
        <v>223</v>
      </c>
      <c r="B18" s="17" t="n">
        <f aca="false">SUM(F627:F682)</f>
        <v>0</v>
      </c>
      <c r="C18" s="17" t="n">
        <f aca="false">$B$682</f>
        <v>0</v>
      </c>
      <c r="D18" s="6" t="str">
        <f aca="false">IF(AND(B18=0,C18=0),"LULUS","CEK")</f>
        <v>LULUS</v>
      </c>
    </row>
    <row r="19" customFormat="false" ht="15" hidden="false" customHeight="false" outlineLevel="0" collapsed="false">
      <c r="A19" s="7" t="s">
        <v>224</v>
      </c>
      <c r="B19" s="17" t="n">
        <f aca="false">SUM(F687:F742)</f>
        <v>0</v>
      </c>
      <c r="C19" s="17" t="n">
        <f aca="false">$B$742</f>
        <v>0</v>
      </c>
      <c r="D19" s="6" t="str">
        <f aca="false">IF(AND(B19=0,C19=0),"LULUS","CEK")</f>
        <v>LULUS</v>
      </c>
    </row>
    <row r="20" customFormat="false" ht="15" hidden="false" customHeight="false" outlineLevel="0" collapsed="false">
      <c r="A20" s="7" t="s">
        <v>225</v>
      </c>
      <c r="B20" s="17" t="n">
        <f aca="false">SUM(F747:F802)</f>
        <v>0</v>
      </c>
      <c r="C20" s="17" t="n">
        <f aca="false">$B$802</f>
        <v>0</v>
      </c>
      <c r="D20" s="6" t="str">
        <f aca="false">IF(AND(B20=0,C20=0),"LULUS","CEK")</f>
        <v>LULUS</v>
      </c>
    </row>
    <row r="21" customFormat="false" ht="15" hidden="false" customHeight="false" outlineLevel="0" collapsed="false">
      <c r="A21" s="7" t="s">
        <v>226</v>
      </c>
      <c r="B21" s="17" t="n">
        <f aca="false">SUM(F807:F862)</f>
        <v>0</v>
      </c>
      <c r="C21" s="17" t="n">
        <f aca="false">$B$862</f>
        <v>0</v>
      </c>
      <c r="D21" s="6" t="str">
        <f aca="false">IF(AND(B21=0,C21=0),"LULUS","CEK")</f>
        <v>LULUS</v>
      </c>
    </row>
    <row r="22" customFormat="false" ht="15" hidden="false" customHeight="false" outlineLevel="0" collapsed="false">
      <c r="A22" s="6" t="s">
        <v>227</v>
      </c>
      <c r="B22" s="21" t="n">
        <f aca="false">SUM(B16:B21)</f>
        <v>0</v>
      </c>
      <c r="C22" s="21" t="n">
        <f aca="false">SUMPRODUCT(ABS(C16:C21))</f>
        <v>0</v>
      </c>
      <c r="D22" s="22" t="str">
        <f aca="false">IF(AND(B22=0,C22=0),"LULUS","CEK")</f>
        <v>LULUS</v>
      </c>
    </row>
    <row r="25" customFormat="false" ht="15" hidden="false" customHeight="false" outlineLevel="0" collapsed="false">
      <c r="A25" s="3" t="s">
        <v>228</v>
      </c>
      <c r="B25" s="4"/>
      <c r="C25" s="4"/>
      <c r="D25" s="4"/>
      <c r="E25" s="4"/>
      <c r="F25" s="4"/>
    </row>
    <row r="26" customFormat="false" ht="15" hidden="false" customHeight="false" outlineLevel="0" collapsed="false">
      <c r="A26" s="5" t="s">
        <v>229</v>
      </c>
      <c r="B26" s="5" t="s">
        <v>52</v>
      </c>
      <c r="C26" s="5" t="s">
        <v>230</v>
      </c>
      <c r="D26" s="5" t="s">
        <v>231</v>
      </c>
      <c r="E26" s="5" t="s">
        <v>232</v>
      </c>
      <c r="F26" s="5" t="s">
        <v>233</v>
      </c>
    </row>
    <row r="27" customFormat="false" ht="15" hidden="false" customHeight="false" outlineLevel="0" collapsed="false">
      <c r="A27" s="7" t="s">
        <v>3</v>
      </c>
      <c r="B27" s="6" t="s">
        <v>17</v>
      </c>
      <c r="C27" s="23" t="s">
        <v>234</v>
      </c>
    </row>
    <row r="28" customFormat="false" ht="15" hidden="false" customHeight="false" outlineLevel="0" collapsed="false">
      <c r="A28" s="7" t="s">
        <v>235</v>
      </c>
      <c r="B28" s="14" t="n">
        <v>7000</v>
      </c>
      <c r="C28" s="23" t="s">
        <v>236</v>
      </c>
    </row>
    <row r="29" customFormat="false" ht="15" hidden="false" customHeight="false" outlineLevel="0" collapsed="false">
      <c r="A29" s="7" t="s">
        <v>237</v>
      </c>
      <c r="B29" s="14" t="n">
        <v>0</v>
      </c>
      <c r="C29" s="23" t="s">
        <v>238</v>
      </c>
    </row>
    <row r="30" customFormat="false" ht="15" hidden="false" customHeight="false" outlineLevel="0" collapsed="false">
      <c r="A30" s="7" t="s">
        <v>239</v>
      </c>
      <c r="B30" s="14" t="n">
        <v>0</v>
      </c>
      <c r="C30" s="23" t="s">
        <v>240</v>
      </c>
    </row>
    <row r="31" customFormat="false" ht="15" hidden="false" customHeight="false" outlineLevel="0" collapsed="false">
      <c r="A31" s="7" t="s">
        <v>241</v>
      </c>
      <c r="B31" s="24"/>
      <c r="C31" s="23" t="s">
        <v>242</v>
      </c>
    </row>
    <row r="32" customFormat="false" ht="15" hidden="false" customHeight="false" outlineLevel="0" collapsed="false">
      <c r="A32" s="7" t="s">
        <v>243</v>
      </c>
      <c r="B32" s="24" t="s">
        <v>187</v>
      </c>
      <c r="C32" s="23" t="s">
        <v>244</v>
      </c>
    </row>
    <row r="33" customFormat="false" ht="15" hidden="false" customHeight="false" outlineLevel="0" collapsed="false">
      <c r="A33" s="7" t="s">
        <v>245</v>
      </c>
      <c r="B33" s="24"/>
      <c r="C33" s="23" t="s">
        <v>246</v>
      </c>
    </row>
    <row r="34" customFormat="false" ht="15" hidden="false" customHeight="false" outlineLevel="0" collapsed="false">
      <c r="A34" s="7" t="s">
        <v>247</v>
      </c>
      <c r="B34" s="14" t="n">
        <v>0</v>
      </c>
      <c r="C34" s="23" t="s">
        <v>248</v>
      </c>
    </row>
    <row r="35" customFormat="false" ht="15" hidden="false" customHeight="false" outlineLevel="0" collapsed="false">
      <c r="A35" s="7" t="s">
        <v>249</v>
      </c>
      <c r="B35" s="14" t="n">
        <v>0</v>
      </c>
      <c r="C35" s="23" t="s">
        <v>250</v>
      </c>
    </row>
    <row r="36" customFormat="false" ht="15" hidden="false" customHeight="false" outlineLevel="0" collapsed="false">
      <c r="A36" s="7" t="s">
        <v>251</v>
      </c>
      <c r="B36" s="25" t="n">
        <v>0</v>
      </c>
      <c r="C36" s="23" t="s">
        <v>252</v>
      </c>
    </row>
    <row r="37" customFormat="false" ht="15" hidden="false" customHeight="false" outlineLevel="0" collapsed="false">
      <c r="A37" s="7" t="s">
        <v>253</v>
      </c>
      <c r="B37" s="24"/>
      <c r="C37" s="23" t="s">
        <v>254</v>
      </c>
    </row>
    <row r="38" customFormat="false" ht="15" hidden="false" customHeight="false" outlineLevel="0" collapsed="false">
      <c r="A38" s="7" t="s">
        <v>255</v>
      </c>
      <c r="B38" s="20" t="n">
        <f aca="false">INDEX(Asumsi!$C$6:$C$13,MATCH($B$27,Asumsi!$A$6:$A$13,0))</f>
        <v>0.08</v>
      </c>
      <c r="C38" s="23" t="s">
        <v>256</v>
      </c>
    </row>
    <row r="39" customFormat="false" ht="15" hidden="false" customHeight="false" outlineLevel="0" collapsed="false">
      <c r="A39" s="7" t="s">
        <v>6</v>
      </c>
      <c r="B39" s="20" t="n">
        <f aca="false">INDEX(Asumsi!$D$6:$D$13,MATCH($B$27,Asumsi!$A$6:$A$13,0))</f>
        <v>0</v>
      </c>
      <c r="C39" s="23" t="s">
        <v>257</v>
      </c>
    </row>
    <row r="40" customFormat="false" ht="15" hidden="false" customHeight="false" outlineLevel="0" collapsed="false">
      <c r="A40" s="7" t="s">
        <v>258</v>
      </c>
      <c r="B40" s="17" t="n">
        <f aca="false">INDEX(Asumsi!$E$6:$E$13,MATCH($B$27,Asumsi!$A$6:$A$13,0))</f>
        <v>1000</v>
      </c>
      <c r="C40" s="23" t="s">
        <v>259</v>
      </c>
    </row>
    <row r="41" customFormat="false" ht="15" hidden="false" customHeight="false" outlineLevel="0" collapsed="false">
      <c r="A41" s="7" t="s">
        <v>8</v>
      </c>
      <c r="B41" s="20" t="n">
        <f aca="false">INDEX(Asumsi!$F$6:$F$13,MATCH($B$27,Asumsi!$A$6:$A$13,0))</f>
        <v>0</v>
      </c>
      <c r="C41" s="23" t="s">
        <v>260</v>
      </c>
    </row>
    <row r="42" customFormat="false" ht="15" hidden="false" customHeight="false" outlineLevel="0" collapsed="false">
      <c r="A42" s="7" t="s">
        <v>9</v>
      </c>
      <c r="B42" s="17" t="n">
        <f aca="false">INDEX(Asumsi!$G$6:$G$13,MATCH($B$27,Asumsi!$A$6:$A$13,0))</f>
        <v>0</v>
      </c>
      <c r="C42" s="23" t="s">
        <v>261</v>
      </c>
    </row>
    <row r="43" customFormat="false" ht="15" hidden="false" customHeight="false" outlineLevel="0" collapsed="false">
      <c r="A43" s="7" t="s">
        <v>262</v>
      </c>
      <c r="B43" s="20" t="n">
        <f aca="false">INDEX(Asumsi!$H$6:$H$13,MATCH($B$27,Asumsi!$A$6:$A$13,0))</f>
        <v>0</v>
      </c>
      <c r="C43" s="23" t="s">
        <v>263</v>
      </c>
    </row>
    <row r="44" customFormat="false" ht="15" hidden="false" customHeight="false" outlineLevel="0" collapsed="false">
      <c r="A44" s="7" t="s">
        <v>264</v>
      </c>
      <c r="B44" s="7" t="str">
        <f aca="false">IF($B$37="",INDEX(Asumsi!$I$6:$I$13,MATCH($B$27,Asumsi!$A$6:$A$13,0)),$B$37)</f>
        <v>platform</v>
      </c>
      <c r="C44" s="23" t="s">
        <v>265</v>
      </c>
    </row>
    <row r="45" customFormat="false" ht="15" hidden="false" customHeight="false" outlineLevel="0" collapsed="false">
      <c r="A45" s="7" t="s">
        <v>266</v>
      </c>
      <c r="B45" s="7" t="str">
        <f aca="false">IF(AND(IF($B$31="",INDEX(Asumsi!$J$6:$J$13,MATCH($B$27,Asumsi!$A$6:$A$13,0)),$B$31)="merchant",$B$27&lt;&gt;"food"),"platform",IF($B$31="",INDEX(Asumsi!$J$6:$J$13,MATCH($B$27,Asumsi!$A$6:$A$13,0)),$B$31))</f>
        <v>platform</v>
      </c>
      <c r="C45" s="23" t="s">
        <v>267</v>
      </c>
    </row>
    <row r="46" customFormat="false" ht="15" hidden="false" customHeight="false" outlineLevel="0" collapsed="false">
      <c r="A46" s="7" t="s">
        <v>268</v>
      </c>
      <c r="B46" s="26" t="n">
        <f aca="false">IF($B$27="food",1,0)</f>
        <v>0</v>
      </c>
      <c r="C46" s="23"/>
    </row>
    <row r="47" customFormat="false" ht="15" hidden="false" customHeight="false" outlineLevel="0" collapsed="false">
      <c r="A47" s="7" t="s">
        <v>269</v>
      </c>
      <c r="B47" s="26" t="n">
        <f aca="false">IF(OR($B$27="shop",$B$27="market"),1,0)</f>
        <v>0</v>
      </c>
      <c r="C47" s="23"/>
    </row>
    <row r="48" customFormat="false" ht="15" hidden="false" customHeight="false" outlineLevel="0" collapsed="false">
      <c r="A48" s="7" t="s">
        <v>270</v>
      </c>
      <c r="B48" s="26" t="n">
        <f aca="false">IF($B$27="travel",1,0)</f>
        <v>0</v>
      </c>
      <c r="C48" s="23"/>
    </row>
    <row r="49" customFormat="false" ht="15" hidden="false" customHeight="false" outlineLevel="0" collapsed="false">
      <c r="A49" s="7" t="s">
        <v>271</v>
      </c>
      <c r="B49" s="17" t="n">
        <f aca="false">IF($B$46+$B$47&gt;0,$B$29,0)</f>
        <v>0</v>
      </c>
      <c r="C49" s="23" t="s">
        <v>272</v>
      </c>
    </row>
    <row r="50" customFormat="false" ht="15" hidden="false" customHeight="false" outlineLevel="0" collapsed="false">
      <c r="A50" s="7" t="s">
        <v>273</v>
      </c>
      <c r="B50" s="17" t="n">
        <f aca="false">IF($B$47=1,MAX($B$42,INT(ROUND($B$49*$B$41,6))),0)</f>
        <v>0</v>
      </c>
      <c r="C50" s="23" t="s">
        <v>274</v>
      </c>
    </row>
    <row r="51" customFormat="false" ht="15" hidden="false" customHeight="false" outlineLevel="0" collapsed="false">
      <c r="A51" s="7" t="s">
        <v>275</v>
      </c>
      <c r="B51" s="17" t="n">
        <f aca="false">INT(ROUND($B$50*$B$43,6))</f>
        <v>0</v>
      </c>
      <c r="C51" s="23" t="s">
        <v>276</v>
      </c>
    </row>
    <row r="52" customFormat="false" ht="15" hidden="false" customHeight="false" outlineLevel="0" collapsed="false">
      <c r="A52" s="7" t="s">
        <v>277</v>
      </c>
      <c r="B52" s="17" t="n">
        <f aca="false">IF($B$48=1,0,MIN($B$30,$B$28+$B$46*$B$49))</f>
        <v>0</v>
      </c>
      <c r="C52" s="23" t="s">
        <v>278</v>
      </c>
    </row>
    <row r="53" customFormat="false" ht="15" hidden="false" customHeight="false" outlineLevel="0" collapsed="false">
      <c r="A53" s="7" t="s">
        <v>279</v>
      </c>
      <c r="B53" s="17" t="n">
        <f aca="false">IF($B$48=1,0,INT(ROUND($B$28*$B$38,6)))</f>
        <v>560</v>
      </c>
      <c r="C53" s="23" t="s">
        <v>280</v>
      </c>
    </row>
    <row r="54" customFormat="false" ht="15" hidden="false" customHeight="false" outlineLevel="0" collapsed="false">
      <c r="A54" s="7" t="s">
        <v>281</v>
      </c>
      <c r="B54" s="17" t="n">
        <f aca="false">MIN($B$53,INT(ROUND($B$28*$B$36,6)))</f>
        <v>0</v>
      </c>
      <c r="C54" s="23" t="s">
        <v>282</v>
      </c>
    </row>
    <row r="55" customFormat="false" ht="15" hidden="false" customHeight="false" outlineLevel="0" collapsed="false">
      <c r="A55" s="7" t="s">
        <v>283</v>
      </c>
      <c r="B55" s="17" t="n">
        <f aca="false">IF($B$46=1,INT(ROUND($B$49*$B$39,6)),IF($B$48=1,INT(ROUND($B$28*$B$39,6)),0))</f>
        <v>0</v>
      </c>
      <c r="C55" s="23" t="s">
        <v>284</v>
      </c>
    </row>
    <row r="56" customFormat="false" ht="15" hidden="false" customHeight="false" outlineLevel="0" collapsed="false">
      <c r="A56" s="7" t="s">
        <v>285</v>
      </c>
      <c r="B56" s="17" t="n">
        <f aca="false">IF($B$45="merchant",MIN($B$52,MAX(0,$B$49-$B$55)),0)</f>
        <v>0</v>
      </c>
      <c r="C56" s="23" t="s">
        <v>286</v>
      </c>
    </row>
    <row r="57" customFormat="false" ht="15" hidden="false" customHeight="false" outlineLevel="0" collapsed="false">
      <c r="A57" s="7" t="s">
        <v>287</v>
      </c>
      <c r="B57" s="17" t="n">
        <f aca="false">IF($B$45="sponsor",$B$52,0)</f>
        <v>0</v>
      </c>
      <c r="C57" s="23" t="s">
        <v>288</v>
      </c>
    </row>
    <row r="58" customFormat="false" ht="15" hidden="false" customHeight="false" outlineLevel="0" collapsed="false">
      <c r="A58" s="7" t="s">
        <v>289</v>
      </c>
      <c r="B58" s="17" t="n">
        <f aca="false">$B$52-$B$56-$B$57</f>
        <v>0</v>
      </c>
      <c r="C58" s="23" t="s">
        <v>290</v>
      </c>
    </row>
    <row r="59" customFormat="false" ht="15" hidden="false" customHeight="false" outlineLevel="0" collapsed="false">
      <c r="A59" s="7" t="s">
        <v>291</v>
      </c>
      <c r="B59" s="17" t="n">
        <f aca="false">IF($B$48=1,$B$28+$B$40,$B$28+$B$40+$B$49+$B$50+$B$35-$B$52)</f>
        <v>8000</v>
      </c>
      <c r="C59" s="23" t="s">
        <v>292</v>
      </c>
    </row>
    <row r="60" customFormat="false" ht="15" hidden="false" customHeight="false" outlineLevel="0" collapsed="false">
      <c r="A60" s="7" t="s">
        <v>293</v>
      </c>
      <c r="B60" s="17" t="n">
        <f aca="false">IF(OR($B$48=1,$B$59&lt;=0),0,IFERROR(ROUND($B$59*INDEX('Biaya PG'!$D$7:$D$20,MATCH($B$32,'Biaya PG'!$A$7:$A$20,0)),0)+INDEX('Biaya PG'!$E$7:$E$20,MATCH($B$32,'Biaya PG'!$A$7:$A$20,0)),0))</f>
        <v>0</v>
      </c>
      <c r="C60" s="23" t="s">
        <v>294</v>
      </c>
    </row>
    <row r="61" customFormat="false" ht="15" hidden="false" customHeight="false" outlineLevel="0" collapsed="false">
      <c r="A61" s="7" t="s">
        <v>295</v>
      </c>
      <c r="B61" s="17" t="n">
        <f aca="false">IF($B$60=0,0,IF(INDEX('Biaya PG'!$F$7:$F$20,MATCH($B$32,'Biaya PG'!$A$7:$A$20,0))="Ya",0,ROUND($B$60*INDEX('Biaya PG'!$G$7:$G$20,MATCH($B$32,'Biaya PG'!$A$7:$A$20,0)),0)))</f>
        <v>0</v>
      </c>
      <c r="C61" s="23" t="s">
        <v>296</v>
      </c>
    </row>
    <row r="62" customFormat="false" ht="15" hidden="false" customHeight="false" outlineLevel="0" collapsed="false">
      <c r="A62" s="7" t="s">
        <v>297</v>
      </c>
      <c r="B62" s="17" t="n">
        <f aca="false">IF($B$44="customer",$B$60+$B$61,0)</f>
        <v>0</v>
      </c>
      <c r="C62" s="23" t="s">
        <v>298</v>
      </c>
    </row>
    <row r="63" customFormat="false" ht="15" hidden="false" customHeight="false" outlineLevel="0" collapsed="false">
      <c r="A63" s="6" t="s">
        <v>299</v>
      </c>
      <c r="B63" s="18" t="n">
        <f aca="false">$B$59+$B$62</f>
        <v>8000</v>
      </c>
      <c r="C63" s="23" t="s">
        <v>300</v>
      </c>
    </row>
    <row r="64" customFormat="false" ht="15" hidden="false" customHeight="false" outlineLevel="0" collapsed="false">
      <c r="A64" s="7" t="s">
        <v>301</v>
      </c>
      <c r="B64" s="17" t="n">
        <f aca="false">IF($B$48=1,0,$B$34)</f>
        <v>0</v>
      </c>
      <c r="C64" s="23"/>
    </row>
    <row r="65" customFormat="false" ht="15" hidden="false" customHeight="false" outlineLevel="0" collapsed="false">
      <c r="A65" s="7" t="s">
        <v>302</v>
      </c>
      <c r="B65" s="17" t="n">
        <f aca="false">$B$63+$B$64</f>
        <v>8000</v>
      </c>
      <c r="C65" s="23" t="s">
        <v>303</v>
      </c>
    </row>
    <row r="66" customFormat="false" ht="15" hidden="false" customHeight="false" outlineLevel="0" collapsed="false">
      <c r="A66" s="6" t="s">
        <v>304</v>
      </c>
      <c r="B66" s="18" t="n">
        <f aca="false">IF($B$48=1,0,($B$28-$B$53+$B$54)+$B$64+$B$35+$B$51)</f>
        <v>6440</v>
      </c>
      <c r="C66" s="23" t="s">
        <v>305</v>
      </c>
    </row>
    <row r="67" customFormat="false" ht="15" hidden="false" customHeight="false" outlineLevel="0" collapsed="false">
      <c r="A67" s="6" t="s">
        <v>211</v>
      </c>
      <c r="B67" s="18" t="n">
        <f aca="false">IF($B$46=1,$B$49-$B$55-$B$56,0)</f>
        <v>0</v>
      </c>
      <c r="C67" s="23" t="s">
        <v>306</v>
      </c>
    </row>
    <row r="68" customFormat="false" ht="15" hidden="false" customHeight="false" outlineLevel="0" collapsed="false">
      <c r="A68" s="7" t="s">
        <v>307</v>
      </c>
      <c r="B68" s="17" t="n">
        <f aca="false">IF($B$47=1,$B$49,0)</f>
        <v>0</v>
      </c>
      <c r="C68" s="23" t="s">
        <v>308</v>
      </c>
    </row>
    <row r="69" customFormat="false" ht="15" hidden="false" customHeight="false" outlineLevel="0" collapsed="false">
      <c r="A69" s="7" t="s">
        <v>309</v>
      </c>
      <c r="B69" s="17" t="n">
        <f aca="false">IF($B$48=1,$B$28-$B$55,0)</f>
        <v>0</v>
      </c>
      <c r="C69" s="23" t="s">
        <v>310</v>
      </c>
    </row>
    <row r="70" customFormat="false" ht="15" hidden="false" customHeight="false" outlineLevel="0" collapsed="false">
      <c r="A70" s="7" t="s">
        <v>311</v>
      </c>
      <c r="B70" s="17" t="n">
        <f aca="false">$B$50-$B$51</f>
        <v>0</v>
      </c>
      <c r="C70" s="23" t="s">
        <v>312</v>
      </c>
    </row>
    <row r="71" customFormat="false" ht="15" hidden="false" customHeight="false" outlineLevel="0" collapsed="false">
      <c r="A71" s="6" t="s">
        <v>212</v>
      </c>
      <c r="B71" s="18" t="n">
        <f aca="false">IF($B$48=1,$B$40+$B$55,$B$40+($B$53-$B$54)+$B$55+$B$70-$B$58)</f>
        <v>1560</v>
      </c>
      <c r="C71" s="23" t="s">
        <v>313</v>
      </c>
    </row>
    <row r="72" customFormat="false" ht="15" hidden="false" customHeight="false" outlineLevel="0" collapsed="false">
      <c r="A72" s="7" t="s">
        <v>314</v>
      </c>
      <c r="B72" s="17" t="n">
        <f aca="false">$B$71+$B$54</f>
        <v>1560</v>
      </c>
      <c r="C72" s="23" t="s">
        <v>315</v>
      </c>
    </row>
    <row r="73" customFormat="false" ht="15" hidden="false" customHeight="false" outlineLevel="0" collapsed="false">
      <c r="A73" s="7" t="s">
        <v>316</v>
      </c>
      <c r="B73" s="17" t="n">
        <f aca="false">$B$60+$B$61</f>
        <v>0</v>
      </c>
      <c r="C73" s="23" t="s">
        <v>317</v>
      </c>
    </row>
    <row r="74" customFormat="false" ht="15" hidden="false" customHeight="false" outlineLevel="0" collapsed="false">
      <c r="A74" s="7" t="s">
        <v>318</v>
      </c>
      <c r="B74" s="17" t="n">
        <f aca="false">IF($B$44="platform",$B$73,0)</f>
        <v>0</v>
      </c>
      <c r="C74" s="23" t="s">
        <v>319</v>
      </c>
    </row>
    <row r="75" customFormat="false" ht="15" hidden="false" customHeight="false" outlineLevel="0" collapsed="false">
      <c r="A75" s="6" t="s">
        <v>320</v>
      </c>
      <c r="B75" s="18" t="n">
        <f aca="false">$B$71-$B$74</f>
        <v>1560</v>
      </c>
      <c r="C75" s="23" t="s">
        <v>321</v>
      </c>
    </row>
    <row r="76" customFormat="false" ht="15" hidden="false" customHeight="false" outlineLevel="0" collapsed="false">
      <c r="A76" s="6" t="s">
        <v>322</v>
      </c>
      <c r="B76" s="17" t="n">
        <f aca="false">IF($B$32="cash",IF($B$48=1,$B$63-$B$69,$B$63-$B$68-$B$67-($B$66-$B$64)),0)</f>
        <v>1560</v>
      </c>
      <c r="C76" s="23" t="s">
        <v>323</v>
      </c>
    </row>
    <row r="77" customFormat="false" ht="15" hidden="false" customHeight="false" outlineLevel="0" collapsed="false">
      <c r="A77" s="7" t="s">
        <v>324</v>
      </c>
      <c r="B77" s="7" t="str">
        <f aca="false">IF($B$32="cash","Tunai",IF($B$32="antarpay","Saldo AntarPay","Digital (gateway)"))</f>
        <v>Tunai</v>
      </c>
      <c r="C77" s="23" t="s">
        <v>325</v>
      </c>
    </row>
    <row r="78" customFormat="false" ht="15" hidden="false" customHeight="false" outlineLevel="0" collapsed="false">
      <c r="A78" s="7" t="s">
        <v>326</v>
      </c>
      <c r="B78" s="26" t="n">
        <f aca="false">IF($B$73=0,0,IFERROR(IF(AND($B$32="bank_transfer",OR($B$33="bsi",$B$33="seabank")),INDEX('Biaya PG'!$I$7:$I$20,MATCH($B$32,'Biaya PG'!$A$7:$A$20,0)),INDEX('Biaya PG'!$H$7:$H$20,MATCH($B$32,'Biaya PG'!$A$7:$A$20,0))),0))</f>
        <v>0</v>
      </c>
      <c r="C78" s="23" t="s">
        <v>327</v>
      </c>
    </row>
    <row r="79" customFormat="false" ht="15" hidden="false" customHeight="false" outlineLevel="0" collapsed="false">
      <c r="A79" s="7" t="s">
        <v>328</v>
      </c>
      <c r="B79" s="17" t="n">
        <f aca="false">IF($B$48=1,$B$28,$B$49+$B$28)</f>
        <v>7000</v>
      </c>
      <c r="C79" s="23" t="s">
        <v>329</v>
      </c>
    </row>
    <row r="80" customFormat="false" ht="15" hidden="false" customHeight="false" outlineLevel="0" collapsed="false">
      <c r="A80" s="7" t="s">
        <v>330</v>
      </c>
      <c r="B80" s="20" t="n">
        <f aca="false">IF($B$79&gt;0,$B$72/$B$79,0)</f>
        <v>0.222857142857143</v>
      </c>
      <c r="C80" s="23" t="s">
        <v>331</v>
      </c>
    </row>
    <row r="81" customFormat="false" ht="15" hidden="false" customHeight="false" outlineLevel="0" collapsed="false">
      <c r="A81" s="7" t="s">
        <v>207</v>
      </c>
      <c r="B81" s="20" t="n">
        <f aca="false">IF(AND($B$28&gt;0,$B$48=0),($B$28-$B$53+$B$54)/$B$28,0)</f>
        <v>0.92</v>
      </c>
      <c r="C81" s="23" t="s">
        <v>332</v>
      </c>
    </row>
    <row r="82" customFormat="false" ht="15" hidden="false" customHeight="false" outlineLevel="0" collapsed="false">
      <c r="A82" s="6" t="s">
        <v>333</v>
      </c>
      <c r="B82" s="17" t="n">
        <f aca="false">$B$65+$B$57-($B$66+$B$67+$B$68+$B$69+$B$71+$B$62)</f>
        <v>0</v>
      </c>
      <c r="C82" s="23" t="s">
        <v>334</v>
      </c>
    </row>
    <row r="83" customFormat="false" ht="15" hidden="false" customHeight="false" outlineLevel="0" collapsed="false">
      <c r="A83" s="2" t="s">
        <v>335</v>
      </c>
    </row>
    <row r="85" customFormat="false" ht="15" hidden="false" customHeight="false" outlineLevel="0" collapsed="false">
      <c r="A85" s="3" t="s">
        <v>336</v>
      </c>
      <c r="B85" s="4"/>
      <c r="C85" s="4"/>
      <c r="D85" s="4"/>
      <c r="E85" s="4"/>
      <c r="F85" s="4"/>
    </row>
    <row r="86" customFormat="false" ht="15" hidden="false" customHeight="false" outlineLevel="0" collapsed="false">
      <c r="A86" s="5" t="s">
        <v>229</v>
      </c>
      <c r="B86" s="5" t="s">
        <v>52</v>
      </c>
      <c r="C86" s="5" t="s">
        <v>230</v>
      </c>
      <c r="D86" s="5" t="s">
        <v>231</v>
      </c>
      <c r="E86" s="5" t="s">
        <v>232</v>
      </c>
      <c r="F86" s="5" t="s">
        <v>233</v>
      </c>
    </row>
    <row r="87" customFormat="false" ht="15" hidden="false" customHeight="false" outlineLevel="0" collapsed="false">
      <c r="A87" s="7" t="s">
        <v>3</v>
      </c>
      <c r="B87" s="6" t="s">
        <v>22</v>
      </c>
      <c r="C87" s="23" t="s">
        <v>234</v>
      </c>
    </row>
    <row r="88" customFormat="false" ht="15" hidden="false" customHeight="false" outlineLevel="0" collapsed="false">
      <c r="A88" s="7" t="s">
        <v>235</v>
      </c>
      <c r="B88" s="14" t="n">
        <v>22000</v>
      </c>
      <c r="C88" s="23" t="s">
        <v>236</v>
      </c>
    </row>
    <row r="89" customFormat="false" ht="15" hidden="false" customHeight="false" outlineLevel="0" collapsed="false">
      <c r="A89" s="7" t="s">
        <v>237</v>
      </c>
      <c r="B89" s="14" t="n">
        <v>0</v>
      </c>
      <c r="C89" s="23" t="s">
        <v>238</v>
      </c>
    </row>
    <row r="90" customFormat="false" ht="15" hidden="false" customHeight="false" outlineLevel="0" collapsed="false">
      <c r="A90" s="7" t="s">
        <v>239</v>
      </c>
      <c r="B90" s="14" t="n">
        <v>0</v>
      </c>
      <c r="C90" s="23" t="s">
        <v>240</v>
      </c>
    </row>
    <row r="91" customFormat="false" ht="15" hidden="false" customHeight="false" outlineLevel="0" collapsed="false">
      <c r="A91" s="7" t="s">
        <v>241</v>
      </c>
      <c r="B91" s="24"/>
      <c r="C91" s="23" t="s">
        <v>242</v>
      </c>
    </row>
    <row r="92" customFormat="false" ht="15" hidden="false" customHeight="false" outlineLevel="0" collapsed="false">
      <c r="A92" s="7" t="s">
        <v>243</v>
      </c>
      <c r="B92" s="24" t="s">
        <v>192</v>
      </c>
      <c r="C92" s="23" t="s">
        <v>244</v>
      </c>
    </row>
    <row r="93" customFormat="false" ht="15" hidden="false" customHeight="false" outlineLevel="0" collapsed="false">
      <c r="A93" s="7" t="s">
        <v>245</v>
      </c>
      <c r="B93" s="24"/>
      <c r="C93" s="23" t="s">
        <v>246</v>
      </c>
    </row>
    <row r="94" customFormat="false" ht="15" hidden="false" customHeight="false" outlineLevel="0" collapsed="false">
      <c r="A94" s="7" t="s">
        <v>247</v>
      </c>
      <c r="B94" s="14" t="n">
        <v>0</v>
      </c>
      <c r="C94" s="23" t="s">
        <v>248</v>
      </c>
    </row>
    <row r="95" customFormat="false" ht="15" hidden="false" customHeight="false" outlineLevel="0" collapsed="false">
      <c r="A95" s="7" t="s">
        <v>249</v>
      </c>
      <c r="B95" s="14" t="n">
        <v>0</v>
      </c>
      <c r="C95" s="23" t="s">
        <v>250</v>
      </c>
    </row>
    <row r="96" customFormat="false" ht="15" hidden="false" customHeight="false" outlineLevel="0" collapsed="false">
      <c r="A96" s="7" t="s">
        <v>251</v>
      </c>
      <c r="B96" s="25" t="n">
        <v>0</v>
      </c>
      <c r="C96" s="23" t="s">
        <v>252</v>
      </c>
    </row>
    <row r="97" customFormat="false" ht="15" hidden="false" customHeight="false" outlineLevel="0" collapsed="false">
      <c r="A97" s="7" t="s">
        <v>253</v>
      </c>
      <c r="B97" s="24"/>
      <c r="C97" s="23" t="s">
        <v>254</v>
      </c>
    </row>
    <row r="98" customFormat="false" ht="15" hidden="false" customHeight="false" outlineLevel="0" collapsed="false">
      <c r="A98" s="7" t="s">
        <v>255</v>
      </c>
      <c r="B98" s="20" t="n">
        <f aca="false">INDEX(Asumsi!$C$6:$C$13,MATCH($B$87,Asumsi!$A$6:$A$13,0))</f>
        <v>0.15</v>
      </c>
      <c r="C98" s="23" t="s">
        <v>256</v>
      </c>
    </row>
    <row r="99" customFormat="false" ht="15" hidden="false" customHeight="false" outlineLevel="0" collapsed="false">
      <c r="A99" s="7" t="s">
        <v>6</v>
      </c>
      <c r="B99" s="20" t="n">
        <f aca="false">INDEX(Asumsi!$D$6:$D$13,MATCH($B$87,Asumsi!$A$6:$A$13,0))</f>
        <v>0</v>
      </c>
      <c r="C99" s="23" t="s">
        <v>257</v>
      </c>
    </row>
    <row r="100" customFormat="false" ht="15" hidden="false" customHeight="false" outlineLevel="0" collapsed="false">
      <c r="A100" s="7" t="s">
        <v>258</v>
      </c>
      <c r="B100" s="17" t="n">
        <f aca="false">INDEX(Asumsi!$E$6:$E$13,MATCH($B$87,Asumsi!$A$6:$A$13,0))</f>
        <v>4000</v>
      </c>
      <c r="C100" s="23" t="s">
        <v>259</v>
      </c>
    </row>
    <row r="101" customFormat="false" ht="15" hidden="false" customHeight="false" outlineLevel="0" collapsed="false">
      <c r="A101" s="7" t="s">
        <v>8</v>
      </c>
      <c r="B101" s="20" t="n">
        <f aca="false">INDEX(Asumsi!$F$6:$F$13,MATCH($B$87,Asumsi!$A$6:$A$13,0))</f>
        <v>0</v>
      </c>
      <c r="C101" s="23" t="s">
        <v>260</v>
      </c>
    </row>
    <row r="102" customFormat="false" ht="15" hidden="false" customHeight="false" outlineLevel="0" collapsed="false">
      <c r="A102" s="7" t="s">
        <v>9</v>
      </c>
      <c r="B102" s="17" t="n">
        <f aca="false">INDEX(Asumsi!$G$6:$G$13,MATCH($B$87,Asumsi!$A$6:$A$13,0))</f>
        <v>0</v>
      </c>
      <c r="C102" s="23" t="s">
        <v>261</v>
      </c>
    </row>
    <row r="103" customFormat="false" ht="15" hidden="false" customHeight="false" outlineLevel="0" collapsed="false">
      <c r="A103" s="7" t="s">
        <v>262</v>
      </c>
      <c r="B103" s="20" t="n">
        <f aca="false">INDEX(Asumsi!$H$6:$H$13,MATCH($B$87,Asumsi!$A$6:$A$13,0))</f>
        <v>0</v>
      </c>
      <c r="C103" s="23" t="s">
        <v>263</v>
      </c>
    </row>
    <row r="104" customFormat="false" ht="15" hidden="false" customHeight="false" outlineLevel="0" collapsed="false">
      <c r="A104" s="7" t="s">
        <v>264</v>
      </c>
      <c r="B104" s="7" t="str">
        <f aca="false">IF($B$97="",INDEX(Asumsi!$I$6:$I$13,MATCH($B$87,Asumsi!$A$6:$A$13,0)),$B$97)</f>
        <v>platform</v>
      </c>
      <c r="C104" s="23" t="s">
        <v>265</v>
      </c>
    </row>
    <row r="105" customFormat="false" ht="15" hidden="false" customHeight="false" outlineLevel="0" collapsed="false">
      <c r="A105" s="7" t="s">
        <v>266</v>
      </c>
      <c r="B105" s="7" t="str">
        <f aca="false">IF(AND(IF($B$91="",INDEX(Asumsi!$J$6:$J$13,MATCH($B$87,Asumsi!$A$6:$A$13,0)),$B$91)="merchant",$B$87&lt;&gt;"food"),"platform",IF($B$91="",INDEX(Asumsi!$J$6:$J$13,MATCH($B$87,Asumsi!$A$6:$A$13,0)),$B$91))</f>
        <v>platform</v>
      </c>
      <c r="C105" s="23" t="s">
        <v>267</v>
      </c>
    </row>
    <row r="106" customFormat="false" ht="15" hidden="false" customHeight="false" outlineLevel="0" collapsed="false">
      <c r="A106" s="7" t="s">
        <v>268</v>
      </c>
      <c r="B106" s="26" t="n">
        <f aca="false">IF($B$87="food",1,0)</f>
        <v>0</v>
      </c>
      <c r="C106" s="23"/>
    </row>
    <row r="107" customFormat="false" ht="15" hidden="false" customHeight="false" outlineLevel="0" collapsed="false">
      <c r="A107" s="7" t="s">
        <v>269</v>
      </c>
      <c r="B107" s="26" t="n">
        <f aca="false">IF(OR($B$87="shop",$B$87="market"),1,0)</f>
        <v>0</v>
      </c>
      <c r="C107" s="23"/>
    </row>
    <row r="108" customFormat="false" ht="15" hidden="false" customHeight="false" outlineLevel="0" collapsed="false">
      <c r="A108" s="7" t="s">
        <v>270</v>
      </c>
      <c r="B108" s="26" t="n">
        <f aca="false">IF($B$87="travel",1,0)</f>
        <v>0</v>
      </c>
      <c r="C108" s="23"/>
    </row>
    <row r="109" customFormat="false" ht="15" hidden="false" customHeight="false" outlineLevel="0" collapsed="false">
      <c r="A109" s="7" t="s">
        <v>271</v>
      </c>
      <c r="B109" s="17" t="n">
        <f aca="false">IF($B$106+$B$107&gt;0,$B$89,0)</f>
        <v>0</v>
      </c>
      <c r="C109" s="23" t="s">
        <v>272</v>
      </c>
    </row>
    <row r="110" customFormat="false" ht="15" hidden="false" customHeight="false" outlineLevel="0" collapsed="false">
      <c r="A110" s="7" t="s">
        <v>273</v>
      </c>
      <c r="B110" s="17" t="n">
        <f aca="false">IF($B$107=1,MAX($B$102,INT(ROUND($B$109*$B$101,6))),0)</f>
        <v>0</v>
      </c>
      <c r="C110" s="23" t="s">
        <v>274</v>
      </c>
    </row>
    <row r="111" customFormat="false" ht="15" hidden="false" customHeight="false" outlineLevel="0" collapsed="false">
      <c r="A111" s="7" t="s">
        <v>275</v>
      </c>
      <c r="B111" s="17" t="n">
        <f aca="false">INT(ROUND($B$110*$B$103,6))</f>
        <v>0</v>
      </c>
      <c r="C111" s="23" t="s">
        <v>276</v>
      </c>
    </row>
    <row r="112" customFormat="false" ht="15" hidden="false" customHeight="false" outlineLevel="0" collapsed="false">
      <c r="A112" s="7" t="s">
        <v>277</v>
      </c>
      <c r="B112" s="17" t="n">
        <f aca="false">IF($B$108=1,0,MIN($B$90,$B$88+$B$106*$B$109))</f>
        <v>0</v>
      </c>
      <c r="C112" s="23" t="s">
        <v>278</v>
      </c>
    </row>
    <row r="113" customFormat="false" ht="15" hidden="false" customHeight="false" outlineLevel="0" collapsed="false">
      <c r="A113" s="7" t="s">
        <v>279</v>
      </c>
      <c r="B113" s="17" t="n">
        <f aca="false">IF($B$108=1,0,INT(ROUND($B$88*$B$98,6)))</f>
        <v>3300</v>
      </c>
      <c r="C113" s="23" t="s">
        <v>280</v>
      </c>
    </row>
    <row r="114" customFormat="false" ht="15" hidden="false" customHeight="false" outlineLevel="0" collapsed="false">
      <c r="A114" s="7" t="s">
        <v>281</v>
      </c>
      <c r="B114" s="17" t="n">
        <f aca="false">MIN($B$113,INT(ROUND($B$88*$B$96,6)))</f>
        <v>0</v>
      </c>
      <c r="C114" s="23" t="s">
        <v>282</v>
      </c>
    </row>
    <row r="115" customFormat="false" ht="15" hidden="false" customHeight="false" outlineLevel="0" collapsed="false">
      <c r="A115" s="7" t="s">
        <v>283</v>
      </c>
      <c r="B115" s="17" t="n">
        <f aca="false">IF($B$106=1,INT(ROUND($B$109*$B$99,6)),IF($B$108=1,INT(ROUND($B$88*$B$99,6)),0))</f>
        <v>0</v>
      </c>
      <c r="C115" s="23" t="s">
        <v>284</v>
      </c>
    </row>
    <row r="116" customFormat="false" ht="15" hidden="false" customHeight="false" outlineLevel="0" collapsed="false">
      <c r="A116" s="7" t="s">
        <v>285</v>
      </c>
      <c r="B116" s="17" t="n">
        <f aca="false">IF($B$105="merchant",MIN($B$112,MAX(0,$B$109-$B$115)),0)</f>
        <v>0</v>
      </c>
      <c r="C116" s="23" t="s">
        <v>286</v>
      </c>
    </row>
    <row r="117" customFormat="false" ht="15" hidden="false" customHeight="false" outlineLevel="0" collapsed="false">
      <c r="A117" s="7" t="s">
        <v>287</v>
      </c>
      <c r="B117" s="17" t="n">
        <f aca="false">IF($B$105="sponsor",$B$112,0)</f>
        <v>0</v>
      </c>
      <c r="C117" s="23" t="s">
        <v>288</v>
      </c>
    </row>
    <row r="118" customFormat="false" ht="15" hidden="false" customHeight="false" outlineLevel="0" collapsed="false">
      <c r="A118" s="7" t="s">
        <v>289</v>
      </c>
      <c r="B118" s="17" t="n">
        <f aca="false">$B$112-$B$116-$B$117</f>
        <v>0</v>
      </c>
      <c r="C118" s="23" t="s">
        <v>290</v>
      </c>
    </row>
    <row r="119" customFormat="false" ht="15" hidden="false" customHeight="false" outlineLevel="0" collapsed="false">
      <c r="A119" s="7" t="s">
        <v>291</v>
      </c>
      <c r="B119" s="17" t="n">
        <f aca="false">IF($B$108=1,$B$88+$B$100,$B$88+$B$100+$B$109+$B$110+$B$95-$B$112)</f>
        <v>26000</v>
      </c>
      <c r="C119" s="23" t="s">
        <v>292</v>
      </c>
    </row>
    <row r="120" customFormat="false" ht="15" hidden="false" customHeight="false" outlineLevel="0" collapsed="false">
      <c r="A120" s="7" t="s">
        <v>293</v>
      </c>
      <c r="B120" s="17" t="n">
        <f aca="false">IF(OR($B$108=1,$B$119&lt;=0),0,IFERROR(ROUND($B$119*INDEX('Biaya PG'!$D$7:$D$20,MATCH($B$92,'Biaya PG'!$A$7:$A$20,0)),0)+INDEX('Biaya PG'!$E$7:$E$20,MATCH($B$92,'Biaya PG'!$A$7:$A$20,0)),0))</f>
        <v>0</v>
      </c>
      <c r="C120" s="23" t="s">
        <v>294</v>
      </c>
    </row>
    <row r="121" customFormat="false" ht="15" hidden="false" customHeight="false" outlineLevel="0" collapsed="false">
      <c r="A121" s="7" t="s">
        <v>295</v>
      </c>
      <c r="B121" s="17" t="n">
        <f aca="false">IF($B$120=0,0,IF(INDEX('Biaya PG'!$F$7:$F$20,MATCH($B$92,'Biaya PG'!$A$7:$A$20,0))="Ya",0,ROUND($B$120*INDEX('Biaya PG'!$G$7:$G$20,MATCH($B$92,'Biaya PG'!$A$7:$A$20,0)),0)))</f>
        <v>0</v>
      </c>
      <c r="C121" s="23" t="s">
        <v>296</v>
      </c>
    </row>
    <row r="122" customFormat="false" ht="15" hidden="false" customHeight="false" outlineLevel="0" collapsed="false">
      <c r="A122" s="7" t="s">
        <v>297</v>
      </c>
      <c r="B122" s="17" t="n">
        <f aca="false">IF($B$104="customer",$B$120+$B$121,0)</f>
        <v>0</v>
      </c>
      <c r="C122" s="23" t="s">
        <v>298</v>
      </c>
    </row>
    <row r="123" customFormat="false" ht="15" hidden="false" customHeight="false" outlineLevel="0" collapsed="false">
      <c r="A123" s="6" t="s">
        <v>299</v>
      </c>
      <c r="B123" s="18" t="n">
        <f aca="false">$B$119+$B$122</f>
        <v>26000</v>
      </c>
      <c r="C123" s="23" t="s">
        <v>300</v>
      </c>
    </row>
    <row r="124" customFormat="false" ht="15" hidden="false" customHeight="false" outlineLevel="0" collapsed="false">
      <c r="A124" s="7" t="s">
        <v>301</v>
      </c>
      <c r="B124" s="17" t="n">
        <f aca="false">IF($B$108=1,0,$B$94)</f>
        <v>0</v>
      </c>
      <c r="C124" s="23"/>
    </row>
    <row r="125" customFormat="false" ht="15" hidden="false" customHeight="false" outlineLevel="0" collapsed="false">
      <c r="A125" s="7" t="s">
        <v>302</v>
      </c>
      <c r="B125" s="17" t="n">
        <f aca="false">$B$123+$B$124</f>
        <v>26000</v>
      </c>
      <c r="C125" s="23" t="s">
        <v>303</v>
      </c>
    </row>
    <row r="126" customFormat="false" ht="15" hidden="false" customHeight="false" outlineLevel="0" collapsed="false">
      <c r="A126" s="6" t="s">
        <v>304</v>
      </c>
      <c r="B126" s="18" t="n">
        <f aca="false">IF($B$108=1,0,($B$88-$B$113+$B$114)+$B$124+$B$95+$B$111)</f>
        <v>18700</v>
      </c>
      <c r="C126" s="23" t="s">
        <v>305</v>
      </c>
    </row>
    <row r="127" customFormat="false" ht="15" hidden="false" customHeight="false" outlineLevel="0" collapsed="false">
      <c r="A127" s="6" t="s">
        <v>211</v>
      </c>
      <c r="B127" s="18" t="n">
        <f aca="false">IF($B$106=1,$B$109-$B$115-$B$116,0)</f>
        <v>0</v>
      </c>
      <c r="C127" s="23" t="s">
        <v>306</v>
      </c>
    </row>
    <row r="128" customFormat="false" ht="15" hidden="false" customHeight="false" outlineLevel="0" collapsed="false">
      <c r="A128" s="7" t="s">
        <v>307</v>
      </c>
      <c r="B128" s="17" t="n">
        <f aca="false">IF($B$107=1,$B$109,0)</f>
        <v>0</v>
      </c>
      <c r="C128" s="23" t="s">
        <v>308</v>
      </c>
    </row>
    <row r="129" customFormat="false" ht="15" hidden="false" customHeight="false" outlineLevel="0" collapsed="false">
      <c r="A129" s="7" t="s">
        <v>309</v>
      </c>
      <c r="B129" s="17" t="n">
        <f aca="false">IF($B$108=1,$B$88-$B$115,0)</f>
        <v>0</v>
      </c>
      <c r="C129" s="23" t="s">
        <v>310</v>
      </c>
    </row>
    <row r="130" customFormat="false" ht="15" hidden="false" customHeight="false" outlineLevel="0" collapsed="false">
      <c r="A130" s="7" t="s">
        <v>311</v>
      </c>
      <c r="B130" s="17" t="n">
        <f aca="false">$B$110-$B$111</f>
        <v>0</v>
      </c>
      <c r="C130" s="23" t="s">
        <v>312</v>
      </c>
    </row>
    <row r="131" customFormat="false" ht="15" hidden="false" customHeight="false" outlineLevel="0" collapsed="false">
      <c r="A131" s="6" t="s">
        <v>212</v>
      </c>
      <c r="B131" s="18" t="n">
        <f aca="false">IF($B$108=1,$B$100+$B$115,$B$100+($B$113-$B$114)+$B$115+$B$130-$B$118)</f>
        <v>7300</v>
      </c>
      <c r="C131" s="23" t="s">
        <v>313</v>
      </c>
    </row>
    <row r="132" customFormat="false" ht="15" hidden="false" customHeight="false" outlineLevel="0" collapsed="false">
      <c r="A132" s="7" t="s">
        <v>314</v>
      </c>
      <c r="B132" s="17" t="n">
        <f aca="false">$B$131+$B$114</f>
        <v>7300</v>
      </c>
      <c r="C132" s="23" t="s">
        <v>315</v>
      </c>
    </row>
    <row r="133" customFormat="false" ht="15" hidden="false" customHeight="false" outlineLevel="0" collapsed="false">
      <c r="A133" s="7" t="s">
        <v>316</v>
      </c>
      <c r="B133" s="17" t="n">
        <f aca="false">$B$120+$B$121</f>
        <v>0</v>
      </c>
      <c r="C133" s="23" t="s">
        <v>317</v>
      </c>
    </row>
    <row r="134" customFormat="false" ht="15" hidden="false" customHeight="false" outlineLevel="0" collapsed="false">
      <c r="A134" s="7" t="s">
        <v>318</v>
      </c>
      <c r="B134" s="17" t="n">
        <f aca="false">IF($B$104="platform",$B$133,0)</f>
        <v>0</v>
      </c>
      <c r="C134" s="23" t="s">
        <v>319</v>
      </c>
    </row>
    <row r="135" customFormat="false" ht="15" hidden="false" customHeight="false" outlineLevel="0" collapsed="false">
      <c r="A135" s="6" t="s">
        <v>320</v>
      </c>
      <c r="B135" s="18" t="n">
        <f aca="false">$B$131-$B$134</f>
        <v>7300</v>
      </c>
      <c r="C135" s="23" t="s">
        <v>321</v>
      </c>
    </row>
    <row r="136" customFormat="false" ht="15" hidden="false" customHeight="false" outlineLevel="0" collapsed="false">
      <c r="A136" s="6" t="s">
        <v>322</v>
      </c>
      <c r="B136" s="17" t="n">
        <f aca="false">IF($B$92="cash",IF($B$108=1,$B$123-$B$129,$B$123-$B$128-$B$127-($B$126-$B$124)),0)</f>
        <v>0</v>
      </c>
      <c r="C136" s="23" t="s">
        <v>323</v>
      </c>
    </row>
    <row r="137" customFormat="false" ht="15" hidden="false" customHeight="false" outlineLevel="0" collapsed="false">
      <c r="A137" s="7" t="s">
        <v>324</v>
      </c>
      <c r="B137" s="7" t="str">
        <f aca="false">IF($B$92="cash","Tunai",IF($B$92="antarpay","Saldo AntarPay","Digital (gateway)"))</f>
        <v>Saldo AntarPay</v>
      </c>
      <c r="C137" s="23" t="s">
        <v>325</v>
      </c>
    </row>
    <row r="138" customFormat="false" ht="15" hidden="false" customHeight="false" outlineLevel="0" collapsed="false">
      <c r="A138" s="7" t="s">
        <v>326</v>
      </c>
      <c r="B138" s="26" t="n">
        <f aca="false">IF($B$133=0,0,IFERROR(IF(AND($B$92="bank_transfer",OR($B$93="bsi",$B$93="seabank")),INDEX('Biaya PG'!$I$7:$I$20,MATCH($B$92,'Biaya PG'!$A$7:$A$20,0)),INDEX('Biaya PG'!$H$7:$H$20,MATCH($B$92,'Biaya PG'!$A$7:$A$20,0))),0))</f>
        <v>0</v>
      </c>
      <c r="C138" s="23" t="s">
        <v>327</v>
      </c>
    </row>
    <row r="139" customFormat="false" ht="15" hidden="false" customHeight="false" outlineLevel="0" collapsed="false">
      <c r="A139" s="7" t="s">
        <v>328</v>
      </c>
      <c r="B139" s="17" t="n">
        <f aca="false">IF($B$108=1,$B$88,$B$109+$B$88)</f>
        <v>22000</v>
      </c>
      <c r="C139" s="23" t="s">
        <v>329</v>
      </c>
    </row>
    <row r="140" customFormat="false" ht="15" hidden="false" customHeight="false" outlineLevel="0" collapsed="false">
      <c r="A140" s="7" t="s">
        <v>330</v>
      </c>
      <c r="B140" s="20" t="n">
        <f aca="false">IF($B$139&gt;0,$B$132/$B$139,0)</f>
        <v>0.331818181818182</v>
      </c>
      <c r="C140" s="23" t="s">
        <v>331</v>
      </c>
    </row>
    <row r="141" customFormat="false" ht="15" hidden="false" customHeight="false" outlineLevel="0" collapsed="false">
      <c r="A141" s="7" t="s">
        <v>207</v>
      </c>
      <c r="B141" s="20" t="n">
        <f aca="false">IF(AND($B$88&gt;0,$B$108=0),($B$88-$B$113+$B$114)/$B$88,0)</f>
        <v>0.85</v>
      </c>
      <c r="C141" s="23" t="s">
        <v>332</v>
      </c>
    </row>
    <row r="142" customFormat="false" ht="15" hidden="false" customHeight="false" outlineLevel="0" collapsed="false">
      <c r="A142" s="6" t="s">
        <v>333</v>
      </c>
      <c r="B142" s="17" t="n">
        <f aca="false">$B$125+$B$117-($B$126+$B$127+$B$128+$B$129+$B$131+$B$122)</f>
        <v>0</v>
      </c>
      <c r="C142" s="23" t="s">
        <v>334</v>
      </c>
    </row>
    <row r="143" customFormat="false" ht="15" hidden="false" customHeight="false" outlineLevel="0" collapsed="false">
      <c r="A143" s="2" t="s">
        <v>337</v>
      </c>
    </row>
    <row r="145" customFormat="false" ht="15" hidden="false" customHeight="false" outlineLevel="0" collapsed="false">
      <c r="A145" s="3" t="s">
        <v>338</v>
      </c>
      <c r="B145" s="4"/>
      <c r="C145" s="4"/>
      <c r="D145" s="4"/>
      <c r="E145" s="4"/>
      <c r="F145" s="4"/>
    </row>
    <row r="146" customFormat="false" ht="15" hidden="false" customHeight="false" outlineLevel="0" collapsed="false">
      <c r="A146" s="5" t="s">
        <v>229</v>
      </c>
      <c r="B146" s="5" t="s">
        <v>52</v>
      </c>
      <c r="C146" s="5" t="s">
        <v>230</v>
      </c>
      <c r="D146" s="5" t="s">
        <v>231</v>
      </c>
      <c r="E146" s="5" t="s">
        <v>232</v>
      </c>
      <c r="F146" s="5" t="s">
        <v>233</v>
      </c>
    </row>
    <row r="147" customFormat="false" ht="15" hidden="false" customHeight="false" outlineLevel="0" collapsed="false">
      <c r="A147" s="7" t="s">
        <v>3</v>
      </c>
      <c r="B147" s="6" t="s">
        <v>26</v>
      </c>
      <c r="C147" s="23" t="s">
        <v>234</v>
      </c>
    </row>
    <row r="148" customFormat="false" ht="15" hidden="false" customHeight="false" outlineLevel="0" collapsed="false">
      <c r="A148" s="7" t="s">
        <v>235</v>
      </c>
      <c r="B148" s="14" t="n">
        <v>8000</v>
      </c>
      <c r="C148" s="23" t="s">
        <v>236</v>
      </c>
    </row>
    <row r="149" customFormat="false" ht="15" hidden="false" customHeight="false" outlineLevel="0" collapsed="false">
      <c r="A149" s="7" t="s">
        <v>237</v>
      </c>
      <c r="B149" s="14" t="n">
        <v>60000</v>
      </c>
      <c r="C149" s="23" t="s">
        <v>238</v>
      </c>
    </row>
    <row r="150" customFormat="false" ht="15" hidden="false" customHeight="false" outlineLevel="0" collapsed="false">
      <c r="A150" s="7" t="s">
        <v>239</v>
      </c>
      <c r="B150" s="14" t="n">
        <v>0</v>
      </c>
      <c r="C150" s="23" t="s">
        <v>240</v>
      </c>
    </row>
    <row r="151" customFormat="false" ht="15" hidden="false" customHeight="false" outlineLevel="0" collapsed="false">
      <c r="A151" s="7" t="s">
        <v>241</v>
      </c>
      <c r="B151" s="24"/>
      <c r="C151" s="23" t="s">
        <v>242</v>
      </c>
    </row>
    <row r="152" customFormat="false" ht="15" hidden="false" customHeight="false" outlineLevel="0" collapsed="false">
      <c r="A152" s="7" t="s">
        <v>243</v>
      </c>
      <c r="B152" s="24" t="s">
        <v>162</v>
      </c>
      <c r="C152" s="23" t="s">
        <v>244</v>
      </c>
    </row>
    <row r="153" customFormat="false" ht="15" hidden="false" customHeight="false" outlineLevel="0" collapsed="false">
      <c r="A153" s="7" t="s">
        <v>245</v>
      </c>
      <c r="B153" s="24"/>
      <c r="C153" s="23" t="s">
        <v>246</v>
      </c>
    </row>
    <row r="154" customFormat="false" ht="15" hidden="false" customHeight="false" outlineLevel="0" collapsed="false">
      <c r="A154" s="7" t="s">
        <v>247</v>
      </c>
      <c r="B154" s="14" t="n">
        <v>0</v>
      </c>
      <c r="C154" s="23" t="s">
        <v>248</v>
      </c>
    </row>
    <row r="155" customFormat="false" ht="15" hidden="false" customHeight="false" outlineLevel="0" collapsed="false">
      <c r="A155" s="7" t="s">
        <v>249</v>
      </c>
      <c r="B155" s="14" t="n">
        <v>0</v>
      </c>
      <c r="C155" s="23" t="s">
        <v>250</v>
      </c>
    </row>
    <row r="156" customFormat="false" ht="15" hidden="false" customHeight="false" outlineLevel="0" collapsed="false">
      <c r="A156" s="7" t="s">
        <v>251</v>
      </c>
      <c r="B156" s="25" t="n">
        <v>0</v>
      </c>
      <c r="C156" s="23" t="s">
        <v>252</v>
      </c>
    </row>
    <row r="157" customFormat="false" ht="15" hidden="false" customHeight="false" outlineLevel="0" collapsed="false">
      <c r="A157" s="7" t="s">
        <v>253</v>
      </c>
      <c r="B157" s="24"/>
      <c r="C157" s="23" t="s">
        <v>254</v>
      </c>
    </row>
    <row r="158" customFormat="false" ht="15" hidden="false" customHeight="false" outlineLevel="0" collapsed="false">
      <c r="A158" s="7" t="s">
        <v>255</v>
      </c>
      <c r="B158" s="20" t="n">
        <f aca="false">INDEX(Asumsi!$C$6:$C$13,MATCH($B$147,Asumsi!$A$6:$A$13,0))</f>
        <v>0</v>
      </c>
      <c r="C158" s="23" t="s">
        <v>256</v>
      </c>
    </row>
    <row r="159" customFormat="false" ht="15" hidden="false" customHeight="false" outlineLevel="0" collapsed="false">
      <c r="A159" s="7" t="s">
        <v>6</v>
      </c>
      <c r="B159" s="20" t="n">
        <f aca="false">INDEX(Asumsi!$D$6:$D$13,MATCH($B$147,Asumsi!$A$6:$A$13,0))</f>
        <v>0.15</v>
      </c>
      <c r="C159" s="23" t="s">
        <v>257</v>
      </c>
    </row>
    <row r="160" customFormat="false" ht="15" hidden="false" customHeight="false" outlineLevel="0" collapsed="false">
      <c r="A160" s="7" t="s">
        <v>258</v>
      </c>
      <c r="B160" s="17" t="n">
        <f aca="false">INDEX(Asumsi!$E$6:$E$13,MATCH($B$147,Asumsi!$A$6:$A$13,0))</f>
        <v>2000</v>
      </c>
      <c r="C160" s="23" t="s">
        <v>259</v>
      </c>
    </row>
    <row r="161" customFormat="false" ht="15" hidden="false" customHeight="false" outlineLevel="0" collapsed="false">
      <c r="A161" s="7" t="s">
        <v>8</v>
      </c>
      <c r="B161" s="20" t="n">
        <f aca="false">INDEX(Asumsi!$F$6:$F$13,MATCH($B$147,Asumsi!$A$6:$A$13,0))</f>
        <v>0</v>
      </c>
      <c r="C161" s="23" t="s">
        <v>260</v>
      </c>
    </row>
    <row r="162" customFormat="false" ht="15" hidden="false" customHeight="false" outlineLevel="0" collapsed="false">
      <c r="A162" s="7" t="s">
        <v>9</v>
      </c>
      <c r="B162" s="17" t="n">
        <f aca="false">INDEX(Asumsi!$G$6:$G$13,MATCH($B$147,Asumsi!$A$6:$A$13,0))</f>
        <v>0</v>
      </c>
      <c r="C162" s="23" t="s">
        <v>261</v>
      </c>
    </row>
    <row r="163" customFormat="false" ht="15" hidden="false" customHeight="false" outlineLevel="0" collapsed="false">
      <c r="A163" s="7" t="s">
        <v>262</v>
      </c>
      <c r="B163" s="20" t="n">
        <f aca="false">INDEX(Asumsi!$H$6:$H$13,MATCH($B$147,Asumsi!$A$6:$A$13,0))</f>
        <v>0</v>
      </c>
      <c r="C163" s="23" t="s">
        <v>263</v>
      </c>
    </row>
    <row r="164" customFormat="false" ht="15" hidden="false" customHeight="false" outlineLevel="0" collapsed="false">
      <c r="A164" s="7" t="s">
        <v>264</v>
      </c>
      <c r="B164" s="7" t="str">
        <f aca="false">IF($B$157="",INDEX(Asumsi!$I$6:$I$13,MATCH($B$147,Asumsi!$A$6:$A$13,0)),$B$157)</f>
        <v>platform</v>
      </c>
      <c r="C164" s="23" t="s">
        <v>265</v>
      </c>
    </row>
    <row r="165" customFormat="false" ht="15" hidden="false" customHeight="false" outlineLevel="0" collapsed="false">
      <c r="A165" s="7" t="s">
        <v>266</v>
      </c>
      <c r="B165" s="7" t="str">
        <f aca="false">IF(AND(IF($B$151="",INDEX(Asumsi!$J$6:$J$13,MATCH($B$147,Asumsi!$A$6:$A$13,0)),$B$151)="merchant",$B$147&lt;&gt;"food"),"platform",IF($B$151="",INDEX(Asumsi!$J$6:$J$13,MATCH($B$147,Asumsi!$A$6:$A$13,0)),$B$151))</f>
        <v>platform</v>
      </c>
      <c r="C165" s="23" t="s">
        <v>267</v>
      </c>
    </row>
    <row r="166" customFormat="false" ht="15" hidden="false" customHeight="false" outlineLevel="0" collapsed="false">
      <c r="A166" s="7" t="s">
        <v>268</v>
      </c>
      <c r="B166" s="26" t="n">
        <f aca="false">IF($B$147="food",1,0)</f>
        <v>1</v>
      </c>
      <c r="C166" s="23"/>
    </row>
    <row r="167" customFormat="false" ht="15" hidden="false" customHeight="false" outlineLevel="0" collapsed="false">
      <c r="A167" s="7" t="s">
        <v>269</v>
      </c>
      <c r="B167" s="26" t="n">
        <f aca="false">IF(OR($B$147="shop",$B$147="market"),1,0)</f>
        <v>0</v>
      </c>
      <c r="C167" s="23"/>
    </row>
    <row r="168" customFormat="false" ht="15" hidden="false" customHeight="false" outlineLevel="0" collapsed="false">
      <c r="A168" s="7" t="s">
        <v>270</v>
      </c>
      <c r="B168" s="26" t="n">
        <f aca="false">IF($B$147="travel",1,0)</f>
        <v>0</v>
      </c>
      <c r="C168" s="23"/>
    </row>
    <row r="169" customFormat="false" ht="15" hidden="false" customHeight="false" outlineLevel="0" collapsed="false">
      <c r="A169" s="7" t="s">
        <v>271</v>
      </c>
      <c r="B169" s="17" t="n">
        <f aca="false">IF($B$166+$B$167&gt;0,$B$149,0)</f>
        <v>60000</v>
      </c>
      <c r="C169" s="23" t="s">
        <v>272</v>
      </c>
    </row>
    <row r="170" customFormat="false" ht="15" hidden="false" customHeight="false" outlineLevel="0" collapsed="false">
      <c r="A170" s="7" t="s">
        <v>273</v>
      </c>
      <c r="B170" s="17" t="n">
        <f aca="false">IF($B$167=1,MAX($B$162,INT(ROUND($B$169*$B$161,6))),0)</f>
        <v>0</v>
      </c>
      <c r="C170" s="23" t="s">
        <v>274</v>
      </c>
    </row>
    <row r="171" customFormat="false" ht="15" hidden="false" customHeight="false" outlineLevel="0" collapsed="false">
      <c r="A171" s="7" t="s">
        <v>275</v>
      </c>
      <c r="B171" s="17" t="n">
        <f aca="false">INT(ROUND($B$170*$B$163,6))</f>
        <v>0</v>
      </c>
      <c r="C171" s="23" t="s">
        <v>276</v>
      </c>
    </row>
    <row r="172" customFormat="false" ht="15" hidden="false" customHeight="false" outlineLevel="0" collapsed="false">
      <c r="A172" s="7" t="s">
        <v>277</v>
      </c>
      <c r="B172" s="17" t="n">
        <f aca="false">IF($B$168=1,0,MIN($B$150,$B$148+$B$166*$B$169))</f>
        <v>0</v>
      </c>
      <c r="C172" s="23" t="s">
        <v>278</v>
      </c>
    </row>
    <row r="173" customFormat="false" ht="15" hidden="false" customHeight="false" outlineLevel="0" collapsed="false">
      <c r="A173" s="7" t="s">
        <v>279</v>
      </c>
      <c r="B173" s="17" t="n">
        <f aca="false">IF($B$168=1,0,INT(ROUND($B$148*$B$158,6)))</f>
        <v>0</v>
      </c>
      <c r="C173" s="23" t="s">
        <v>280</v>
      </c>
    </row>
    <row r="174" customFormat="false" ht="15" hidden="false" customHeight="false" outlineLevel="0" collapsed="false">
      <c r="A174" s="7" t="s">
        <v>281</v>
      </c>
      <c r="B174" s="17" t="n">
        <f aca="false">MIN($B$173,INT(ROUND($B$148*$B$156,6)))</f>
        <v>0</v>
      </c>
      <c r="C174" s="23" t="s">
        <v>282</v>
      </c>
    </row>
    <row r="175" customFormat="false" ht="15" hidden="false" customHeight="false" outlineLevel="0" collapsed="false">
      <c r="A175" s="7" t="s">
        <v>283</v>
      </c>
      <c r="B175" s="17" t="n">
        <f aca="false">IF($B$166=1,INT(ROUND($B$169*$B$159,6)),IF($B$168=1,INT(ROUND($B$148*$B$159,6)),0))</f>
        <v>9000</v>
      </c>
      <c r="C175" s="23" t="s">
        <v>284</v>
      </c>
    </row>
    <row r="176" customFormat="false" ht="15" hidden="false" customHeight="false" outlineLevel="0" collapsed="false">
      <c r="A176" s="7" t="s">
        <v>285</v>
      </c>
      <c r="B176" s="17" t="n">
        <f aca="false">IF($B$165="merchant",MIN($B$172,MAX(0,$B$169-$B$175)),0)</f>
        <v>0</v>
      </c>
      <c r="C176" s="23" t="s">
        <v>286</v>
      </c>
    </row>
    <row r="177" customFormat="false" ht="15" hidden="false" customHeight="false" outlineLevel="0" collapsed="false">
      <c r="A177" s="7" t="s">
        <v>287</v>
      </c>
      <c r="B177" s="17" t="n">
        <f aca="false">IF($B$165="sponsor",$B$172,0)</f>
        <v>0</v>
      </c>
      <c r="C177" s="23" t="s">
        <v>288</v>
      </c>
    </row>
    <row r="178" customFormat="false" ht="15" hidden="false" customHeight="false" outlineLevel="0" collapsed="false">
      <c r="A178" s="7" t="s">
        <v>289</v>
      </c>
      <c r="B178" s="17" t="n">
        <f aca="false">$B$172-$B$176-$B$177</f>
        <v>0</v>
      </c>
      <c r="C178" s="23" t="s">
        <v>290</v>
      </c>
    </row>
    <row r="179" customFormat="false" ht="15" hidden="false" customHeight="false" outlineLevel="0" collapsed="false">
      <c r="A179" s="7" t="s">
        <v>291</v>
      </c>
      <c r="B179" s="17" t="n">
        <f aca="false">IF($B$168=1,$B$148+$B$160,$B$148+$B$160+$B$169+$B$170+$B$155-$B$172)</f>
        <v>70000</v>
      </c>
      <c r="C179" s="23" t="s">
        <v>292</v>
      </c>
    </row>
    <row r="180" customFormat="false" ht="15" hidden="false" customHeight="false" outlineLevel="0" collapsed="false">
      <c r="A180" s="7" t="s">
        <v>293</v>
      </c>
      <c r="B180" s="17" t="n">
        <f aca="false">IF(OR($B$168=1,$B$179&lt;=0),0,IFERROR(ROUND($B$179*INDEX('Biaya PG'!$D$7:$D$20,MATCH($B$152,'Biaya PG'!$A$7:$A$20,0)),0)+INDEX('Biaya PG'!$E$7:$E$20,MATCH($B$152,'Biaya PG'!$A$7:$A$20,0)),0))</f>
        <v>490</v>
      </c>
      <c r="C180" s="23" t="s">
        <v>294</v>
      </c>
    </row>
    <row r="181" customFormat="false" ht="15" hidden="false" customHeight="false" outlineLevel="0" collapsed="false">
      <c r="A181" s="7" t="s">
        <v>295</v>
      </c>
      <c r="B181" s="17" t="n">
        <f aca="false">IF($B$180=0,0,IF(INDEX('Biaya PG'!$F$7:$F$20,MATCH($B$152,'Biaya PG'!$A$7:$A$20,0))="Ya",0,ROUND($B$180*INDEX('Biaya PG'!$G$7:$G$20,MATCH($B$152,'Biaya PG'!$A$7:$A$20,0)),0)))</f>
        <v>0</v>
      </c>
      <c r="C181" s="23" t="s">
        <v>296</v>
      </c>
    </row>
    <row r="182" customFormat="false" ht="15" hidden="false" customHeight="false" outlineLevel="0" collapsed="false">
      <c r="A182" s="7" t="s">
        <v>297</v>
      </c>
      <c r="B182" s="17" t="n">
        <f aca="false">IF($B$164="customer",$B$180+$B$181,0)</f>
        <v>0</v>
      </c>
      <c r="C182" s="23" t="s">
        <v>298</v>
      </c>
    </row>
    <row r="183" customFormat="false" ht="15" hidden="false" customHeight="false" outlineLevel="0" collapsed="false">
      <c r="A183" s="6" t="s">
        <v>299</v>
      </c>
      <c r="B183" s="18" t="n">
        <f aca="false">$B$179+$B$182</f>
        <v>70000</v>
      </c>
      <c r="C183" s="23" t="s">
        <v>300</v>
      </c>
    </row>
    <row r="184" customFormat="false" ht="15" hidden="false" customHeight="false" outlineLevel="0" collapsed="false">
      <c r="A184" s="7" t="s">
        <v>301</v>
      </c>
      <c r="B184" s="17" t="n">
        <f aca="false">IF($B$168=1,0,$B$154)</f>
        <v>0</v>
      </c>
      <c r="C184" s="23"/>
    </row>
    <row r="185" customFormat="false" ht="15" hidden="false" customHeight="false" outlineLevel="0" collapsed="false">
      <c r="A185" s="7" t="s">
        <v>302</v>
      </c>
      <c r="B185" s="17" t="n">
        <f aca="false">$B$183+$B$184</f>
        <v>70000</v>
      </c>
      <c r="C185" s="23" t="s">
        <v>303</v>
      </c>
    </row>
    <row r="186" customFormat="false" ht="15" hidden="false" customHeight="false" outlineLevel="0" collapsed="false">
      <c r="A186" s="6" t="s">
        <v>304</v>
      </c>
      <c r="B186" s="18" t="n">
        <f aca="false">IF($B$168=1,0,($B$148-$B$173+$B$174)+$B$184+$B$155+$B$171)</f>
        <v>8000</v>
      </c>
      <c r="C186" s="23" t="s">
        <v>305</v>
      </c>
    </row>
    <row r="187" customFormat="false" ht="15" hidden="false" customHeight="false" outlineLevel="0" collapsed="false">
      <c r="A187" s="6" t="s">
        <v>211</v>
      </c>
      <c r="B187" s="18" t="n">
        <f aca="false">IF($B$166=1,$B$169-$B$175-$B$176,0)</f>
        <v>51000</v>
      </c>
      <c r="C187" s="23" t="s">
        <v>306</v>
      </c>
    </row>
    <row r="188" customFormat="false" ht="15" hidden="false" customHeight="false" outlineLevel="0" collapsed="false">
      <c r="A188" s="7" t="s">
        <v>307</v>
      </c>
      <c r="B188" s="17" t="n">
        <f aca="false">IF($B$167=1,$B$169,0)</f>
        <v>0</v>
      </c>
      <c r="C188" s="23" t="s">
        <v>308</v>
      </c>
    </row>
    <row r="189" customFormat="false" ht="15" hidden="false" customHeight="false" outlineLevel="0" collapsed="false">
      <c r="A189" s="7" t="s">
        <v>309</v>
      </c>
      <c r="B189" s="17" t="n">
        <f aca="false">IF($B$168=1,$B$148-$B$175,0)</f>
        <v>0</v>
      </c>
      <c r="C189" s="23" t="s">
        <v>310</v>
      </c>
    </row>
    <row r="190" customFormat="false" ht="15" hidden="false" customHeight="false" outlineLevel="0" collapsed="false">
      <c r="A190" s="7" t="s">
        <v>311</v>
      </c>
      <c r="B190" s="17" t="n">
        <f aca="false">$B$170-$B$171</f>
        <v>0</v>
      </c>
      <c r="C190" s="23" t="s">
        <v>312</v>
      </c>
    </row>
    <row r="191" customFormat="false" ht="15" hidden="false" customHeight="false" outlineLevel="0" collapsed="false">
      <c r="A191" s="6" t="s">
        <v>212</v>
      </c>
      <c r="B191" s="18" t="n">
        <f aca="false">IF($B$168=1,$B$160+$B$175,$B$160+($B$173-$B$174)+$B$175+$B$190-$B$178)</f>
        <v>11000</v>
      </c>
      <c r="C191" s="23" t="s">
        <v>313</v>
      </c>
    </row>
    <row r="192" customFormat="false" ht="15" hidden="false" customHeight="false" outlineLevel="0" collapsed="false">
      <c r="A192" s="7" t="s">
        <v>314</v>
      </c>
      <c r="B192" s="17" t="n">
        <f aca="false">$B$191+$B$174</f>
        <v>11000</v>
      </c>
      <c r="C192" s="23" t="s">
        <v>315</v>
      </c>
    </row>
    <row r="193" customFormat="false" ht="15" hidden="false" customHeight="false" outlineLevel="0" collapsed="false">
      <c r="A193" s="7" t="s">
        <v>316</v>
      </c>
      <c r="B193" s="17" t="n">
        <f aca="false">$B$180+$B$181</f>
        <v>490</v>
      </c>
      <c r="C193" s="23" t="s">
        <v>317</v>
      </c>
    </row>
    <row r="194" customFormat="false" ht="15" hidden="false" customHeight="false" outlineLevel="0" collapsed="false">
      <c r="A194" s="7" t="s">
        <v>318</v>
      </c>
      <c r="B194" s="17" t="n">
        <f aca="false">IF($B$164="platform",$B$193,0)</f>
        <v>490</v>
      </c>
      <c r="C194" s="23" t="s">
        <v>319</v>
      </c>
    </row>
    <row r="195" customFormat="false" ht="15" hidden="false" customHeight="false" outlineLevel="0" collapsed="false">
      <c r="A195" s="6" t="s">
        <v>320</v>
      </c>
      <c r="B195" s="18" t="n">
        <f aca="false">$B$191-$B$194</f>
        <v>10510</v>
      </c>
      <c r="C195" s="23" t="s">
        <v>321</v>
      </c>
    </row>
    <row r="196" customFormat="false" ht="15" hidden="false" customHeight="false" outlineLevel="0" collapsed="false">
      <c r="A196" s="6" t="s">
        <v>322</v>
      </c>
      <c r="B196" s="17" t="n">
        <f aca="false">IF($B$152="cash",IF($B$168=1,$B$183-$B$189,$B$183-$B$188-$B$187-($B$186-$B$184)),0)</f>
        <v>0</v>
      </c>
      <c r="C196" s="23" t="s">
        <v>323</v>
      </c>
    </row>
    <row r="197" customFormat="false" ht="15" hidden="false" customHeight="false" outlineLevel="0" collapsed="false">
      <c r="A197" s="7" t="s">
        <v>324</v>
      </c>
      <c r="B197" s="7" t="str">
        <f aca="false">IF($B$152="cash","Tunai",IF($B$152="antarpay","Saldo AntarPay","Digital (gateway)"))</f>
        <v>Digital (gateway)</v>
      </c>
      <c r="C197" s="23" t="s">
        <v>325</v>
      </c>
    </row>
    <row r="198" customFormat="false" ht="15" hidden="false" customHeight="false" outlineLevel="0" collapsed="false">
      <c r="A198" s="7" t="s">
        <v>326</v>
      </c>
      <c r="B198" s="26" t="n">
        <f aca="false">IF($B$193=0,0,IFERROR(IF(AND($B$152="bank_transfer",OR($B$153="bsi",$B$153="seabank")),INDEX('Biaya PG'!$I$7:$I$20,MATCH($B$152,'Biaya PG'!$A$7:$A$20,0)),INDEX('Biaya PG'!$H$7:$H$20,MATCH($B$152,'Biaya PG'!$A$7:$A$20,0))),0))</f>
        <v>1</v>
      </c>
      <c r="C198" s="23" t="s">
        <v>327</v>
      </c>
    </row>
    <row r="199" customFormat="false" ht="15" hidden="false" customHeight="false" outlineLevel="0" collapsed="false">
      <c r="A199" s="7" t="s">
        <v>328</v>
      </c>
      <c r="B199" s="17" t="n">
        <f aca="false">IF($B$168=1,$B$148,$B$169+$B$148)</f>
        <v>68000</v>
      </c>
      <c r="C199" s="23" t="s">
        <v>329</v>
      </c>
    </row>
    <row r="200" customFormat="false" ht="15" hidden="false" customHeight="false" outlineLevel="0" collapsed="false">
      <c r="A200" s="7" t="s">
        <v>330</v>
      </c>
      <c r="B200" s="20" t="n">
        <f aca="false">IF($B$199&gt;0,$B$192/$B$199,0)</f>
        <v>0.161764705882353</v>
      </c>
      <c r="C200" s="23" t="s">
        <v>331</v>
      </c>
    </row>
    <row r="201" customFormat="false" ht="15" hidden="false" customHeight="false" outlineLevel="0" collapsed="false">
      <c r="A201" s="7" t="s">
        <v>207</v>
      </c>
      <c r="B201" s="20" t="n">
        <f aca="false">IF(AND($B$148&gt;0,$B$168=0),($B$148-$B$173+$B$174)/$B$148,0)</f>
        <v>1</v>
      </c>
      <c r="C201" s="23" t="s">
        <v>332</v>
      </c>
    </row>
    <row r="202" customFormat="false" ht="15" hidden="false" customHeight="false" outlineLevel="0" collapsed="false">
      <c r="A202" s="6" t="s">
        <v>333</v>
      </c>
      <c r="B202" s="17" t="n">
        <f aca="false">$B$185+$B$177-($B$186+$B$187+$B$188+$B$189+$B$191+$B$182)</f>
        <v>0</v>
      </c>
      <c r="C202" s="23" t="s">
        <v>334</v>
      </c>
    </row>
    <row r="203" customFormat="false" ht="15" hidden="false" customHeight="false" outlineLevel="0" collapsed="false">
      <c r="A203" s="2" t="s">
        <v>339</v>
      </c>
    </row>
    <row r="205" customFormat="false" ht="15" hidden="false" customHeight="false" outlineLevel="0" collapsed="false">
      <c r="A205" s="3" t="s">
        <v>340</v>
      </c>
      <c r="B205" s="4"/>
      <c r="C205" s="4"/>
      <c r="D205" s="4"/>
      <c r="E205" s="4"/>
      <c r="F205" s="4"/>
    </row>
    <row r="206" customFormat="false" ht="15" hidden="false" customHeight="false" outlineLevel="0" collapsed="false">
      <c r="A206" s="5" t="s">
        <v>229</v>
      </c>
      <c r="B206" s="5" t="s">
        <v>52</v>
      </c>
      <c r="C206" s="5" t="s">
        <v>230</v>
      </c>
      <c r="D206" s="5" t="s">
        <v>231</v>
      </c>
      <c r="E206" s="5" t="s">
        <v>232</v>
      </c>
      <c r="F206" s="5" t="s">
        <v>233</v>
      </c>
    </row>
    <row r="207" customFormat="false" ht="15" hidden="false" customHeight="false" outlineLevel="0" collapsed="false">
      <c r="A207" s="7" t="s">
        <v>3</v>
      </c>
      <c r="B207" s="6" t="s">
        <v>30</v>
      </c>
      <c r="C207" s="23" t="s">
        <v>234</v>
      </c>
    </row>
    <row r="208" customFormat="false" ht="15" hidden="false" customHeight="false" outlineLevel="0" collapsed="false">
      <c r="A208" s="7" t="s">
        <v>235</v>
      </c>
      <c r="B208" s="14" t="n">
        <v>8000</v>
      </c>
      <c r="C208" s="23" t="s">
        <v>236</v>
      </c>
    </row>
    <row r="209" customFormat="false" ht="15" hidden="false" customHeight="false" outlineLevel="0" collapsed="false">
      <c r="A209" s="7" t="s">
        <v>237</v>
      </c>
      <c r="B209" s="14" t="n">
        <v>0</v>
      </c>
      <c r="C209" s="23" t="s">
        <v>238</v>
      </c>
    </row>
    <row r="210" customFormat="false" ht="15" hidden="false" customHeight="false" outlineLevel="0" collapsed="false">
      <c r="A210" s="7" t="s">
        <v>239</v>
      </c>
      <c r="B210" s="14" t="n">
        <v>0</v>
      </c>
      <c r="C210" s="23" t="s">
        <v>240</v>
      </c>
    </row>
    <row r="211" customFormat="false" ht="15" hidden="false" customHeight="false" outlineLevel="0" collapsed="false">
      <c r="A211" s="7" t="s">
        <v>241</v>
      </c>
      <c r="B211" s="24"/>
      <c r="C211" s="23" t="s">
        <v>242</v>
      </c>
    </row>
    <row r="212" customFormat="false" ht="15" hidden="false" customHeight="false" outlineLevel="0" collapsed="false">
      <c r="A212" s="7" t="s">
        <v>243</v>
      </c>
      <c r="B212" s="24" t="s">
        <v>187</v>
      </c>
      <c r="C212" s="23" t="s">
        <v>244</v>
      </c>
    </row>
    <row r="213" customFormat="false" ht="15" hidden="false" customHeight="false" outlineLevel="0" collapsed="false">
      <c r="A213" s="7" t="s">
        <v>245</v>
      </c>
      <c r="B213" s="24"/>
      <c r="C213" s="23" t="s">
        <v>246</v>
      </c>
    </row>
    <row r="214" customFormat="false" ht="15" hidden="false" customHeight="false" outlineLevel="0" collapsed="false">
      <c r="A214" s="7" t="s">
        <v>247</v>
      </c>
      <c r="B214" s="14" t="n">
        <v>0</v>
      </c>
      <c r="C214" s="23" t="s">
        <v>248</v>
      </c>
    </row>
    <row r="215" customFormat="false" ht="15" hidden="false" customHeight="false" outlineLevel="0" collapsed="false">
      <c r="A215" s="7" t="s">
        <v>249</v>
      </c>
      <c r="B215" s="14" t="n">
        <v>0</v>
      </c>
      <c r="C215" s="23" t="s">
        <v>250</v>
      </c>
    </row>
    <row r="216" customFormat="false" ht="15" hidden="false" customHeight="false" outlineLevel="0" collapsed="false">
      <c r="A216" s="7" t="s">
        <v>251</v>
      </c>
      <c r="B216" s="25" t="n">
        <v>0</v>
      </c>
      <c r="C216" s="23" t="s">
        <v>252</v>
      </c>
    </row>
    <row r="217" customFormat="false" ht="15" hidden="false" customHeight="false" outlineLevel="0" collapsed="false">
      <c r="A217" s="7" t="s">
        <v>253</v>
      </c>
      <c r="B217" s="24"/>
      <c r="C217" s="23" t="s">
        <v>254</v>
      </c>
    </row>
    <row r="218" customFormat="false" ht="15" hidden="false" customHeight="false" outlineLevel="0" collapsed="false">
      <c r="A218" s="7" t="s">
        <v>255</v>
      </c>
      <c r="B218" s="20" t="n">
        <f aca="false">INDEX(Asumsi!$C$6:$C$13,MATCH($B$207,Asumsi!$A$6:$A$13,0))</f>
        <v>0</v>
      </c>
      <c r="C218" s="23" t="s">
        <v>256</v>
      </c>
    </row>
    <row r="219" customFormat="false" ht="15" hidden="false" customHeight="false" outlineLevel="0" collapsed="false">
      <c r="A219" s="7" t="s">
        <v>6</v>
      </c>
      <c r="B219" s="20" t="n">
        <f aca="false">INDEX(Asumsi!$D$6:$D$13,MATCH($B$207,Asumsi!$A$6:$A$13,0))</f>
        <v>0</v>
      </c>
      <c r="C219" s="23" t="s">
        <v>257</v>
      </c>
    </row>
    <row r="220" customFormat="false" ht="15" hidden="false" customHeight="false" outlineLevel="0" collapsed="false">
      <c r="A220" s="7" t="s">
        <v>258</v>
      </c>
      <c r="B220" s="17" t="n">
        <f aca="false">INDEX(Asumsi!$E$6:$E$13,MATCH($B$207,Asumsi!$A$6:$A$13,0))</f>
        <v>3000</v>
      </c>
      <c r="C220" s="23" t="s">
        <v>259</v>
      </c>
    </row>
    <row r="221" customFormat="false" ht="15" hidden="false" customHeight="false" outlineLevel="0" collapsed="false">
      <c r="A221" s="7" t="s">
        <v>8</v>
      </c>
      <c r="B221" s="20" t="n">
        <f aca="false">INDEX(Asumsi!$F$6:$F$13,MATCH($B$207,Asumsi!$A$6:$A$13,0))</f>
        <v>0</v>
      </c>
      <c r="C221" s="23" t="s">
        <v>260</v>
      </c>
    </row>
    <row r="222" customFormat="false" ht="15" hidden="false" customHeight="false" outlineLevel="0" collapsed="false">
      <c r="A222" s="7" t="s">
        <v>9</v>
      </c>
      <c r="B222" s="17" t="n">
        <f aca="false">INDEX(Asumsi!$G$6:$G$13,MATCH($B$207,Asumsi!$A$6:$A$13,0))</f>
        <v>0</v>
      </c>
      <c r="C222" s="23" t="s">
        <v>261</v>
      </c>
    </row>
    <row r="223" customFormat="false" ht="15" hidden="false" customHeight="false" outlineLevel="0" collapsed="false">
      <c r="A223" s="7" t="s">
        <v>262</v>
      </c>
      <c r="B223" s="20" t="n">
        <f aca="false">INDEX(Asumsi!$H$6:$H$13,MATCH($B$207,Asumsi!$A$6:$A$13,0))</f>
        <v>0</v>
      </c>
      <c r="C223" s="23" t="s">
        <v>263</v>
      </c>
    </row>
    <row r="224" customFormat="false" ht="15" hidden="false" customHeight="false" outlineLevel="0" collapsed="false">
      <c r="A224" s="7" t="s">
        <v>264</v>
      </c>
      <c r="B224" s="7" t="str">
        <f aca="false">IF($B$217="",INDEX(Asumsi!$I$6:$I$13,MATCH($B$207,Asumsi!$A$6:$A$13,0)),$B$217)</f>
        <v>platform</v>
      </c>
      <c r="C224" s="23" t="s">
        <v>265</v>
      </c>
    </row>
    <row r="225" customFormat="false" ht="15" hidden="false" customHeight="false" outlineLevel="0" collapsed="false">
      <c r="A225" s="7" t="s">
        <v>266</v>
      </c>
      <c r="B225" s="7" t="str">
        <f aca="false">IF(AND(IF($B$211="",INDEX(Asumsi!$J$6:$J$13,MATCH($B$207,Asumsi!$A$6:$A$13,0)),$B$211)="merchant",$B$207&lt;&gt;"food"),"platform",IF($B$211="",INDEX(Asumsi!$J$6:$J$13,MATCH($B$207,Asumsi!$A$6:$A$13,0)),$B$211))</f>
        <v>platform</v>
      </c>
      <c r="C225" s="23" t="s">
        <v>267</v>
      </c>
    </row>
    <row r="226" customFormat="false" ht="15" hidden="false" customHeight="false" outlineLevel="0" collapsed="false">
      <c r="A226" s="7" t="s">
        <v>268</v>
      </c>
      <c r="B226" s="26" t="n">
        <f aca="false">IF($B$207="food",1,0)</f>
        <v>0</v>
      </c>
      <c r="C226" s="23"/>
    </row>
    <row r="227" customFormat="false" ht="15" hidden="false" customHeight="false" outlineLevel="0" collapsed="false">
      <c r="A227" s="7" t="s">
        <v>269</v>
      </c>
      <c r="B227" s="26" t="n">
        <f aca="false">IF(OR($B$207="shop",$B$207="market"),1,0)</f>
        <v>0</v>
      </c>
      <c r="C227" s="23"/>
    </row>
    <row r="228" customFormat="false" ht="15" hidden="false" customHeight="false" outlineLevel="0" collapsed="false">
      <c r="A228" s="7" t="s">
        <v>270</v>
      </c>
      <c r="B228" s="26" t="n">
        <f aca="false">IF($B$207="travel",1,0)</f>
        <v>0</v>
      </c>
      <c r="C228" s="23"/>
    </row>
    <row r="229" customFormat="false" ht="15" hidden="false" customHeight="false" outlineLevel="0" collapsed="false">
      <c r="A229" s="7" t="s">
        <v>271</v>
      </c>
      <c r="B229" s="17" t="n">
        <f aca="false">IF($B$226+$B$227&gt;0,$B$209,0)</f>
        <v>0</v>
      </c>
      <c r="C229" s="23" t="s">
        <v>272</v>
      </c>
    </row>
    <row r="230" customFormat="false" ht="15" hidden="false" customHeight="false" outlineLevel="0" collapsed="false">
      <c r="A230" s="7" t="s">
        <v>273</v>
      </c>
      <c r="B230" s="17" t="n">
        <f aca="false">IF($B$227=1,MAX($B$222,INT(ROUND($B$229*$B$221,6))),0)</f>
        <v>0</v>
      </c>
      <c r="C230" s="23" t="s">
        <v>274</v>
      </c>
    </row>
    <row r="231" customFormat="false" ht="15" hidden="false" customHeight="false" outlineLevel="0" collapsed="false">
      <c r="A231" s="7" t="s">
        <v>275</v>
      </c>
      <c r="B231" s="17" t="n">
        <f aca="false">INT(ROUND($B$230*$B$223,6))</f>
        <v>0</v>
      </c>
      <c r="C231" s="23" t="s">
        <v>276</v>
      </c>
    </row>
    <row r="232" customFormat="false" ht="15" hidden="false" customHeight="false" outlineLevel="0" collapsed="false">
      <c r="A232" s="7" t="s">
        <v>277</v>
      </c>
      <c r="B232" s="17" t="n">
        <f aca="false">IF($B$228=1,0,MIN($B$210,$B$208+$B$226*$B$229))</f>
        <v>0</v>
      </c>
      <c r="C232" s="23" t="s">
        <v>278</v>
      </c>
    </row>
    <row r="233" customFormat="false" ht="15" hidden="false" customHeight="false" outlineLevel="0" collapsed="false">
      <c r="A233" s="7" t="s">
        <v>279</v>
      </c>
      <c r="B233" s="17" t="n">
        <f aca="false">IF($B$228=1,0,INT(ROUND($B$208*$B$218,6)))</f>
        <v>0</v>
      </c>
      <c r="C233" s="23" t="s">
        <v>280</v>
      </c>
    </row>
    <row r="234" customFormat="false" ht="15" hidden="false" customHeight="false" outlineLevel="0" collapsed="false">
      <c r="A234" s="7" t="s">
        <v>281</v>
      </c>
      <c r="B234" s="17" t="n">
        <f aca="false">MIN($B$233,INT(ROUND($B$208*$B$216,6)))</f>
        <v>0</v>
      </c>
      <c r="C234" s="23" t="s">
        <v>282</v>
      </c>
    </row>
    <row r="235" customFormat="false" ht="15" hidden="false" customHeight="false" outlineLevel="0" collapsed="false">
      <c r="A235" s="7" t="s">
        <v>283</v>
      </c>
      <c r="B235" s="17" t="n">
        <f aca="false">IF($B$226=1,INT(ROUND($B$229*$B$219,6)),IF($B$228=1,INT(ROUND($B$208*$B$219,6)),0))</f>
        <v>0</v>
      </c>
      <c r="C235" s="23" t="s">
        <v>284</v>
      </c>
    </row>
    <row r="236" customFormat="false" ht="15" hidden="false" customHeight="false" outlineLevel="0" collapsed="false">
      <c r="A236" s="7" t="s">
        <v>285</v>
      </c>
      <c r="B236" s="17" t="n">
        <f aca="false">IF($B$225="merchant",MIN($B$232,MAX(0,$B$229-$B$235)),0)</f>
        <v>0</v>
      </c>
      <c r="C236" s="23" t="s">
        <v>286</v>
      </c>
    </row>
    <row r="237" customFormat="false" ht="15" hidden="false" customHeight="false" outlineLevel="0" collapsed="false">
      <c r="A237" s="7" t="s">
        <v>287</v>
      </c>
      <c r="B237" s="17" t="n">
        <f aca="false">IF($B$225="sponsor",$B$232,0)</f>
        <v>0</v>
      </c>
      <c r="C237" s="23" t="s">
        <v>288</v>
      </c>
    </row>
    <row r="238" customFormat="false" ht="15" hidden="false" customHeight="false" outlineLevel="0" collapsed="false">
      <c r="A238" s="7" t="s">
        <v>289</v>
      </c>
      <c r="B238" s="17" t="n">
        <f aca="false">$B$232-$B$236-$B$237</f>
        <v>0</v>
      </c>
      <c r="C238" s="23" t="s">
        <v>290</v>
      </c>
    </row>
    <row r="239" customFormat="false" ht="15" hidden="false" customHeight="false" outlineLevel="0" collapsed="false">
      <c r="A239" s="7" t="s">
        <v>291</v>
      </c>
      <c r="B239" s="17" t="n">
        <f aca="false">IF($B$228=1,$B$208+$B$220,$B$208+$B$220+$B$229+$B$230+$B$215-$B$232)</f>
        <v>11000</v>
      </c>
      <c r="C239" s="23" t="s">
        <v>292</v>
      </c>
    </row>
    <row r="240" customFormat="false" ht="15" hidden="false" customHeight="false" outlineLevel="0" collapsed="false">
      <c r="A240" s="7" t="s">
        <v>293</v>
      </c>
      <c r="B240" s="17" t="n">
        <f aca="false">IF(OR($B$228=1,$B$239&lt;=0),0,IFERROR(ROUND($B$239*INDEX('Biaya PG'!$D$7:$D$20,MATCH($B$212,'Biaya PG'!$A$7:$A$20,0)),0)+INDEX('Biaya PG'!$E$7:$E$20,MATCH($B$212,'Biaya PG'!$A$7:$A$20,0)),0))</f>
        <v>0</v>
      </c>
      <c r="C240" s="23" t="s">
        <v>294</v>
      </c>
    </row>
    <row r="241" customFormat="false" ht="15" hidden="false" customHeight="false" outlineLevel="0" collapsed="false">
      <c r="A241" s="7" t="s">
        <v>295</v>
      </c>
      <c r="B241" s="17" t="n">
        <f aca="false">IF($B$240=0,0,IF(INDEX('Biaya PG'!$F$7:$F$20,MATCH($B$212,'Biaya PG'!$A$7:$A$20,0))="Ya",0,ROUND($B$240*INDEX('Biaya PG'!$G$7:$G$20,MATCH($B$212,'Biaya PG'!$A$7:$A$20,0)),0)))</f>
        <v>0</v>
      </c>
      <c r="C241" s="23" t="s">
        <v>296</v>
      </c>
    </row>
    <row r="242" customFormat="false" ht="15" hidden="false" customHeight="false" outlineLevel="0" collapsed="false">
      <c r="A242" s="7" t="s">
        <v>297</v>
      </c>
      <c r="B242" s="17" t="n">
        <f aca="false">IF($B$224="customer",$B$240+$B$241,0)</f>
        <v>0</v>
      </c>
      <c r="C242" s="23" t="s">
        <v>298</v>
      </c>
    </row>
    <row r="243" customFormat="false" ht="15" hidden="false" customHeight="false" outlineLevel="0" collapsed="false">
      <c r="A243" s="6" t="s">
        <v>299</v>
      </c>
      <c r="B243" s="18" t="n">
        <f aca="false">$B$239+$B$242</f>
        <v>11000</v>
      </c>
      <c r="C243" s="23" t="s">
        <v>300</v>
      </c>
    </row>
    <row r="244" customFormat="false" ht="15" hidden="false" customHeight="false" outlineLevel="0" collapsed="false">
      <c r="A244" s="7" t="s">
        <v>301</v>
      </c>
      <c r="B244" s="17" t="n">
        <f aca="false">IF($B$228=1,0,$B$214)</f>
        <v>0</v>
      </c>
      <c r="C244" s="23"/>
    </row>
    <row r="245" customFormat="false" ht="15" hidden="false" customHeight="false" outlineLevel="0" collapsed="false">
      <c r="A245" s="7" t="s">
        <v>302</v>
      </c>
      <c r="B245" s="17" t="n">
        <f aca="false">$B$243+$B$244</f>
        <v>11000</v>
      </c>
      <c r="C245" s="23" t="s">
        <v>303</v>
      </c>
    </row>
    <row r="246" customFormat="false" ht="15" hidden="false" customHeight="false" outlineLevel="0" collapsed="false">
      <c r="A246" s="6" t="s">
        <v>304</v>
      </c>
      <c r="B246" s="18" t="n">
        <f aca="false">IF($B$228=1,0,($B$208-$B$233+$B$234)+$B$244+$B$215+$B$231)</f>
        <v>8000</v>
      </c>
      <c r="C246" s="23" t="s">
        <v>305</v>
      </c>
    </row>
    <row r="247" customFormat="false" ht="15" hidden="false" customHeight="false" outlineLevel="0" collapsed="false">
      <c r="A247" s="6" t="s">
        <v>211</v>
      </c>
      <c r="B247" s="18" t="n">
        <f aca="false">IF($B$226=1,$B$229-$B$235-$B$236,0)</f>
        <v>0</v>
      </c>
      <c r="C247" s="23" t="s">
        <v>306</v>
      </c>
    </row>
    <row r="248" customFormat="false" ht="15" hidden="false" customHeight="false" outlineLevel="0" collapsed="false">
      <c r="A248" s="7" t="s">
        <v>307</v>
      </c>
      <c r="B248" s="17" t="n">
        <f aca="false">IF($B$227=1,$B$229,0)</f>
        <v>0</v>
      </c>
      <c r="C248" s="23" t="s">
        <v>308</v>
      </c>
    </row>
    <row r="249" customFormat="false" ht="15" hidden="false" customHeight="false" outlineLevel="0" collapsed="false">
      <c r="A249" s="7" t="s">
        <v>309</v>
      </c>
      <c r="B249" s="17" t="n">
        <f aca="false">IF($B$228=1,$B$208-$B$235,0)</f>
        <v>0</v>
      </c>
      <c r="C249" s="23" t="s">
        <v>310</v>
      </c>
    </row>
    <row r="250" customFormat="false" ht="15" hidden="false" customHeight="false" outlineLevel="0" collapsed="false">
      <c r="A250" s="7" t="s">
        <v>311</v>
      </c>
      <c r="B250" s="17" t="n">
        <f aca="false">$B$230-$B$231</f>
        <v>0</v>
      </c>
      <c r="C250" s="23" t="s">
        <v>312</v>
      </c>
    </row>
    <row r="251" customFormat="false" ht="15" hidden="false" customHeight="false" outlineLevel="0" collapsed="false">
      <c r="A251" s="6" t="s">
        <v>212</v>
      </c>
      <c r="B251" s="18" t="n">
        <f aca="false">IF($B$228=1,$B$220+$B$235,$B$220+($B$233-$B$234)+$B$235+$B$250-$B$238)</f>
        <v>3000</v>
      </c>
      <c r="C251" s="23" t="s">
        <v>313</v>
      </c>
    </row>
    <row r="252" customFormat="false" ht="15" hidden="false" customHeight="false" outlineLevel="0" collapsed="false">
      <c r="A252" s="7" t="s">
        <v>314</v>
      </c>
      <c r="B252" s="17" t="n">
        <f aca="false">$B$251+$B$234</f>
        <v>3000</v>
      </c>
      <c r="C252" s="23" t="s">
        <v>315</v>
      </c>
    </row>
    <row r="253" customFormat="false" ht="15" hidden="false" customHeight="false" outlineLevel="0" collapsed="false">
      <c r="A253" s="7" t="s">
        <v>316</v>
      </c>
      <c r="B253" s="17" t="n">
        <f aca="false">$B$240+$B$241</f>
        <v>0</v>
      </c>
      <c r="C253" s="23" t="s">
        <v>317</v>
      </c>
    </row>
    <row r="254" customFormat="false" ht="15" hidden="false" customHeight="false" outlineLevel="0" collapsed="false">
      <c r="A254" s="7" t="s">
        <v>318</v>
      </c>
      <c r="B254" s="17" t="n">
        <f aca="false">IF($B$224="platform",$B$253,0)</f>
        <v>0</v>
      </c>
      <c r="C254" s="23" t="s">
        <v>319</v>
      </c>
    </row>
    <row r="255" customFormat="false" ht="15" hidden="false" customHeight="false" outlineLevel="0" collapsed="false">
      <c r="A255" s="6" t="s">
        <v>320</v>
      </c>
      <c r="B255" s="18" t="n">
        <f aca="false">$B$251-$B$254</f>
        <v>3000</v>
      </c>
      <c r="C255" s="23" t="s">
        <v>321</v>
      </c>
    </row>
    <row r="256" customFormat="false" ht="15" hidden="false" customHeight="false" outlineLevel="0" collapsed="false">
      <c r="A256" s="6" t="s">
        <v>322</v>
      </c>
      <c r="B256" s="17" t="n">
        <f aca="false">IF($B$212="cash",IF($B$228=1,$B$243-$B$249,$B$243-$B$248-$B$247-($B$246-$B$244)),0)</f>
        <v>3000</v>
      </c>
      <c r="C256" s="23" t="s">
        <v>323</v>
      </c>
    </row>
    <row r="257" customFormat="false" ht="15" hidden="false" customHeight="false" outlineLevel="0" collapsed="false">
      <c r="A257" s="7" t="s">
        <v>324</v>
      </c>
      <c r="B257" s="7" t="str">
        <f aca="false">IF($B$212="cash","Tunai",IF($B$212="antarpay","Saldo AntarPay","Digital (gateway)"))</f>
        <v>Tunai</v>
      </c>
      <c r="C257" s="23" t="s">
        <v>325</v>
      </c>
    </row>
    <row r="258" customFormat="false" ht="15" hidden="false" customHeight="false" outlineLevel="0" collapsed="false">
      <c r="A258" s="7" t="s">
        <v>326</v>
      </c>
      <c r="B258" s="26" t="n">
        <f aca="false">IF($B$253=0,0,IFERROR(IF(AND($B$212="bank_transfer",OR($B$213="bsi",$B$213="seabank")),INDEX('Biaya PG'!$I$7:$I$20,MATCH($B$212,'Biaya PG'!$A$7:$A$20,0)),INDEX('Biaya PG'!$H$7:$H$20,MATCH($B$212,'Biaya PG'!$A$7:$A$20,0))),0))</f>
        <v>0</v>
      </c>
      <c r="C258" s="23" t="s">
        <v>327</v>
      </c>
    </row>
    <row r="259" customFormat="false" ht="15" hidden="false" customHeight="false" outlineLevel="0" collapsed="false">
      <c r="A259" s="7" t="s">
        <v>328</v>
      </c>
      <c r="B259" s="17" t="n">
        <f aca="false">IF($B$228=1,$B$208,$B$229+$B$208)</f>
        <v>8000</v>
      </c>
      <c r="C259" s="23" t="s">
        <v>329</v>
      </c>
    </row>
    <row r="260" customFormat="false" ht="15" hidden="false" customHeight="false" outlineLevel="0" collapsed="false">
      <c r="A260" s="7" t="s">
        <v>330</v>
      </c>
      <c r="B260" s="20" t="n">
        <f aca="false">IF($B$259&gt;0,$B$252/$B$259,0)</f>
        <v>0.375</v>
      </c>
      <c r="C260" s="23" t="s">
        <v>331</v>
      </c>
    </row>
    <row r="261" customFormat="false" ht="15" hidden="false" customHeight="false" outlineLevel="0" collapsed="false">
      <c r="A261" s="7" t="s">
        <v>207</v>
      </c>
      <c r="B261" s="20" t="n">
        <f aca="false">IF(AND($B$208&gt;0,$B$228=0),($B$208-$B$233+$B$234)/$B$208,0)</f>
        <v>1</v>
      </c>
      <c r="C261" s="23" t="s">
        <v>332</v>
      </c>
    </row>
    <row r="262" customFormat="false" ht="15" hidden="false" customHeight="false" outlineLevel="0" collapsed="false">
      <c r="A262" s="6" t="s">
        <v>333</v>
      </c>
      <c r="B262" s="17" t="n">
        <f aca="false">$B$245+$B$237-($B$246+$B$247+$B$248+$B$249+$B$251+$B$242)</f>
        <v>0</v>
      </c>
      <c r="C262" s="23" t="s">
        <v>334</v>
      </c>
    </row>
    <row r="263" customFormat="false" ht="15" hidden="false" customHeight="false" outlineLevel="0" collapsed="false">
      <c r="A263" s="2" t="s">
        <v>341</v>
      </c>
    </row>
    <row r="265" customFormat="false" ht="15" hidden="false" customHeight="false" outlineLevel="0" collapsed="false">
      <c r="A265" s="3" t="s">
        <v>342</v>
      </c>
      <c r="B265" s="4"/>
      <c r="C265" s="4"/>
      <c r="D265" s="4"/>
      <c r="E265" s="4"/>
      <c r="F265" s="4"/>
    </row>
    <row r="266" customFormat="false" ht="15" hidden="false" customHeight="false" outlineLevel="0" collapsed="false">
      <c r="A266" s="5" t="s">
        <v>229</v>
      </c>
      <c r="B266" s="5" t="s">
        <v>52</v>
      </c>
      <c r="C266" s="5" t="s">
        <v>230</v>
      </c>
      <c r="D266" s="5" t="s">
        <v>231</v>
      </c>
      <c r="E266" s="5" t="s">
        <v>232</v>
      </c>
      <c r="F266" s="5" t="s">
        <v>233</v>
      </c>
    </row>
    <row r="267" customFormat="false" ht="15" hidden="false" customHeight="false" outlineLevel="0" collapsed="false">
      <c r="A267" s="7" t="s">
        <v>3</v>
      </c>
      <c r="B267" s="6" t="s">
        <v>34</v>
      </c>
      <c r="C267" s="23" t="s">
        <v>234</v>
      </c>
    </row>
    <row r="268" customFormat="false" ht="15" hidden="false" customHeight="false" outlineLevel="0" collapsed="false">
      <c r="A268" s="7" t="s">
        <v>235</v>
      </c>
      <c r="B268" s="14" t="n">
        <v>9000</v>
      </c>
      <c r="C268" s="23" t="s">
        <v>236</v>
      </c>
    </row>
    <row r="269" customFormat="false" ht="15" hidden="false" customHeight="false" outlineLevel="0" collapsed="false">
      <c r="A269" s="7" t="s">
        <v>237</v>
      </c>
      <c r="B269" s="14" t="n">
        <v>149000</v>
      </c>
      <c r="C269" s="23" t="s">
        <v>238</v>
      </c>
    </row>
    <row r="270" customFormat="false" ht="15" hidden="false" customHeight="false" outlineLevel="0" collapsed="false">
      <c r="A270" s="7" t="s">
        <v>239</v>
      </c>
      <c r="B270" s="14" t="n">
        <v>0</v>
      </c>
      <c r="C270" s="23" t="s">
        <v>240</v>
      </c>
    </row>
    <row r="271" customFormat="false" ht="15" hidden="false" customHeight="false" outlineLevel="0" collapsed="false">
      <c r="A271" s="7" t="s">
        <v>241</v>
      </c>
      <c r="B271" s="24"/>
      <c r="C271" s="23" t="s">
        <v>242</v>
      </c>
    </row>
    <row r="272" customFormat="false" ht="15" hidden="false" customHeight="false" outlineLevel="0" collapsed="false">
      <c r="A272" s="7" t="s">
        <v>243</v>
      </c>
      <c r="B272" s="24" t="s">
        <v>187</v>
      </c>
      <c r="C272" s="23" t="s">
        <v>244</v>
      </c>
    </row>
    <row r="273" customFormat="false" ht="15" hidden="false" customHeight="false" outlineLevel="0" collapsed="false">
      <c r="A273" s="7" t="s">
        <v>245</v>
      </c>
      <c r="B273" s="24"/>
      <c r="C273" s="23" t="s">
        <v>246</v>
      </c>
    </row>
    <row r="274" customFormat="false" ht="15" hidden="false" customHeight="false" outlineLevel="0" collapsed="false">
      <c r="A274" s="7" t="s">
        <v>247</v>
      </c>
      <c r="B274" s="14" t="n">
        <v>0</v>
      </c>
      <c r="C274" s="23" t="s">
        <v>248</v>
      </c>
    </row>
    <row r="275" customFormat="false" ht="15" hidden="false" customHeight="false" outlineLevel="0" collapsed="false">
      <c r="A275" s="7" t="s">
        <v>249</v>
      </c>
      <c r="B275" s="14" t="n">
        <v>0</v>
      </c>
      <c r="C275" s="23" t="s">
        <v>250</v>
      </c>
    </row>
    <row r="276" customFormat="false" ht="15" hidden="false" customHeight="false" outlineLevel="0" collapsed="false">
      <c r="A276" s="7" t="s">
        <v>251</v>
      </c>
      <c r="B276" s="25" t="n">
        <v>0</v>
      </c>
      <c r="C276" s="23" t="s">
        <v>252</v>
      </c>
    </row>
    <row r="277" customFormat="false" ht="15" hidden="false" customHeight="false" outlineLevel="0" collapsed="false">
      <c r="A277" s="7" t="s">
        <v>253</v>
      </c>
      <c r="B277" s="24"/>
      <c r="C277" s="23" t="s">
        <v>254</v>
      </c>
    </row>
    <row r="278" customFormat="false" ht="15" hidden="false" customHeight="false" outlineLevel="0" collapsed="false">
      <c r="A278" s="7" t="s">
        <v>255</v>
      </c>
      <c r="B278" s="20" t="n">
        <f aca="false">INDEX(Asumsi!$C$6:$C$13,MATCH($B$267,Asumsi!$A$6:$A$13,0))</f>
        <v>0</v>
      </c>
      <c r="C278" s="23" t="s">
        <v>256</v>
      </c>
    </row>
    <row r="279" customFormat="false" ht="15" hidden="false" customHeight="false" outlineLevel="0" collapsed="false">
      <c r="A279" s="7" t="s">
        <v>6</v>
      </c>
      <c r="B279" s="20" t="n">
        <f aca="false">INDEX(Asumsi!$D$6:$D$13,MATCH($B$267,Asumsi!$A$6:$A$13,0))</f>
        <v>0</v>
      </c>
      <c r="C279" s="23" t="s">
        <v>257</v>
      </c>
    </row>
    <row r="280" customFormat="false" ht="15" hidden="false" customHeight="false" outlineLevel="0" collapsed="false">
      <c r="A280" s="7" t="s">
        <v>258</v>
      </c>
      <c r="B280" s="17" t="n">
        <f aca="false">INDEX(Asumsi!$E$6:$E$13,MATCH($B$267,Asumsi!$A$6:$A$13,0))</f>
        <v>1000</v>
      </c>
      <c r="C280" s="23" t="s">
        <v>259</v>
      </c>
    </row>
    <row r="281" customFormat="false" ht="15" hidden="false" customHeight="false" outlineLevel="0" collapsed="false">
      <c r="A281" s="7" t="s">
        <v>8</v>
      </c>
      <c r="B281" s="20" t="n">
        <f aca="false">INDEX(Asumsi!$F$6:$F$13,MATCH($B$267,Asumsi!$A$6:$A$13,0))</f>
        <v>0.05</v>
      </c>
      <c r="C281" s="23" t="s">
        <v>260</v>
      </c>
    </row>
    <row r="282" customFormat="false" ht="15" hidden="false" customHeight="false" outlineLevel="0" collapsed="false">
      <c r="A282" s="7" t="s">
        <v>9</v>
      </c>
      <c r="B282" s="17" t="n">
        <f aca="false">INDEX(Asumsi!$G$6:$G$13,MATCH($B$267,Asumsi!$A$6:$A$13,0))</f>
        <v>5000</v>
      </c>
      <c r="C282" s="23" t="s">
        <v>261</v>
      </c>
    </row>
    <row r="283" customFormat="false" ht="15" hidden="false" customHeight="false" outlineLevel="0" collapsed="false">
      <c r="A283" s="7" t="s">
        <v>262</v>
      </c>
      <c r="B283" s="20" t="n">
        <f aca="false">INDEX(Asumsi!$H$6:$H$13,MATCH($B$267,Asumsi!$A$6:$A$13,0))</f>
        <v>0.7</v>
      </c>
      <c r="C283" s="23" t="s">
        <v>263</v>
      </c>
    </row>
    <row r="284" customFormat="false" ht="15" hidden="false" customHeight="false" outlineLevel="0" collapsed="false">
      <c r="A284" s="7" t="s">
        <v>264</v>
      </c>
      <c r="B284" s="7" t="str">
        <f aca="false">IF($B$277="",INDEX(Asumsi!$I$6:$I$13,MATCH($B$267,Asumsi!$A$6:$A$13,0)),$B$277)</f>
        <v>platform</v>
      </c>
      <c r="C284" s="23" t="s">
        <v>265</v>
      </c>
    </row>
    <row r="285" customFormat="false" ht="15" hidden="false" customHeight="false" outlineLevel="0" collapsed="false">
      <c r="A285" s="7" t="s">
        <v>266</v>
      </c>
      <c r="B285" s="7" t="str">
        <f aca="false">IF(AND(IF($B$271="",INDEX(Asumsi!$J$6:$J$13,MATCH($B$267,Asumsi!$A$6:$A$13,0)),$B$271)="merchant",$B$267&lt;&gt;"food"),"platform",IF($B$271="",INDEX(Asumsi!$J$6:$J$13,MATCH($B$267,Asumsi!$A$6:$A$13,0)),$B$271))</f>
        <v>platform</v>
      </c>
      <c r="C285" s="23" t="s">
        <v>267</v>
      </c>
    </row>
    <row r="286" customFormat="false" ht="15" hidden="false" customHeight="false" outlineLevel="0" collapsed="false">
      <c r="A286" s="7" t="s">
        <v>268</v>
      </c>
      <c r="B286" s="26" t="n">
        <f aca="false">IF($B$267="food",1,0)</f>
        <v>0</v>
      </c>
      <c r="C286" s="23"/>
    </row>
    <row r="287" customFormat="false" ht="15" hidden="false" customHeight="false" outlineLevel="0" collapsed="false">
      <c r="A287" s="7" t="s">
        <v>269</v>
      </c>
      <c r="B287" s="26" t="n">
        <f aca="false">IF(OR($B$267="shop",$B$267="market"),1,0)</f>
        <v>1</v>
      </c>
      <c r="C287" s="23"/>
    </row>
    <row r="288" customFormat="false" ht="15" hidden="false" customHeight="false" outlineLevel="0" collapsed="false">
      <c r="A288" s="7" t="s">
        <v>270</v>
      </c>
      <c r="B288" s="26" t="n">
        <f aca="false">IF($B$267="travel",1,0)</f>
        <v>0</v>
      </c>
      <c r="C288" s="23"/>
    </row>
    <row r="289" customFormat="false" ht="15" hidden="false" customHeight="false" outlineLevel="0" collapsed="false">
      <c r="A289" s="7" t="s">
        <v>271</v>
      </c>
      <c r="B289" s="17" t="n">
        <f aca="false">IF($B$286+$B$287&gt;0,$B$269,0)</f>
        <v>149000</v>
      </c>
      <c r="C289" s="23" t="s">
        <v>272</v>
      </c>
    </row>
    <row r="290" customFormat="false" ht="15" hidden="false" customHeight="false" outlineLevel="0" collapsed="false">
      <c r="A290" s="7" t="s">
        <v>273</v>
      </c>
      <c r="B290" s="17" t="n">
        <f aca="false">IF($B$287=1,MAX($B$282,INT(ROUND($B$289*$B$281,6))),0)</f>
        <v>7450</v>
      </c>
      <c r="C290" s="23" t="s">
        <v>274</v>
      </c>
    </row>
    <row r="291" customFormat="false" ht="15" hidden="false" customHeight="false" outlineLevel="0" collapsed="false">
      <c r="A291" s="7" t="s">
        <v>275</v>
      </c>
      <c r="B291" s="17" t="n">
        <f aca="false">INT(ROUND($B$290*$B$283,6))</f>
        <v>5215</v>
      </c>
      <c r="C291" s="23" t="s">
        <v>276</v>
      </c>
    </row>
    <row r="292" customFormat="false" ht="15" hidden="false" customHeight="false" outlineLevel="0" collapsed="false">
      <c r="A292" s="7" t="s">
        <v>277</v>
      </c>
      <c r="B292" s="17" t="n">
        <f aca="false">IF($B$288=1,0,MIN($B$270,$B$268+$B$286*$B$289))</f>
        <v>0</v>
      </c>
      <c r="C292" s="23" t="s">
        <v>278</v>
      </c>
    </row>
    <row r="293" customFormat="false" ht="15" hidden="false" customHeight="false" outlineLevel="0" collapsed="false">
      <c r="A293" s="7" t="s">
        <v>279</v>
      </c>
      <c r="B293" s="17" t="n">
        <f aca="false">IF($B$288=1,0,INT(ROUND($B$268*$B$278,6)))</f>
        <v>0</v>
      </c>
      <c r="C293" s="23" t="s">
        <v>280</v>
      </c>
    </row>
    <row r="294" customFormat="false" ht="15" hidden="false" customHeight="false" outlineLevel="0" collapsed="false">
      <c r="A294" s="7" t="s">
        <v>281</v>
      </c>
      <c r="B294" s="17" t="n">
        <f aca="false">MIN($B$293,INT(ROUND($B$268*$B$276,6)))</f>
        <v>0</v>
      </c>
      <c r="C294" s="23" t="s">
        <v>282</v>
      </c>
    </row>
    <row r="295" customFormat="false" ht="15" hidden="false" customHeight="false" outlineLevel="0" collapsed="false">
      <c r="A295" s="7" t="s">
        <v>283</v>
      </c>
      <c r="B295" s="17" t="n">
        <f aca="false">IF($B$286=1,INT(ROUND($B$289*$B$279,6)),IF($B$288=1,INT(ROUND($B$268*$B$279,6)),0))</f>
        <v>0</v>
      </c>
      <c r="C295" s="23" t="s">
        <v>284</v>
      </c>
    </row>
    <row r="296" customFormat="false" ht="15" hidden="false" customHeight="false" outlineLevel="0" collapsed="false">
      <c r="A296" s="7" t="s">
        <v>285</v>
      </c>
      <c r="B296" s="17" t="n">
        <f aca="false">IF($B$285="merchant",MIN($B$292,MAX(0,$B$289-$B$295)),0)</f>
        <v>0</v>
      </c>
      <c r="C296" s="23" t="s">
        <v>286</v>
      </c>
    </row>
    <row r="297" customFormat="false" ht="15" hidden="false" customHeight="false" outlineLevel="0" collapsed="false">
      <c r="A297" s="7" t="s">
        <v>287</v>
      </c>
      <c r="B297" s="17" t="n">
        <f aca="false">IF($B$285="sponsor",$B$292,0)</f>
        <v>0</v>
      </c>
      <c r="C297" s="23" t="s">
        <v>288</v>
      </c>
    </row>
    <row r="298" customFormat="false" ht="15" hidden="false" customHeight="false" outlineLevel="0" collapsed="false">
      <c r="A298" s="7" t="s">
        <v>289</v>
      </c>
      <c r="B298" s="17" t="n">
        <f aca="false">$B$292-$B$296-$B$297</f>
        <v>0</v>
      </c>
      <c r="C298" s="23" t="s">
        <v>290</v>
      </c>
    </row>
    <row r="299" customFormat="false" ht="15" hidden="false" customHeight="false" outlineLevel="0" collapsed="false">
      <c r="A299" s="7" t="s">
        <v>291</v>
      </c>
      <c r="B299" s="17" t="n">
        <f aca="false">IF($B$288=1,$B$268+$B$280,$B$268+$B$280+$B$289+$B$290+$B$275-$B$292)</f>
        <v>166450</v>
      </c>
      <c r="C299" s="23" t="s">
        <v>292</v>
      </c>
    </row>
    <row r="300" customFormat="false" ht="15" hidden="false" customHeight="false" outlineLevel="0" collapsed="false">
      <c r="A300" s="7" t="s">
        <v>293</v>
      </c>
      <c r="B300" s="17" t="n">
        <f aca="false">IF(OR($B$288=1,$B$299&lt;=0),0,IFERROR(ROUND($B$299*INDEX('Biaya PG'!$D$7:$D$20,MATCH($B$272,'Biaya PG'!$A$7:$A$20,0)),0)+INDEX('Biaya PG'!$E$7:$E$20,MATCH($B$272,'Biaya PG'!$A$7:$A$20,0)),0))</f>
        <v>0</v>
      </c>
      <c r="C300" s="23" t="s">
        <v>294</v>
      </c>
    </row>
    <row r="301" customFormat="false" ht="15" hidden="false" customHeight="false" outlineLevel="0" collapsed="false">
      <c r="A301" s="7" t="s">
        <v>295</v>
      </c>
      <c r="B301" s="17" t="n">
        <f aca="false">IF($B$300=0,0,IF(INDEX('Biaya PG'!$F$7:$F$20,MATCH($B$272,'Biaya PG'!$A$7:$A$20,0))="Ya",0,ROUND($B$300*INDEX('Biaya PG'!$G$7:$G$20,MATCH($B$272,'Biaya PG'!$A$7:$A$20,0)),0)))</f>
        <v>0</v>
      </c>
      <c r="C301" s="23" t="s">
        <v>296</v>
      </c>
    </row>
    <row r="302" customFormat="false" ht="15" hidden="false" customHeight="false" outlineLevel="0" collapsed="false">
      <c r="A302" s="7" t="s">
        <v>297</v>
      </c>
      <c r="B302" s="17" t="n">
        <f aca="false">IF($B$284="customer",$B$300+$B$301,0)</f>
        <v>0</v>
      </c>
      <c r="C302" s="23" t="s">
        <v>298</v>
      </c>
    </row>
    <row r="303" customFormat="false" ht="15" hidden="false" customHeight="false" outlineLevel="0" collapsed="false">
      <c r="A303" s="6" t="s">
        <v>299</v>
      </c>
      <c r="B303" s="18" t="n">
        <f aca="false">$B$299+$B$302</f>
        <v>166450</v>
      </c>
      <c r="C303" s="23" t="s">
        <v>300</v>
      </c>
    </row>
    <row r="304" customFormat="false" ht="15" hidden="false" customHeight="false" outlineLevel="0" collapsed="false">
      <c r="A304" s="7" t="s">
        <v>301</v>
      </c>
      <c r="B304" s="17" t="n">
        <f aca="false">IF($B$288=1,0,$B$274)</f>
        <v>0</v>
      </c>
      <c r="C304" s="23"/>
    </row>
    <row r="305" customFormat="false" ht="15" hidden="false" customHeight="false" outlineLevel="0" collapsed="false">
      <c r="A305" s="7" t="s">
        <v>302</v>
      </c>
      <c r="B305" s="17" t="n">
        <f aca="false">$B$303+$B$304</f>
        <v>166450</v>
      </c>
      <c r="C305" s="23" t="s">
        <v>303</v>
      </c>
    </row>
    <row r="306" customFormat="false" ht="15" hidden="false" customHeight="false" outlineLevel="0" collapsed="false">
      <c r="A306" s="6" t="s">
        <v>304</v>
      </c>
      <c r="B306" s="18" t="n">
        <f aca="false">IF($B$288=1,0,($B$268-$B$293+$B$294)+$B$304+$B$275+$B$291)</f>
        <v>14215</v>
      </c>
      <c r="C306" s="23" t="s">
        <v>305</v>
      </c>
    </row>
    <row r="307" customFormat="false" ht="15" hidden="false" customHeight="false" outlineLevel="0" collapsed="false">
      <c r="A307" s="6" t="s">
        <v>211</v>
      </c>
      <c r="B307" s="18" t="n">
        <f aca="false">IF($B$286=1,$B$289-$B$295-$B$296,0)</f>
        <v>0</v>
      </c>
      <c r="C307" s="23" t="s">
        <v>306</v>
      </c>
    </row>
    <row r="308" customFormat="false" ht="15" hidden="false" customHeight="false" outlineLevel="0" collapsed="false">
      <c r="A308" s="7" t="s">
        <v>307</v>
      </c>
      <c r="B308" s="17" t="n">
        <f aca="false">IF($B$287=1,$B$289,0)</f>
        <v>149000</v>
      </c>
      <c r="C308" s="23" t="s">
        <v>308</v>
      </c>
    </row>
    <row r="309" customFormat="false" ht="15" hidden="false" customHeight="false" outlineLevel="0" collapsed="false">
      <c r="A309" s="7" t="s">
        <v>309</v>
      </c>
      <c r="B309" s="17" t="n">
        <f aca="false">IF($B$288=1,$B$268-$B$295,0)</f>
        <v>0</v>
      </c>
      <c r="C309" s="23" t="s">
        <v>310</v>
      </c>
    </row>
    <row r="310" customFormat="false" ht="15" hidden="false" customHeight="false" outlineLevel="0" collapsed="false">
      <c r="A310" s="7" t="s">
        <v>311</v>
      </c>
      <c r="B310" s="17" t="n">
        <f aca="false">$B$290-$B$291</f>
        <v>2235</v>
      </c>
      <c r="C310" s="23" t="s">
        <v>312</v>
      </c>
    </row>
    <row r="311" customFormat="false" ht="15" hidden="false" customHeight="false" outlineLevel="0" collapsed="false">
      <c r="A311" s="6" t="s">
        <v>212</v>
      </c>
      <c r="B311" s="18" t="n">
        <f aca="false">IF($B$288=1,$B$280+$B$295,$B$280+($B$293-$B$294)+$B$295+$B$310-$B$298)</f>
        <v>3235</v>
      </c>
      <c r="C311" s="23" t="s">
        <v>313</v>
      </c>
    </row>
    <row r="312" customFormat="false" ht="15" hidden="false" customHeight="false" outlineLevel="0" collapsed="false">
      <c r="A312" s="7" t="s">
        <v>314</v>
      </c>
      <c r="B312" s="17" t="n">
        <f aca="false">$B$311+$B$294</f>
        <v>3235</v>
      </c>
      <c r="C312" s="23" t="s">
        <v>315</v>
      </c>
    </row>
    <row r="313" customFormat="false" ht="15" hidden="false" customHeight="false" outlineLevel="0" collapsed="false">
      <c r="A313" s="7" t="s">
        <v>316</v>
      </c>
      <c r="B313" s="17" t="n">
        <f aca="false">$B$300+$B$301</f>
        <v>0</v>
      </c>
      <c r="C313" s="23" t="s">
        <v>317</v>
      </c>
    </row>
    <row r="314" customFormat="false" ht="15" hidden="false" customHeight="false" outlineLevel="0" collapsed="false">
      <c r="A314" s="7" t="s">
        <v>318</v>
      </c>
      <c r="B314" s="17" t="n">
        <f aca="false">IF($B$284="platform",$B$313,0)</f>
        <v>0</v>
      </c>
      <c r="C314" s="23" t="s">
        <v>319</v>
      </c>
    </row>
    <row r="315" customFormat="false" ht="15" hidden="false" customHeight="false" outlineLevel="0" collapsed="false">
      <c r="A315" s="6" t="s">
        <v>320</v>
      </c>
      <c r="B315" s="18" t="n">
        <f aca="false">$B$311-$B$314</f>
        <v>3235</v>
      </c>
      <c r="C315" s="23" t="s">
        <v>321</v>
      </c>
    </row>
    <row r="316" customFormat="false" ht="15" hidden="false" customHeight="false" outlineLevel="0" collapsed="false">
      <c r="A316" s="6" t="s">
        <v>322</v>
      </c>
      <c r="B316" s="17" t="n">
        <f aca="false">IF($B$272="cash",IF($B$288=1,$B$303-$B$309,$B$303-$B$308-$B$307-($B$306-$B$304)),0)</f>
        <v>3235</v>
      </c>
      <c r="C316" s="23" t="s">
        <v>323</v>
      </c>
    </row>
    <row r="317" customFormat="false" ht="15" hidden="false" customHeight="false" outlineLevel="0" collapsed="false">
      <c r="A317" s="7" t="s">
        <v>324</v>
      </c>
      <c r="B317" s="7" t="str">
        <f aca="false">IF($B$272="cash","Tunai",IF($B$272="antarpay","Saldo AntarPay","Digital (gateway)"))</f>
        <v>Tunai</v>
      </c>
      <c r="C317" s="23" t="s">
        <v>325</v>
      </c>
    </row>
    <row r="318" customFormat="false" ht="15" hidden="false" customHeight="false" outlineLevel="0" collapsed="false">
      <c r="A318" s="7" t="s">
        <v>326</v>
      </c>
      <c r="B318" s="26" t="n">
        <f aca="false">IF($B$313=0,0,IFERROR(IF(AND($B$272="bank_transfer",OR($B$273="bsi",$B$273="seabank")),INDEX('Biaya PG'!$I$7:$I$20,MATCH($B$272,'Biaya PG'!$A$7:$A$20,0)),INDEX('Biaya PG'!$H$7:$H$20,MATCH($B$272,'Biaya PG'!$A$7:$A$20,0))),0))</f>
        <v>0</v>
      </c>
      <c r="C318" s="23" t="s">
        <v>327</v>
      </c>
    </row>
    <row r="319" customFormat="false" ht="15" hidden="false" customHeight="false" outlineLevel="0" collapsed="false">
      <c r="A319" s="7" t="s">
        <v>328</v>
      </c>
      <c r="B319" s="17" t="n">
        <f aca="false">IF($B$288=1,$B$268,$B$289+$B$268)</f>
        <v>158000</v>
      </c>
      <c r="C319" s="23" t="s">
        <v>329</v>
      </c>
    </row>
    <row r="320" customFormat="false" ht="15" hidden="false" customHeight="false" outlineLevel="0" collapsed="false">
      <c r="A320" s="7" t="s">
        <v>330</v>
      </c>
      <c r="B320" s="20" t="n">
        <f aca="false">IF($B$319&gt;0,$B$312/$B$319,0)</f>
        <v>0.0204746835443038</v>
      </c>
      <c r="C320" s="23" t="s">
        <v>331</v>
      </c>
    </row>
    <row r="321" customFormat="false" ht="15" hidden="false" customHeight="false" outlineLevel="0" collapsed="false">
      <c r="A321" s="7" t="s">
        <v>207</v>
      </c>
      <c r="B321" s="20" t="n">
        <f aca="false">IF(AND($B$268&gt;0,$B$288=0),($B$268-$B$293+$B$294)/$B$268,0)</f>
        <v>1</v>
      </c>
      <c r="C321" s="23" t="s">
        <v>332</v>
      </c>
    </row>
    <row r="322" customFormat="false" ht="15" hidden="false" customHeight="false" outlineLevel="0" collapsed="false">
      <c r="A322" s="6" t="s">
        <v>333</v>
      </c>
      <c r="B322" s="17" t="n">
        <f aca="false">$B$305+$B$297-($B$306+$B$307+$B$308+$B$309+$B$311+$B$302)</f>
        <v>0</v>
      </c>
      <c r="C322" s="23" t="s">
        <v>334</v>
      </c>
    </row>
    <row r="323" customFormat="false" ht="15" hidden="false" customHeight="false" outlineLevel="0" collapsed="false">
      <c r="A323" s="2" t="s">
        <v>343</v>
      </c>
    </row>
    <row r="325" customFormat="false" ht="15" hidden="false" customHeight="false" outlineLevel="0" collapsed="false">
      <c r="A325" s="3" t="s">
        <v>344</v>
      </c>
      <c r="B325" s="4"/>
      <c r="C325" s="4"/>
      <c r="D325" s="4"/>
      <c r="E325" s="4"/>
      <c r="F325" s="4"/>
    </row>
    <row r="326" customFormat="false" ht="15" hidden="false" customHeight="false" outlineLevel="0" collapsed="false">
      <c r="A326" s="5" t="s">
        <v>229</v>
      </c>
      <c r="B326" s="5" t="s">
        <v>52</v>
      </c>
      <c r="C326" s="5" t="s">
        <v>230</v>
      </c>
      <c r="D326" s="5" t="s">
        <v>231</v>
      </c>
      <c r="E326" s="5" t="s">
        <v>232</v>
      </c>
      <c r="F326" s="5" t="s">
        <v>233</v>
      </c>
    </row>
    <row r="327" customFormat="false" ht="15" hidden="false" customHeight="false" outlineLevel="0" collapsed="false">
      <c r="A327" s="7" t="s">
        <v>3</v>
      </c>
      <c r="B327" s="6" t="s">
        <v>38</v>
      </c>
      <c r="C327" s="23" t="s">
        <v>234</v>
      </c>
    </row>
    <row r="328" customFormat="false" ht="15" hidden="false" customHeight="false" outlineLevel="0" collapsed="false">
      <c r="A328" s="7" t="s">
        <v>235</v>
      </c>
      <c r="B328" s="14" t="n">
        <v>11000</v>
      </c>
      <c r="C328" s="23" t="s">
        <v>236</v>
      </c>
    </row>
    <row r="329" customFormat="false" ht="15" hidden="false" customHeight="false" outlineLevel="0" collapsed="false">
      <c r="A329" s="7" t="s">
        <v>237</v>
      </c>
      <c r="B329" s="14" t="n">
        <v>29000</v>
      </c>
      <c r="C329" s="23" t="s">
        <v>238</v>
      </c>
    </row>
    <row r="330" customFormat="false" ht="15" hidden="false" customHeight="false" outlineLevel="0" collapsed="false">
      <c r="A330" s="7" t="s">
        <v>239</v>
      </c>
      <c r="B330" s="14" t="n">
        <v>0</v>
      </c>
      <c r="C330" s="23" t="s">
        <v>240</v>
      </c>
    </row>
    <row r="331" customFormat="false" ht="15" hidden="false" customHeight="false" outlineLevel="0" collapsed="false">
      <c r="A331" s="7" t="s">
        <v>241</v>
      </c>
      <c r="B331" s="24"/>
      <c r="C331" s="23" t="s">
        <v>242</v>
      </c>
    </row>
    <row r="332" customFormat="false" ht="15" hidden="false" customHeight="false" outlineLevel="0" collapsed="false">
      <c r="A332" s="7" t="s">
        <v>243</v>
      </c>
      <c r="B332" s="24" t="s">
        <v>187</v>
      </c>
      <c r="C332" s="23" t="s">
        <v>244</v>
      </c>
    </row>
    <row r="333" customFormat="false" ht="15" hidden="false" customHeight="false" outlineLevel="0" collapsed="false">
      <c r="A333" s="7" t="s">
        <v>245</v>
      </c>
      <c r="B333" s="24"/>
      <c r="C333" s="23" t="s">
        <v>246</v>
      </c>
    </row>
    <row r="334" customFormat="false" ht="15" hidden="false" customHeight="false" outlineLevel="0" collapsed="false">
      <c r="A334" s="7" t="s">
        <v>247</v>
      </c>
      <c r="B334" s="14" t="n">
        <v>0</v>
      </c>
      <c r="C334" s="23" t="s">
        <v>248</v>
      </c>
    </row>
    <row r="335" customFormat="false" ht="15" hidden="false" customHeight="false" outlineLevel="0" collapsed="false">
      <c r="A335" s="7" t="s">
        <v>249</v>
      </c>
      <c r="B335" s="14" t="n">
        <v>0</v>
      </c>
      <c r="C335" s="23" t="s">
        <v>250</v>
      </c>
    </row>
    <row r="336" customFormat="false" ht="15" hidden="false" customHeight="false" outlineLevel="0" collapsed="false">
      <c r="A336" s="7" t="s">
        <v>251</v>
      </c>
      <c r="B336" s="25" t="n">
        <v>0</v>
      </c>
      <c r="C336" s="23" t="s">
        <v>252</v>
      </c>
    </row>
    <row r="337" customFormat="false" ht="15" hidden="false" customHeight="false" outlineLevel="0" collapsed="false">
      <c r="A337" s="7" t="s">
        <v>253</v>
      </c>
      <c r="B337" s="24"/>
      <c r="C337" s="23" t="s">
        <v>254</v>
      </c>
    </row>
    <row r="338" customFormat="false" ht="15" hidden="false" customHeight="false" outlineLevel="0" collapsed="false">
      <c r="A338" s="7" t="s">
        <v>255</v>
      </c>
      <c r="B338" s="20" t="n">
        <f aca="false">INDEX(Asumsi!$C$6:$C$13,MATCH($B$327,Asumsi!$A$6:$A$13,0))</f>
        <v>0</v>
      </c>
      <c r="C338" s="23" t="s">
        <v>256</v>
      </c>
    </row>
    <row r="339" customFormat="false" ht="15" hidden="false" customHeight="false" outlineLevel="0" collapsed="false">
      <c r="A339" s="7" t="s">
        <v>6</v>
      </c>
      <c r="B339" s="20" t="n">
        <f aca="false">INDEX(Asumsi!$D$6:$D$13,MATCH($B$327,Asumsi!$A$6:$A$13,0))</f>
        <v>0</v>
      </c>
      <c r="C339" s="23" t="s">
        <v>257</v>
      </c>
    </row>
    <row r="340" customFormat="false" ht="15" hidden="false" customHeight="false" outlineLevel="0" collapsed="false">
      <c r="A340" s="7" t="s">
        <v>258</v>
      </c>
      <c r="B340" s="17" t="n">
        <f aca="false">INDEX(Asumsi!$E$6:$E$13,MATCH($B$327,Asumsi!$A$6:$A$13,0))</f>
        <v>1000</v>
      </c>
      <c r="C340" s="23" t="s">
        <v>259</v>
      </c>
    </row>
    <row r="341" customFormat="false" ht="15" hidden="false" customHeight="false" outlineLevel="0" collapsed="false">
      <c r="A341" s="7" t="s">
        <v>8</v>
      </c>
      <c r="B341" s="20" t="n">
        <f aca="false">INDEX(Asumsi!$F$6:$F$13,MATCH($B$327,Asumsi!$A$6:$A$13,0))</f>
        <v>0.1</v>
      </c>
      <c r="C341" s="23" t="s">
        <v>260</v>
      </c>
    </row>
    <row r="342" customFormat="false" ht="15" hidden="false" customHeight="false" outlineLevel="0" collapsed="false">
      <c r="A342" s="7" t="s">
        <v>9</v>
      </c>
      <c r="B342" s="17" t="n">
        <f aca="false">INDEX(Asumsi!$G$6:$G$13,MATCH($B$327,Asumsi!$A$6:$A$13,0))</f>
        <v>8000</v>
      </c>
      <c r="C342" s="23" t="s">
        <v>261</v>
      </c>
    </row>
    <row r="343" customFormat="false" ht="15" hidden="false" customHeight="false" outlineLevel="0" collapsed="false">
      <c r="A343" s="7" t="s">
        <v>262</v>
      </c>
      <c r="B343" s="20" t="n">
        <f aca="false">INDEX(Asumsi!$H$6:$H$13,MATCH($B$327,Asumsi!$A$6:$A$13,0))</f>
        <v>0.7</v>
      </c>
      <c r="C343" s="23" t="s">
        <v>263</v>
      </c>
    </row>
    <row r="344" customFormat="false" ht="15" hidden="false" customHeight="false" outlineLevel="0" collapsed="false">
      <c r="A344" s="7" t="s">
        <v>264</v>
      </c>
      <c r="B344" s="7" t="str">
        <f aca="false">IF($B$337="",INDEX(Asumsi!$I$6:$I$13,MATCH($B$327,Asumsi!$A$6:$A$13,0)),$B$337)</f>
        <v>platform</v>
      </c>
      <c r="C344" s="23" t="s">
        <v>265</v>
      </c>
    </row>
    <row r="345" customFormat="false" ht="15" hidden="false" customHeight="false" outlineLevel="0" collapsed="false">
      <c r="A345" s="7" t="s">
        <v>266</v>
      </c>
      <c r="B345" s="7" t="str">
        <f aca="false">IF(AND(IF($B$331="",INDEX(Asumsi!$J$6:$J$13,MATCH($B$327,Asumsi!$A$6:$A$13,0)),$B$331)="merchant",$B$327&lt;&gt;"food"),"platform",IF($B$331="",INDEX(Asumsi!$J$6:$J$13,MATCH($B$327,Asumsi!$A$6:$A$13,0)),$B$331))</f>
        <v>platform</v>
      </c>
      <c r="C345" s="23" t="s">
        <v>267</v>
      </c>
    </row>
    <row r="346" customFormat="false" ht="15" hidden="false" customHeight="false" outlineLevel="0" collapsed="false">
      <c r="A346" s="7" t="s">
        <v>268</v>
      </c>
      <c r="B346" s="26" t="n">
        <f aca="false">IF($B$327="food",1,0)</f>
        <v>0</v>
      </c>
      <c r="C346" s="23"/>
    </row>
    <row r="347" customFormat="false" ht="15" hidden="false" customHeight="false" outlineLevel="0" collapsed="false">
      <c r="A347" s="7" t="s">
        <v>269</v>
      </c>
      <c r="B347" s="26" t="n">
        <f aca="false">IF(OR($B$327="shop",$B$327="market"),1,0)</f>
        <v>1</v>
      </c>
      <c r="C347" s="23"/>
    </row>
    <row r="348" customFormat="false" ht="15" hidden="false" customHeight="false" outlineLevel="0" collapsed="false">
      <c r="A348" s="7" t="s">
        <v>270</v>
      </c>
      <c r="B348" s="26" t="n">
        <f aca="false">IF($B$327="travel",1,0)</f>
        <v>0</v>
      </c>
      <c r="C348" s="23"/>
    </row>
    <row r="349" customFormat="false" ht="15" hidden="false" customHeight="false" outlineLevel="0" collapsed="false">
      <c r="A349" s="7" t="s">
        <v>271</v>
      </c>
      <c r="B349" s="17" t="n">
        <f aca="false">IF($B$346+$B$347&gt;0,$B$329,0)</f>
        <v>29000</v>
      </c>
      <c r="C349" s="23" t="s">
        <v>272</v>
      </c>
    </row>
    <row r="350" customFormat="false" ht="15" hidden="false" customHeight="false" outlineLevel="0" collapsed="false">
      <c r="A350" s="7" t="s">
        <v>273</v>
      </c>
      <c r="B350" s="17" t="n">
        <f aca="false">IF($B$347=1,MAX($B$342,INT(ROUND($B$349*$B$341,6))),0)</f>
        <v>8000</v>
      </c>
      <c r="C350" s="23" t="s">
        <v>274</v>
      </c>
    </row>
    <row r="351" customFormat="false" ht="15" hidden="false" customHeight="false" outlineLevel="0" collapsed="false">
      <c r="A351" s="7" t="s">
        <v>275</v>
      </c>
      <c r="B351" s="17" t="n">
        <f aca="false">INT(ROUND($B$350*$B$343,6))</f>
        <v>5600</v>
      </c>
      <c r="C351" s="23" t="s">
        <v>276</v>
      </c>
    </row>
    <row r="352" customFormat="false" ht="15" hidden="false" customHeight="false" outlineLevel="0" collapsed="false">
      <c r="A352" s="7" t="s">
        <v>277</v>
      </c>
      <c r="B352" s="17" t="n">
        <f aca="false">IF($B$348=1,0,MIN($B$330,$B$328+$B$346*$B$349))</f>
        <v>0</v>
      </c>
      <c r="C352" s="23" t="s">
        <v>278</v>
      </c>
    </row>
    <row r="353" customFormat="false" ht="15" hidden="false" customHeight="false" outlineLevel="0" collapsed="false">
      <c r="A353" s="7" t="s">
        <v>279</v>
      </c>
      <c r="B353" s="17" t="n">
        <f aca="false">IF($B$348=1,0,INT(ROUND($B$328*$B$338,6)))</f>
        <v>0</v>
      </c>
      <c r="C353" s="23" t="s">
        <v>280</v>
      </c>
    </row>
    <row r="354" customFormat="false" ht="15" hidden="false" customHeight="false" outlineLevel="0" collapsed="false">
      <c r="A354" s="7" t="s">
        <v>281</v>
      </c>
      <c r="B354" s="17" t="n">
        <f aca="false">MIN($B$353,INT(ROUND($B$328*$B$336,6)))</f>
        <v>0</v>
      </c>
      <c r="C354" s="23" t="s">
        <v>282</v>
      </c>
    </row>
    <row r="355" customFormat="false" ht="15" hidden="false" customHeight="false" outlineLevel="0" collapsed="false">
      <c r="A355" s="7" t="s">
        <v>283</v>
      </c>
      <c r="B355" s="17" t="n">
        <f aca="false">IF($B$346=1,INT(ROUND($B$349*$B$339,6)),IF($B$348=1,INT(ROUND($B$328*$B$339,6)),0))</f>
        <v>0</v>
      </c>
      <c r="C355" s="23" t="s">
        <v>284</v>
      </c>
    </row>
    <row r="356" customFormat="false" ht="15" hidden="false" customHeight="false" outlineLevel="0" collapsed="false">
      <c r="A356" s="7" t="s">
        <v>285</v>
      </c>
      <c r="B356" s="17" t="n">
        <f aca="false">IF($B$345="merchant",MIN($B$352,MAX(0,$B$349-$B$355)),0)</f>
        <v>0</v>
      </c>
      <c r="C356" s="23" t="s">
        <v>286</v>
      </c>
    </row>
    <row r="357" customFormat="false" ht="15" hidden="false" customHeight="false" outlineLevel="0" collapsed="false">
      <c r="A357" s="7" t="s">
        <v>287</v>
      </c>
      <c r="B357" s="17" t="n">
        <f aca="false">IF($B$345="sponsor",$B$352,0)</f>
        <v>0</v>
      </c>
      <c r="C357" s="23" t="s">
        <v>288</v>
      </c>
    </row>
    <row r="358" customFormat="false" ht="15" hidden="false" customHeight="false" outlineLevel="0" collapsed="false">
      <c r="A358" s="7" t="s">
        <v>289</v>
      </c>
      <c r="B358" s="17" t="n">
        <f aca="false">$B$352-$B$356-$B$357</f>
        <v>0</v>
      </c>
      <c r="C358" s="23" t="s">
        <v>290</v>
      </c>
    </row>
    <row r="359" customFormat="false" ht="15" hidden="false" customHeight="false" outlineLevel="0" collapsed="false">
      <c r="A359" s="7" t="s">
        <v>291</v>
      </c>
      <c r="B359" s="17" t="n">
        <f aca="false">IF($B$348=1,$B$328+$B$340,$B$328+$B$340+$B$349+$B$350+$B$335-$B$352)</f>
        <v>49000</v>
      </c>
      <c r="C359" s="23" t="s">
        <v>292</v>
      </c>
    </row>
    <row r="360" customFormat="false" ht="15" hidden="false" customHeight="false" outlineLevel="0" collapsed="false">
      <c r="A360" s="7" t="s">
        <v>293</v>
      </c>
      <c r="B360" s="17" t="n">
        <f aca="false">IF(OR($B$348=1,$B$359&lt;=0),0,IFERROR(ROUND($B$359*INDEX('Biaya PG'!$D$7:$D$20,MATCH($B$332,'Biaya PG'!$A$7:$A$20,0)),0)+INDEX('Biaya PG'!$E$7:$E$20,MATCH($B$332,'Biaya PG'!$A$7:$A$20,0)),0))</f>
        <v>0</v>
      </c>
      <c r="C360" s="23" t="s">
        <v>294</v>
      </c>
    </row>
    <row r="361" customFormat="false" ht="15" hidden="false" customHeight="false" outlineLevel="0" collapsed="false">
      <c r="A361" s="7" t="s">
        <v>295</v>
      </c>
      <c r="B361" s="17" t="n">
        <f aca="false">IF($B$360=0,0,IF(INDEX('Biaya PG'!$F$7:$F$20,MATCH($B$332,'Biaya PG'!$A$7:$A$20,0))="Ya",0,ROUND($B$360*INDEX('Biaya PG'!$G$7:$G$20,MATCH($B$332,'Biaya PG'!$A$7:$A$20,0)),0)))</f>
        <v>0</v>
      </c>
      <c r="C361" s="23" t="s">
        <v>296</v>
      </c>
    </row>
    <row r="362" customFormat="false" ht="15" hidden="false" customHeight="false" outlineLevel="0" collapsed="false">
      <c r="A362" s="7" t="s">
        <v>297</v>
      </c>
      <c r="B362" s="17" t="n">
        <f aca="false">IF($B$344="customer",$B$360+$B$361,0)</f>
        <v>0</v>
      </c>
      <c r="C362" s="23" t="s">
        <v>298</v>
      </c>
    </row>
    <row r="363" customFormat="false" ht="15" hidden="false" customHeight="false" outlineLevel="0" collapsed="false">
      <c r="A363" s="6" t="s">
        <v>299</v>
      </c>
      <c r="B363" s="18" t="n">
        <f aca="false">$B$359+$B$362</f>
        <v>49000</v>
      </c>
      <c r="C363" s="23" t="s">
        <v>300</v>
      </c>
    </row>
    <row r="364" customFormat="false" ht="15" hidden="false" customHeight="false" outlineLevel="0" collapsed="false">
      <c r="A364" s="7" t="s">
        <v>301</v>
      </c>
      <c r="B364" s="17" t="n">
        <f aca="false">IF($B$348=1,0,$B$334)</f>
        <v>0</v>
      </c>
      <c r="C364" s="23"/>
    </row>
    <row r="365" customFormat="false" ht="15" hidden="false" customHeight="false" outlineLevel="0" collapsed="false">
      <c r="A365" s="7" t="s">
        <v>302</v>
      </c>
      <c r="B365" s="17" t="n">
        <f aca="false">$B$363+$B$364</f>
        <v>49000</v>
      </c>
      <c r="C365" s="23" t="s">
        <v>303</v>
      </c>
    </row>
    <row r="366" customFormat="false" ht="15" hidden="false" customHeight="false" outlineLevel="0" collapsed="false">
      <c r="A366" s="6" t="s">
        <v>304</v>
      </c>
      <c r="B366" s="18" t="n">
        <f aca="false">IF($B$348=1,0,($B$328-$B$353+$B$354)+$B$364+$B$335+$B$351)</f>
        <v>16600</v>
      </c>
      <c r="C366" s="23" t="s">
        <v>305</v>
      </c>
    </row>
    <row r="367" customFormat="false" ht="15" hidden="false" customHeight="false" outlineLevel="0" collapsed="false">
      <c r="A367" s="6" t="s">
        <v>211</v>
      </c>
      <c r="B367" s="18" t="n">
        <f aca="false">IF($B$346=1,$B$349-$B$355-$B$356,0)</f>
        <v>0</v>
      </c>
      <c r="C367" s="23" t="s">
        <v>306</v>
      </c>
    </row>
    <row r="368" customFormat="false" ht="15" hidden="false" customHeight="false" outlineLevel="0" collapsed="false">
      <c r="A368" s="7" t="s">
        <v>307</v>
      </c>
      <c r="B368" s="17" t="n">
        <f aca="false">IF($B$347=1,$B$349,0)</f>
        <v>29000</v>
      </c>
      <c r="C368" s="23" t="s">
        <v>308</v>
      </c>
    </row>
    <row r="369" customFormat="false" ht="15" hidden="false" customHeight="false" outlineLevel="0" collapsed="false">
      <c r="A369" s="7" t="s">
        <v>309</v>
      </c>
      <c r="B369" s="17" t="n">
        <f aca="false">IF($B$348=1,$B$328-$B$355,0)</f>
        <v>0</v>
      </c>
      <c r="C369" s="23" t="s">
        <v>310</v>
      </c>
    </row>
    <row r="370" customFormat="false" ht="15" hidden="false" customHeight="false" outlineLevel="0" collapsed="false">
      <c r="A370" s="7" t="s">
        <v>311</v>
      </c>
      <c r="B370" s="17" t="n">
        <f aca="false">$B$350-$B$351</f>
        <v>2400</v>
      </c>
      <c r="C370" s="23" t="s">
        <v>312</v>
      </c>
    </row>
    <row r="371" customFormat="false" ht="15" hidden="false" customHeight="false" outlineLevel="0" collapsed="false">
      <c r="A371" s="6" t="s">
        <v>212</v>
      </c>
      <c r="B371" s="18" t="n">
        <f aca="false">IF($B$348=1,$B$340+$B$355,$B$340+($B$353-$B$354)+$B$355+$B$370-$B$358)</f>
        <v>3400</v>
      </c>
      <c r="C371" s="23" t="s">
        <v>313</v>
      </c>
    </row>
    <row r="372" customFormat="false" ht="15" hidden="false" customHeight="false" outlineLevel="0" collapsed="false">
      <c r="A372" s="7" t="s">
        <v>314</v>
      </c>
      <c r="B372" s="17" t="n">
        <f aca="false">$B$371+$B$354</f>
        <v>3400</v>
      </c>
      <c r="C372" s="23" t="s">
        <v>315</v>
      </c>
    </row>
    <row r="373" customFormat="false" ht="15" hidden="false" customHeight="false" outlineLevel="0" collapsed="false">
      <c r="A373" s="7" t="s">
        <v>316</v>
      </c>
      <c r="B373" s="17" t="n">
        <f aca="false">$B$360+$B$361</f>
        <v>0</v>
      </c>
      <c r="C373" s="23" t="s">
        <v>317</v>
      </c>
    </row>
    <row r="374" customFormat="false" ht="15" hidden="false" customHeight="false" outlineLevel="0" collapsed="false">
      <c r="A374" s="7" t="s">
        <v>318</v>
      </c>
      <c r="B374" s="17" t="n">
        <f aca="false">IF($B$344="platform",$B$373,0)</f>
        <v>0</v>
      </c>
      <c r="C374" s="23" t="s">
        <v>319</v>
      </c>
    </row>
    <row r="375" customFormat="false" ht="15" hidden="false" customHeight="false" outlineLevel="0" collapsed="false">
      <c r="A375" s="6" t="s">
        <v>320</v>
      </c>
      <c r="B375" s="18" t="n">
        <f aca="false">$B$371-$B$374</f>
        <v>3400</v>
      </c>
      <c r="C375" s="23" t="s">
        <v>321</v>
      </c>
    </row>
    <row r="376" customFormat="false" ht="15" hidden="false" customHeight="false" outlineLevel="0" collapsed="false">
      <c r="A376" s="6" t="s">
        <v>322</v>
      </c>
      <c r="B376" s="17" t="n">
        <f aca="false">IF($B$332="cash",IF($B$348=1,$B$363-$B$369,$B$363-$B$368-$B$367-($B$366-$B$364)),0)</f>
        <v>3400</v>
      </c>
      <c r="C376" s="23" t="s">
        <v>323</v>
      </c>
    </row>
    <row r="377" customFormat="false" ht="15" hidden="false" customHeight="false" outlineLevel="0" collapsed="false">
      <c r="A377" s="7" t="s">
        <v>324</v>
      </c>
      <c r="B377" s="7" t="str">
        <f aca="false">IF($B$332="cash","Tunai",IF($B$332="antarpay","Saldo AntarPay","Digital (gateway)"))</f>
        <v>Tunai</v>
      </c>
      <c r="C377" s="23" t="s">
        <v>325</v>
      </c>
    </row>
    <row r="378" customFormat="false" ht="15" hidden="false" customHeight="false" outlineLevel="0" collapsed="false">
      <c r="A378" s="7" t="s">
        <v>326</v>
      </c>
      <c r="B378" s="26" t="n">
        <f aca="false">IF($B$373=0,0,IFERROR(IF(AND($B$332="bank_transfer",OR($B$333="bsi",$B$333="seabank")),INDEX('Biaya PG'!$I$7:$I$20,MATCH($B$332,'Biaya PG'!$A$7:$A$20,0)),INDEX('Biaya PG'!$H$7:$H$20,MATCH($B$332,'Biaya PG'!$A$7:$A$20,0))),0))</f>
        <v>0</v>
      </c>
      <c r="C378" s="23" t="s">
        <v>327</v>
      </c>
    </row>
    <row r="379" customFormat="false" ht="15" hidden="false" customHeight="false" outlineLevel="0" collapsed="false">
      <c r="A379" s="7" t="s">
        <v>328</v>
      </c>
      <c r="B379" s="17" t="n">
        <f aca="false">IF($B$348=1,$B$328,$B$349+$B$328)</f>
        <v>40000</v>
      </c>
      <c r="C379" s="23" t="s">
        <v>329</v>
      </c>
    </row>
    <row r="380" customFormat="false" ht="15" hidden="false" customHeight="false" outlineLevel="0" collapsed="false">
      <c r="A380" s="7" t="s">
        <v>330</v>
      </c>
      <c r="B380" s="20" t="n">
        <f aca="false">IF($B$379&gt;0,$B$372/$B$379,0)</f>
        <v>0.085</v>
      </c>
      <c r="C380" s="23" t="s">
        <v>331</v>
      </c>
    </row>
    <row r="381" customFormat="false" ht="15" hidden="false" customHeight="false" outlineLevel="0" collapsed="false">
      <c r="A381" s="7" t="s">
        <v>207</v>
      </c>
      <c r="B381" s="20" t="n">
        <f aca="false">IF(AND($B$328&gt;0,$B$348=0),($B$328-$B$353+$B$354)/$B$328,0)</f>
        <v>1</v>
      </c>
      <c r="C381" s="23" t="s">
        <v>332</v>
      </c>
    </row>
    <row r="382" customFormat="false" ht="15" hidden="false" customHeight="false" outlineLevel="0" collapsed="false">
      <c r="A382" s="6" t="s">
        <v>333</v>
      </c>
      <c r="B382" s="17" t="n">
        <f aca="false">$B$365+$B$357-($B$366+$B$367+$B$368+$B$369+$B$371+$B$362)</f>
        <v>0</v>
      </c>
      <c r="C382" s="23" t="s">
        <v>334</v>
      </c>
    </row>
    <row r="383" customFormat="false" ht="15" hidden="false" customHeight="false" outlineLevel="0" collapsed="false">
      <c r="A383" s="2" t="s">
        <v>345</v>
      </c>
    </row>
    <row r="385" customFormat="false" ht="15" hidden="false" customHeight="false" outlineLevel="0" collapsed="false">
      <c r="A385" s="3" t="s">
        <v>346</v>
      </c>
      <c r="B385" s="4"/>
      <c r="C385" s="4"/>
      <c r="D385" s="4"/>
      <c r="E385" s="4"/>
      <c r="F385" s="4"/>
    </row>
    <row r="386" customFormat="false" ht="15" hidden="false" customHeight="false" outlineLevel="0" collapsed="false">
      <c r="A386" s="5" t="s">
        <v>229</v>
      </c>
      <c r="B386" s="5" t="s">
        <v>52</v>
      </c>
      <c r="C386" s="5" t="s">
        <v>230</v>
      </c>
      <c r="D386" s="5" t="s">
        <v>231</v>
      </c>
      <c r="E386" s="5" t="s">
        <v>232</v>
      </c>
      <c r="F386" s="5" t="s">
        <v>233</v>
      </c>
    </row>
    <row r="387" customFormat="false" ht="15" hidden="false" customHeight="false" outlineLevel="0" collapsed="false">
      <c r="A387" s="7" t="s">
        <v>3</v>
      </c>
      <c r="B387" s="6" t="s">
        <v>42</v>
      </c>
      <c r="C387" s="23" t="s">
        <v>234</v>
      </c>
    </row>
    <row r="388" customFormat="false" ht="15" hidden="false" customHeight="false" outlineLevel="0" collapsed="false">
      <c r="A388" s="7" t="s">
        <v>235</v>
      </c>
      <c r="B388" s="14" t="n">
        <v>113000</v>
      </c>
      <c r="C388" s="23" t="s">
        <v>236</v>
      </c>
    </row>
    <row r="389" customFormat="false" ht="15" hidden="false" customHeight="false" outlineLevel="0" collapsed="false">
      <c r="A389" s="7" t="s">
        <v>237</v>
      </c>
      <c r="B389" s="14" t="n">
        <v>0</v>
      </c>
      <c r="C389" s="23" t="s">
        <v>238</v>
      </c>
    </row>
    <row r="390" customFormat="false" ht="15" hidden="false" customHeight="false" outlineLevel="0" collapsed="false">
      <c r="A390" s="7" t="s">
        <v>239</v>
      </c>
      <c r="B390" s="14" t="n">
        <v>0</v>
      </c>
      <c r="C390" s="23" t="s">
        <v>240</v>
      </c>
    </row>
    <row r="391" customFormat="false" ht="15" hidden="false" customHeight="false" outlineLevel="0" collapsed="false">
      <c r="A391" s="7" t="s">
        <v>241</v>
      </c>
      <c r="B391" s="24"/>
      <c r="C391" s="23" t="s">
        <v>242</v>
      </c>
    </row>
    <row r="392" customFormat="false" ht="15" hidden="false" customHeight="false" outlineLevel="0" collapsed="false">
      <c r="A392" s="7" t="s">
        <v>243</v>
      </c>
      <c r="B392" s="24" t="s">
        <v>187</v>
      </c>
      <c r="C392" s="23" t="s">
        <v>244</v>
      </c>
    </row>
    <row r="393" customFormat="false" ht="15" hidden="false" customHeight="false" outlineLevel="0" collapsed="false">
      <c r="A393" s="7" t="s">
        <v>245</v>
      </c>
      <c r="B393" s="24"/>
      <c r="C393" s="23" t="s">
        <v>246</v>
      </c>
    </row>
    <row r="394" customFormat="false" ht="15" hidden="false" customHeight="false" outlineLevel="0" collapsed="false">
      <c r="A394" s="7" t="s">
        <v>247</v>
      </c>
      <c r="B394" s="14" t="n">
        <v>0</v>
      </c>
      <c r="C394" s="23" t="s">
        <v>248</v>
      </c>
    </row>
    <row r="395" customFormat="false" ht="15" hidden="false" customHeight="false" outlineLevel="0" collapsed="false">
      <c r="A395" s="7" t="s">
        <v>249</v>
      </c>
      <c r="B395" s="14" t="n">
        <v>0</v>
      </c>
      <c r="C395" s="23" t="s">
        <v>250</v>
      </c>
    </row>
    <row r="396" customFormat="false" ht="15" hidden="false" customHeight="false" outlineLevel="0" collapsed="false">
      <c r="A396" s="7" t="s">
        <v>251</v>
      </c>
      <c r="B396" s="25" t="n">
        <v>0</v>
      </c>
      <c r="C396" s="23" t="s">
        <v>252</v>
      </c>
    </row>
    <row r="397" customFormat="false" ht="15" hidden="false" customHeight="false" outlineLevel="0" collapsed="false">
      <c r="A397" s="7" t="s">
        <v>253</v>
      </c>
      <c r="B397" s="24"/>
      <c r="C397" s="23" t="s">
        <v>254</v>
      </c>
    </row>
    <row r="398" customFormat="false" ht="15" hidden="false" customHeight="false" outlineLevel="0" collapsed="false">
      <c r="A398" s="7" t="s">
        <v>255</v>
      </c>
      <c r="B398" s="20" t="n">
        <f aca="false">INDEX(Asumsi!$C$6:$C$13,MATCH($B$387,Asumsi!$A$6:$A$13,0))</f>
        <v>0.1</v>
      </c>
      <c r="C398" s="23" t="s">
        <v>256</v>
      </c>
    </row>
    <row r="399" customFormat="false" ht="15" hidden="false" customHeight="false" outlineLevel="0" collapsed="false">
      <c r="A399" s="7" t="s">
        <v>6</v>
      </c>
      <c r="B399" s="20" t="n">
        <f aca="false">INDEX(Asumsi!$D$6:$D$13,MATCH($B$387,Asumsi!$A$6:$A$13,0))</f>
        <v>0</v>
      </c>
      <c r="C399" s="23" t="s">
        <v>257</v>
      </c>
    </row>
    <row r="400" customFormat="false" ht="15" hidden="false" customHeight="false" outlineLevel="0" collapsed="false">
      <c r="A400" s="7" t="s">
        <v>258</v>
      </c>
      <c r="B400" s="17" t="n">
        <f aca="false">INDEX(Asumsi!$E$6:$E$13,MATCH($B$387,Asumsi!$A$6:$A$13,0))</f>
        <v>2000</v>
      </c>
      <c r="C400" s="23" t="s">
        <v>259</v>
      </c>
    </row>
    <row r="401" customFormat="false" ht="15" hidden="false" customHeight="false" outlineLevel="0" collapsed="false">
      <c r="A401" s="7" t="s">
        <v>8</v>
      </c>
      <c r="B401" s="20" t="n">
        <f aca="false">INDEX(Asumsi!$F$6:$F$13,MATCH($B$387,Asumsi!$A$6:$A$13,0))</f>
        <v>0</v>
      </c>
      <c r="C401" s="23" t="s">
        <v>260</v>
      </c>
    </row>
    <row r="402" customFormat="false" ht="15" hidden="false" customHeight="false" outlineLevel="0" collapsed="false">
      <c r="A402" s="7" t="s">
        <v>9</v>
      </c>
      <c r="B402" s="17" t="n">
        <f aca="false">INDEX(Asumsi!$G$6:$G$13,MATCH($B$387,Asumsi!$A$6:$A$13,0))</f>
        <v>0</v>
      </c>
      <c r="C402" s="23" t="s">
        <v>261</v>
      </c>
    </row>
    <row r="403" customFormat="false" ht="15" hidden="false" customHeight="false" outlineLevel="0" collapsed="false">
      <c r="A403" s="7" t="s">
        <v>262</v>
      </c>
      <c r="B403" s="20" t="n">
        <f aca="false">INDEX(Asumsi!$H$6:$H$13,MATCH($B$387,Asumsi!$A$6:$A$13,0))</f>
        <v>0</v>
      </c>
      <c r="C403" s="23" t="s">
        <v>263</v>
      </c>
    </row>
    <row r="404" customFormat="false" ht="15" hidden="false" customHeight="false" outlineLevel="0" collapsed="false">
      <c r="A404" s="7" t="s">
        <v>264</v>
      </c>
      <c r="B404" s="7" t="str">
        <f aca="false">IF($B$397="",INDEX(Asumsi!$I$6:$I$13,MATCH($B$387,Asumsi!$A$6:$A$13,0)),$B$397)</f>
        <v>platform</v>
      </c>
      <c r="C404" s="23" t="s">
        <v>265</v>
      </c>
    </row>
    <row r="405" customFormat="false" ht="15" hidden="false" customHeight="false" outlineLevel="0" collapsed="false">
      <c r="A405" s="7" t="s">
        <v>266</v>
      </c>
      <c r="B405" s="7" t="str">
        <f aca="false">IF(AND(IF($B$391="",INDEX(Asumsi!$J$6:$J$13,MATCH($B$387,Asumsi!$A$6:$A$13,0)),$B$391)="merchant",$B$387&lt;&gt;"food"),"platform",IF($B$391="",INDEX(Asumsi!$J$6:$J$13,MATCH($B$387,Asumsi!$A$6:$A$13,0)),$B$391))</f>
        <v>platform</v>
      </c>
      <c r="C405" s="23" t="s">
        <v>267</v>
      </c>
    </row>
    <row r="406" customFormat="false" ht="15" hidden="false" customHeight="false" outlineLevel="0" collapsed="false">
      <c r="A406" s="7" t="s">
        <v>268</v>
      </c>
      <c r="B406" s="26" t="n">
        <f aca="false">IF($B$387="food",1,0)</f>
        <v>0</v>
      </c>
      <c r="C406" s="23"/>
    </row>
    <row r="407" customFormat="false" ht="15" hidden="false" customHeight="false" outlineLevel="0" collapsed="false">
      <c r="A407" s="7" t="s">
        <v>269</v>
      </c>
      <c r="B407" s="26" t="n">
        <f aca="false">IF(OR($B$387="shop",$B$387="market"),1,0)</f>
        <v>0</v>
      </c>
      <c r="C407" s="23"/>
    </row>
    <row r="408" customFormat="false" ht="15" hidden="false" customHeight="false" outlineLevel="0" collapsed="false">
      <c r="A408" s="7" t="s">
        <v>270</v>
      </c>
      <c r="B408" s="26" t="n">
        <f aca="false">IF($B$387="travel",1,0)</f>
        <v>0</v>
      </c>
      <c r="C408" s="23"/>
    </row>
    <row r="409" customFormat="false" ht="15" hidden="false" customHeight="false" outlineLevel="0" collapsed="false">
      <c r="A409" s="7" t="s">
        <v>271</v>
      </c>
      <c r="B409" s="17" t="n">
        <f aca="false">IF($B$406+$B$407&gt;0,$B$389,0)</f>
        <v>0</v>
      </c>
      <c r="C409" s="23" t="s">
        <v>272</v>
      </c>
    </row>
    <row r="410" customFormat="false" ht="15" hidden="false" customHeight="false" outlineLevel="0" collapsed="false">
      <c r="A410" s="7" t="s">
        <v>273</v>
      </c>
      <c r="B410" s="17" t="n">
        <f aca="false">IF($B$407=1,MAX($B$402,INT(ROUND($B$409*$B$401,6))),0)</f>
        <v>0</v>
      </c>
      <c r="C410" s="23" t="s">
        <v>274</v>
      </c>
    </row>
    <row r="411" customFormat="false" ht="15" hidden="false" customHeight="false" outlineLevel="0" collapsed="false">
      <c r="A411" s="7" t="s">
        <v>275</v>
      </c>
      <c r="B411" s="17" t="n">
        <f aca="false">INT(ROUND($B$410*$B$403,6))</f>
        <v>0</v>
      </c>
      <c r="C411" s="23" t="s">
        <v>276</v>
      </c>
    </row>
    <row r="412" customFormat="false" ht="15" hidden="false" customHeight="false" outlineLevel="0" collapsed="false">
      <c r="A412" s="7" t="s">
        <v>277</v>
      </c>
      <c r="B412" s="17" t="n">
        <f aca="false">IF($B$408=1,0,MIN($B$390,$B$388+$B$406*$B$409))</f>
        <v>0</v>
      </c>
      <c r="C412" s="23" t="s">
        <v>278</v>
      </c>
    </row>
    <row r="413" customFormat="false" ht="15" hidden="false" customHeight="false" outlineLevel="0" collapsed="false">
      <c r="A413" s="7" t="s">
        <v>279</v>
      </c>
      <c r="B413" s="17" t="n">
        <f aca="false">IF($B$408=1,0,INT(ROUND($B$388*$B$398,6)))</f>
        <v>11300</v>
      </c>
      <c r="C413" s="23" t="s">
        <v>280</v>
      </c>
    </row>
    <row r="414" customFormat="false" ht="15" hidden="false" customHeight="false" outlineLevel="0" collapsed="false">
      <c r="A414" s="7" t="s">
        <v>281</v>
      </c>
      <c r="B414" s="17" t="n">
        <f aca="false">MIN($B$413,INT(ROUND($B$388*$B$396,6)))</f>
        <v>0</v>
      </c>
      <c r="C414" s="23" t="s">
        <v>282</v>
      </c>
    </row>
    <row r="415" customFormat="false" ht="15" hidden="false" customHeight="false" outlineLevel="0" collapsed="false">
      <c r="A415" s="7" t="s">
        <v>283</v>
      </c>
      <c r="B415" s="17" t="n">
        <f aca="false">IF($B$406=1,INT(ROUND($B$409*$B$399,6)),IF($B$408=1,INT(ROUND($B$388*$B$399,6)),0))</f>
        <v>0</v>
      </c>
      <c r="C415" s="23" t="s">
        <v>284</v>
      </c>
    </row>
    <row r="416" customFormat="false" ht="15" hidden="false" customHeight="false" outlineLevel="0" collapsed="false">
      <c r="A416" s="7" t="s">
        <v>285</v>
      </c>
      <c r="B416" s="17" t="n">
        <f aca="false">IF($B$405="merchant",MIN($B$412,MAX(0,$B$409-$B$415)),0)</f>
        <v>0</v>
      </c>
      <c r="C416" s="23" t="s">
        <v>286</v>
      </c>
    </row>
    <row r="417" customFormat="false" ht="15" hidden="false" customHeight="false" outlineLevel="0" collapsed="false">
      <c r="A417" s="7" t="s">
        <v>287</v>
      </c>
      <c r="B417" s="17" t="n">
        <f aca="false">IF($B$405="sponsor",$B$412,0)</f>
        <v>0</v>
      </c>
      <c r="C417" s="23" t="s">
        <v>288</v>
      </c>
    </row>
    <row r="418" customFormat="false" ht="15" hidden="false" customHeight="false" outlineLevel="0" collapsed="false">
      <c r="A418" s="7" t="s">
        <v>289</v>
      </c>
      <c r="B418" s="17" t="n">
        <f aca="false">$B$412-$B$416-$B$417</f>
        <v>0</v>
      </c>
      <c r="C418" s="23" t="s">
        <v>290</v>
      </c>
    </row>
    <row r="419" customFormat="false" ht="15" hidden="false" customHeight="false" outlineLevel="0" collapsed="false">
      <c r="A419" s="7" t="s">
        <v>291</v>
      </c>
      <c r="B419" s="17" t="n">
        <f aca="false">IF($B$408=1,$B$388+$B$400,$B$388+$B$400+$B$409+$B$410+$B$395-$B$412)</f>
        <v>115000</v>
      </c>
      <c r="C419" s="23" t="s">
        <v>292</v>
      </c>
    </row>
    <row r="420" customFormat="false" ht="15" hidden="false" customHeight="false" outlineLevel="0" collapsed="false">
      <c r="A420" s="7" t="s">
        <v>293</v>
      </c>
      <c r="B420" s="17" t="n">
        <f aca="false">IF(OR($B$408=1,$B$419&lt;=0),0,IFERROR(ROUND($B$419*INDEX('Biaya PG'!$D$7:$D$20,MATCH($B$392,'Biaya PG'!$A$7:$A$20,0)),0)+INDEX('Biaya PG'!$E$7:$E$20,MATCH($B$392,'Biaya PG'!$A$7:$A$20,0)),0))</f>
        <v>0</v>
      </c>
      <c r="C420" s="23" t="s">
        <v>294</v>
      </c>
    </row>
    <row r="421" customFormat="false" ht="15" hidden="false" customHeight="false" outlineLevel="0" collapsed="false">
      <c r="A421" s="7" t="s">
        <v>295</v>
      </c>
      <c r="B421" s="17" t="n">
        <f aca="false">IF($B$420=0,0,IF(INDEX('Biaya PG'!$F$7:$F$20,MATCH($B$392,'Biaya PG'!$A$7:$A$20,0))="Ya",0,ROUND($B$420*INDEX('Biaya PG'!$G$7:$G$20,MATCH($B$392,'Biaya PG'!$A$7:$A$20,0)),0)))</f>
        <v>0</v>
      </c>
      <c r="C421" s="23" t="s">
        <v>296</v>
      </c>
    </row>
    <row r="422" customFormat="false" ht="15" hidden="false" customHeight="false" outlineLevel="0" collapsed="false">
      <c r="A422" s="7" t="s">
        <v>297</v>
      </c>
      <c r="B422" s="17" t="n">
        <f aca="false">IF($B$404="customer",$B$420+$B$421,0)</f>
        <v>0</v>
      </c>
      <c r="C422" s="23" t="s">
        <v>298</v>
      </c>
    </row>
    <row r="423" customFormat="false" ht="15" hidden="false" customHeight="false" outlineLevel="0" collapsed="false">
      <c r="A423" s="6" t="s">
        <v>299</v>
      </c>
      <c r="B423" s="18" t="n">
        <f aca="false">$B$419+$B$422</f>
        <v>115000</v>
      </c>
      <c r="C423" s="23" t="s">
        <v>300</v>
      </c>
    </row>
    <row r="424" customFormat="false" ht="15" hidden="false" customHeight="false" outlineLevel="0" collapsed="false">
      <c r="A424" s="7" t="s">
        <v>301</v>
      </c>
      <c r="B424" s="17" t="n">
        <f aca="false">IF($B$408=1,0,$B$394)</f>
        <v>0</v>
      </c>
      <c r="C424" s="23"/>
    </row>
    <row r="425" customFormat="false" ht="15" hidden="false" customHeight="false" outlineLevel="0" collapsed="false">
      <c r="A425" s="7" t="s">
        <v>302</v>
      </c>
      <c r="B425" s="17" t="n">
        <f aca="false">$B$423+$B$424</f>
        <v>115000</v>
      </c>
      <c r="C425" s="23" t="s">
        <v>303</v>
      </c>
    </row>
    <row r="426" customFormat="false" ht="15" hidden="false" customHeight="false" outlineLevel="0" collapsed="false">
      <c r="A426" s="6" t="s">
        <v>304</v>
      </c>
      <c r="B426" s="18" t="n">
        <f aca="false">IF($B$408=1,0,($B$388-$B$413+$B$414)+$B$424+$B$395+$B$411)</f>
        <v>101700</v>
      </c>
      <c r="C426" s="23" t="s">
        <v>305</v>
      </c>
    </row>
    <row r="427" customFormat="false" ht="15" hidden="false" customHeight="false" outlineLevel="0" collapsed="false">
      <c r="A427" s="6" t="s">
        <v>211</v>
      </c>
      <c r="B427" s="18" t="n">
        <f aca="false">IF($B$406=1,$B$409-$B$415-$B$416,0)</f>
        <v>0</v>
      </c>
      <c r="C427" s="23" t="s">
        <v>306</v>
      </c>
    </row>
    <row r="428" customFormat="false" ht="15" hidden="false" customHeight="false" outlineLevel="0" collapsed="false">
      <c r="A428" s="7" t="s">
        <v>307</v>
      </c>
      <c r="B428" s="17" t="n">
        <f aca="false">IF($B$407=1,$B$409,0)</f>
        <v>0</v>
      </c>
      <c r="C428" s="23" t="s">
        <v>308</v>
      </c>
    </row>
    <row r="429" customFormat="false" ht="15" hidden="false" customHeight="false" outlineLevel="0" collapsed="false">
      <c r="A429" s="7" t="s">
        <v>309</v>
      </c>
      <c r="B429" s="17" t="n">
        <f aca="false">IF($B$408=1,$B$388-$B$415,0)</f>
        <v>0</v>
      </c>
      <c r="C429" s="23" t="s">
        <v>310</v>
      </c>
    </row>
    <row r="430" customFormat="false" ht="15" hidden="false" customHeight="false" outlineLevel="0" collapsed="false">
      <c r="A430" s="7" t="s">
        <v>311</v>
      </c>
      <c r="B430" s="17" t="n">
        <f aca="false">$B$410-$B$411</f>
        <v>0</v>
      </c>
      <c r="C430" s="23" t="s">
        <v>312</v>
      </c>
    </row>
    <row r="431" customFormat="false" ht="15" hidden="false" customHeight="false" outlineLevel="0" collapsed="false">
      <c r="A431" s="6" t="s">
        <v>212</v>
      </c>
      <c r="B431" s="18" t="n">
        <f aca="false">IF($B$408=1,$B$400+$B$415,$B$400+($B$413-$B$414)+$B$415+$B$430-$B$418)</f>
        <v>13300</v>
      </c>
      <c r="C431" s="23" t="s">
        <v>313</v>
      </c>
    </row>
    <row r="432" customFormat="false" ht="15" hidden="false" customHeight="false" outlineLevel="0" collapsed="false">
      <c r="A432" s="7" t="s">
        <v>314</v>
      </c>
      <c r="B432" s="17" t="n">
        <f aca="false">$B$431+$B$414</f>
        <v>13300</v>
      </c>
      <c r="C432" s="23" t="s">
        <v>315</v>
      </c>
    </row>
    <row r="433" customFormat="false" ht="15" hidden="false" customHeight="false" outlineLevel="0" collapsed="false">
      <c r="A433" s="7" t="s">
        <v>316</v>
      </c>
      <c r="B433" s="17" t="n">
        <f aca="false">$B$420+$B$421</f>
        <v>0</v>
      </c>
      <c r="C433" s="23" t="s">
        <v>317</v>
      </c>
    </row>
    <row r="434" customFormat="false" ht="15" hidden="false" customHeight="false" outlineLevel="0" collapsed="false">
      <c r="A434" s="7" t="s">
        <v>318</v>
      </c>
      <c r="B434" s="17" t="n">
        <f aca="false">IF($B$404="platform",$B$433,0)</f>
        <v>0</v>
      </c>
      <c r="C434" s="23" t="s">
        <v>319</v>
      </c>
    </row>
    <row r="435" customFormat="false" ht="15" hidden="false" customHeight="false" outlineLevel="0" collapsed="false">
      <c r="A435" s="6" t="s">
        <v>320</v>
      </c>
      <c r="B435" s="18" t="n">
        <f aca="false">$B$431-$B$434</f>
        <v>13300</v>
      </c>
      <c r="C435" s="23" t="s">
        <v>321</v>
      </c>
    </row>
    <row r="436" customFormat="false" ht="15" hidden="false" customHeight="false" outlineLevel="0" collapsed="false">
      <c r="A436" s="6" t="s">
        <v>322</v>
      </c>
      <c r="B436" s="17" t="n">
        <f aca="false">IF($B$392="cash",IF($B$408=1,$B$423-$B$429,$B$423-$B$428-$B$427-($B$426-$B$424)),0)</f>
        <v>13300</v>
      </c>
      <c r="C436" s="23" t="s">
        <v>323</v>
      </c>
    </row>
    <row r="437" customFormat="false" ht="15" hidden="false" customHeight="false" outlineLevel="0" collapsed="false">
      <c r="A437" s="7" t="s">
        <v>324</v>
      </c>
      <c r="B437" s="7" t="str">
        <f aca="false">IF($B$392="cash","Tunai",IF($B$392="antarpay","Saldo AntarPay","Digital (gateway)"))</f>
        <v>Tunai</v>
      </c>
      <c r="C437" s="23" t="s">
        <v>325</v>
      </c>
    </row>
    <row r="438" customFormat="false" ht="15" hidden="false" customHeight="false" outlineLevel="0" collapsed="false">
      <c r="A438" s="7" t="s">
        <v>326</v>
      </c>
      <c r="B438" s="26" t="n">
        <f aca="false">IF($B$433=0,0,IFERROR(IF(AND($B$392="bank_transfer",OR($B$393="bsi",$B$393="seabank")),INDEX('Biaya PG'!$I$7:$I$20,MATCH($B$392,'Biaya PG'!$A$7:$A$20,0)),INDEX('Biaya PG'!$H$7:$H$20,MATCH($B$392,'Biaya PG'!$A$7:$A$20,0))),0))</f>
        <v>0</v>
      </c>
      <c r="C438" s="23" t="s">
        <v>327</v>
      </c>
    </row>
    <row r="439" customFormat="false" ht="15" hidden="false" customHeight="false" outlineLevel="0" collapsed="false">
      <c r="A439" s="7" t="s">
        <v>328</v>
      </c>
      <c r="B439" s="17" t="n">
        <f aca="false">IF($B$408=1,$B$388,$B$409+$B$388)</f>
        <v>113000</v>
      </c>
      <c r="C439" s="23" t="s">
        <v>329</v>
      </c>
    </row>
    <row r="440" customFormat="false" ht="15" hidden="false" customHeight="false" outlineLevel="0" collapsed="false">
      <c r="A440" s="7" t="s">
        <v>330</v>
      </c>
      <c r="B440" s="20" t="n">
        <f aca="false">IF($B$439&gt;0,$B$432/$B$439,0)</f>
        <v>0.117699115044248</v>
      </c>
      <c r="C440" s="23" t="s">
        <v>331</v>
      </c>
    </row>
    <row r="441" customFormat="false" ht="15" hidden="false" customHeight="false" outlineLevel="0" collapsed="false">
      <c r="A441" s="7" t="s">
        <v>207</v>
      </c>
      <c r="B441" s="20" t="n">
        <f aca="false">IF(AND($B$388&gt;0,$B$408=0),($B$388-$B$413+$B$414)/$B$388,0)</f>
        <v>0.9</v>
      </c>
      <c r="C441" s="23" t="s">
        <v>332</v>
      </c>
    </row>
    <row r="442" customFormat="false" ht="15" hidden="false" customHeight="false" outlineLevel="0" collapsed="false">
      <c r="A442" s="6" t="s">
        <v>333</v>
      </c>
      <c r="B442" s="17" t="n">
        <f aca="false">$B$425+$B$417-($B$426+$B$427+$B$428+$B$429+$B$431+$B$422)</f>
        <v>0</v>
      </c>
      <c r="C442" s="23" t="s">
        <v>334</v>
      </c>
    </row>
    <row r="443" customFormat="false" ht="15" hidden="false" customHeight="false" outlineLevel="0" collapsed="false">
      <c r="A443" s="2" t="s">
        <v>347</v>
      </c>
    </row>
    <row r="445" customFormat="false" ht="15" hidden="false" customHeight="false" outlineLevel="0" collapsed="false">
      <c r="A445" s="3" t="s">
        <v>348</v>
      </c>
      <c r="B445" s="4"/>
      <c r="C445" s="4"/>
      <c r="D445" s="4"/>
      <c r="E445" s="4"/>
      <c r="F445" s="4"/>
    </row>
    <row r="446" customFormat="false" ht="15" hidden="false" customHeight="false" outlineLevel="0" collapsed="false">
      <c r="A446" s="5" t="s">
        <v>229</v>
      </c>
      <c r="B446" s="5" t="s">
        <v>52</v>
      </c>
      <c r="C446" s="5" t="s">
        <v>230</v>
      </c>
      <c r="D446" s="5" t="s">
        <v>231</v>
      </c>
      <c r="E446" s="5" t="s">
        <v>232</v>
      </c>
      <c r="F446" s="5" t="s">
        <v>233</v>
      </c>
    </row>
    <row r="447" customFormat="false" ht="15" hidden="false" customHeight="false" outlineLevel="0" collapsed="false">
      <c r="A447" s="7" t="s">
        <v>3</v>
      </c>
      <c r="B447" s="6" t="s">
        <v>45</v>
      </c>
      <c r="C447" s="23" t="s">
        <v>234</v>
      </c>
    </row>
    <row r="448" customFormat="false" ht="15" hidden="false" customHeight="false" outlineLevel="0" collapsed="false">
      <c r="A448" s="7" t="s">
        <v>235</v>
      </c>
      <c r="B448" s="14" t="n">
        <v>300000</v>
      </c>
      <c r="C448" s="23" t="s">
        <v>236</v>
      </c>
    </row>
    <row r="449" customFormat="false" ht="15" hidden="false" customHeight="false" outlineLevel="0" collapsed="false">
      <c r="A449" s="7" t="s">
        <v>237</v>
      </c>
      <c r="B449" s="14" t="n">
        <v>0</v>
      </c>
      <c r="C449" s="23" t="s">
        <v>238</v>
      </c>
    </row>
    <row r="450" customFormat="false" ht="15" hidden="false" customHeight="false" outlineLevel="0" collapsed="false">
      <c r="A450" s="7" t="s">
        <v>239</v>
      </c>
      <c r="B450" s="14" t="n">
        <v>0</v>
      </c>
      <c r="C450" s="23" t="s">
        <v>240</v>
      </c>
    </row>
    <row r="451" customFormat="false" ht="15" hidden="false" customHeight="false" outlineLevel="0" collapsed="false">
      <c r="A451" s="7" t="s">
        <v>241</v>
      </c>
      <c r="B451" s="24"/>
      <c r="C451" s="23" t="s">
        <v>242</v>
      </c>
    </row>
    <row r="452" customFormat="false" ht="15" hidden="false" customHeight="false" outlineLevel="0" collapsed="false">
      <c r="A452" s="7" t="s">
        <v>243</v>
      </c>
      <c r="B452" s="24" t="s">
        <v>192</v>
      </c>
      <c r="C452" s="23" t="s">
        <v>244</v>
      </c>
    </row>
    <row r="453" customFormat="false" ht="15" hidden="false" customHeight="false" outlineLevel="0" collapsed="false">
      <c r="A453" s="7" t="s">
        <v>245</v>
      </c>
      <c r="B453" s="24"/>
      <c r="C453" s="23" t="s">
        <v>246</v>
      </c>
    </row>
    <row r="454" customFormat="false" ht="15" hidden="false" customHeight="false" outlineLevel="0" collapsed="false">
      <c r="A454" s="7" t="s">
        <v>247</v>
      </c>
      <c r="B454" s="14" t="n">
        <v>0</v>
      </c>
      <c r="C454" s="23" t="s">
        <v>248</v>
      </c>
    </row>
    <row r="455" customFormat="false" ht="15" hidden="false" customHeight="false" outlineLevel="0" collapsed="false">
      <c r="A455" s="7" t="s">
        <v>249</v>
      </c>
      <c r="B455" s="14" t="n">
        <v>0</v>
      </c>
      <c r="C455" s="23" t="s">
        <v>250</v>
      </c>
    </row>
    <row r="456" customFormat="false" ht="15" hidden="false" customHeight="false" outlineLevel="0" collapsed="false">
      <c r="A456" s="7" t="s">
        <v>251</v>
      </c>
      <c r="B456" s="25" t="n">
        <v>0</v>
      </c>
      <c r="C456" s="23" t="s">
        <v>252</v>
      </c>
    </row>
    <row r="457" customFormat="false" ht="15" hidden="false" customHeight="false" outlineLevel="0" collapsed="false">
      <c r="A457" s="7" t="s">
        <v>253</v>
      </c>
      <c r="B457" s="24"/>
      <c r="C457" s="23" t="s">
        <v>254</v>
      </c>
    </row>
    <row r="458" customFormat="false" ht="15" hidden="false" customHeight="false" outlineLevel="0" collapsed="false">
      <c r="A458" s="7" t="s">
        <v>255</v>
      </c>
      <c r="B458" s="20" t="n">
        <f aca="false">INDEX(Asumsi!$C$6:$C$13,MATCH($B$447,Asumsi!$A$6:$A$13,0))</f>
        <v>0</v>
      </c>
      <c r="C458" s="23" t="s">
        <v>256</v>
      </c>
    </row>
    <row r="459" customFormat="false" ht="15" hidden="false" customHeight="false" outlineLevel="0" collapsed="false">
      <c r="A459" s="7" t="s">
        <v>6</v>
      </c>
      <c r="B459" s="20" t="n">
        <f aca="false">INDEX(Asumsi!$D$6:$D$13,MATCH($B$447,Asumsi!$A$6:$A$13,0))</f>
        <v>0.1</v>
      </c>
      <c r="C459" s="23" t="s">
        <v>257</v>
      </c>
    </row>
    <row r="460" customFormat="false" ht="15" hidden="false" customHeight="false" outlineLevel="0" collapsed="false">
      <c r="A460" s="7" t="s">
        <v>258</v>
      </c>
      <c r="B460" s="17" t="n">
        <f aca="false">INDEX(Asumsi!$E$6:$E$13,MATCH($B$447,Asumsi!$A$6:$A$13,0))</f>
        <v>5000</v>
      </c>
      <c r="C460" s="23" t="s">
        <v>259</v>
      </c>
    </row>
    <row r="461" customFormat="false" ht="15" hidden="false" customHeight="false" outlineLevel="0" collapsed="false">
      <c r="A461" s="7" t="s">
        <v>8</v>
      </c>
      <c r="B461" s="20" t="n">
        <f aca="false">INDEX(Asumsi!$F$6:$F$13,MATCH($B$447,Asumsi!$A$6:$A$13,0))</f>
        <v>0</v>
      </c>
      <c r="C461" s="23" t="s">
        <v>260</v>
      </c>
    </row>
    <row r="462" customFormat="false" ht="15" hidden="false" customHeight="false" outlineLevel="0" collapsed="false">
      <c r="A462" s="7" t="s">
        <v>9</v>
      </c>
      <c r="B462" s="17" t="n">
        <f aca="false">INDEX(Asumsi!$G$6:$G$13,MATCH($B$447,Asumsi!$A$6:$A$13,0))</f>
        <v>0</v>
      </c>
      <c r="C462" s="23" t="s">
        <v>261</v>
      </c>
    </row>
    <row r="463" customFormat="false" ht="15" hidden="false" customHeight="false" outlineLevel="0" collapsed="false">
      <c r="A463" s="7" t="s">
        <v>262</v>
      </c>
      <c r="B463" s="20" t="n">
        <f aca="false">INDEX(Asumsi!$H$6:$H$13,MATCH($B$447,Asumsi!$A$6:$A$13,0))</f>
        <v>0</v>
      </c>
      <c r="C463" s="23" t="s">
        <v>263</v>
      </c>
    </row>
    <row r="464" customFormat="false" ht="15" hidden="false" customHeight="false" outlineLevel="0" collapsed="false">
      <c r="A464" s="7" t="s">
        <v>264</v>
      </c>
      <c r="B464" s="7" t="str">
        <f aca="false">IF($B$457="",INDEX(Asumsi!$I$6:$I$13,MATCH($B$447,Asumsi!$A$6:$A$13,0)),$B$457)</f>
        <v>platform</v>
      </c>
      <c r="C464" s="23" t="s">
        <v>265</v>
      </c>
    </row>
    <row r="465" customFormat="false" ht="15" hidden="false" customHeight="false" outlineLevel="0" collapsed="false">
      <c r="A465" s="7" t="s">
        <v>266</v>
      </c>
      <c r="B465" s="7" t="str">
        <f aca="false">IF(AND(IF($B$451="",INDEX(Asumsi!$J$6:$J$13,MATCH($B$447,Asumsi!$A$6:$A$13,0)),$B$451)="merchant",$B$447&lt;&gt;"food"),"platform",IF($B$451="",INDEX(Asumsi!$J$6:$J$13,MATCH($B$447,Asumsi!$A$6:$A$13,0)),$B$451))</f>
        <v>platform</v>
      </c>
      <c r="C465" s="23" t="s">
        <v>267</v>
      </c>
    </row>
    <row r="466" customFormat="false" ht="15" hidden="false" customHeight="false" outlineLevel="0" collapsed="false">
      <c r="A466" s="7" t="s">
        <v>268</v>
      </c>
      <c r="B466" s="26" t="n">
        <f aca="false">IF($B$447="food",1,0)</f>
        <v>0</v>
      </c>
      <c r="C466" s="23"/>
    </row>
    <row r="467" customFormat="false" ht="15" hidden="false" customHeight="false" outlineLevel="0" collapsed="false">
      <c r="A467" s="7" t="s">
        <v>269</v>
      </c>
      <c r="B467" s="26" t="n">
        <f aca="false">IF(OR($B$447="shop",$B$447="market"),1,0)</f>
        <v>0</v>
      </c>
      <c r="C467" s="23"/>
    </row>
    <row r="468" customFormat="false" ht="15" hidden="false" customHeight="false" outlineLevel="0" collapsed="false">
      <c r="A468" s="7" t="s">
        <v>270</v>
      </c>
      <c r="B468" s="26" t="n">
        <f aca="false">IF($B$447="travel",1,0)</f>
        <v>1</v>
      </c>
      <c r="C468" s="23"/>
    </row>
    <row r="469" customFormat="false" ht="15" hidden="false" customHeight="false" outlineLevel="0" collapsed="false">
      <c r="A469" s="7" t="s">
        <v>271</v>
      </c>
      <c r="B469" s="17" t="n">
        <f aca="false">IF($B$466+$B$467&gt;0,$B$449,0)</f>
        <v>0</v>
      </c>
      <c r="C469" s="23" t="s">
        <v>272</v>
      </c>
    </row>
    <row r="470" customFormat="false" ht="15" hidden="false" customHeight="false" outlineLevel="0" collapsed="false">
      <c r="A470" s="7" t="s">
        <v>273</v>
      </c>
      <c r="B470" s="17" t="n">
        <f aca="false">IF($B$467=1,MAX($B$462,INT(ROUND($B$469*$B$461,6))),0)</f>
        <v>0</v>
      </c>
      <c r="C470" s="23" t="s">
        <v>274</v>
      </c>
    </row>
    <row r="471" customFormat="false" ht="15" hidden="false" customHeight="false" outlineLevel="0" collapsed="false">
      <c r="A471" s="7" t="s">
        <v>275</v>
      </c>
      <c r="B471" s="17" t="n">
        <f aca="false">INT(ROUND($B$470*$B$463,6))</f>
        <v>0</v>
      </c>
      <c r="C471" s="23" t="s">
        <v>276</v>
      </c>
    </row>
    <row r="472" customFormat="false" ht="15" hidden="false" customHeight="false" outlineLevel="0" collapsed="false">
      <c r="A472" s="7" t="s">
        <v>277</v>
      </c>
      <c r="B472" s="17" t="n">
        <f aca="false">IF($B$468=1,0,MIN($B$450,$B$448+$B$466*$B$469))</f>
        <v>0</v>
      </c>
      <c r="C472" s="23" t="s">
        <v>278</v>
      </c>
    </row>
    <row r="473" customFormat="false" ht="15" hidden="false" customHeight="false" outlineLevel="0" collapsed="false">
      <c r="A473" s="7" t="s">
        <v>279</v>
      </c>
      <c r="B473" s="17" t="n">
        <f aca="false">IF($B$468=1,0,INT(ROUND($B$448*$B$458,6)))</f>
        <v>0</v>
      </c>
      <c r="C473" s="23" t="s">
        <v>280</v>
      </c>
    </row>
    <row r="474" customFormat="false" ht="15" hidden="false" customHeight="false" outlineLevel="0" collapsed="false">
      <c r="A474" s="7" t="s">
        <v>281</v>
      </c>
      <c r="B474" s="17" t="n">
        <f aca="false">MIN($B$473,INT(ROUND($B$448*$B$456,6)))</f>
        <v>0</v>
      </c>
      <c r="C474" s="23" t="s">
        <v>282</v>
      </c>
    </row>
    <row r="475" customFormat="false" ht="15" hidden="false" customHeight="false" outlineLevel="0" collapsed="false">
      <c r="A475" s="7" t="s">
        <v>283</v>
      </c>
      <c r="B475" s="17" t="n">
        <f aca="false">IF($B$466=1,INT(ROUND($B$469*$B$459,6)),IF($B$468=1,INT(ROUND($B$448*$B$459,6)),0))</f>
        <v>30000</v>
      </c>
      <c r="C475" s="23" t="s">
        <v>284</v>
      </c>
    </row>
    <row r="476" customFormat="false" ht="15" hidden="false" customHeight="false" outlineLevel="0" collapsed="false">
      <c r="A476" s="7" t="s">
        <v>285</v>
      </c>
      <c r="B476" s="17" t="n">
        <f aca="false">IF($B$465="merchant",MIN($B$472,MAX(0,$B$469-$B$475)),0)</f>
        <v>0</v>
      </c>
      <c r="C476" s="23" t="s">
        <v>286</v>
      </c>
    </row>
    <row r="477" customFormat="false" ht="15" hidden="false" customHeight="false" outlineLevel="0" collapsed="false">
      <c r="A477" s="7" t="s">
        <v>287</v>
      </c>
      <c r="B477" s="17" t="n">
        <f aca="false">IF($B$465="sponsor",$B$472,0)</f>
        <v>0</v>
      </c>
      <c r="C477" s="23" t="s">
        <v>288</v>
      </c>
    </row>
    <row r="478" customFormat="false" ht="15" hidden="false" customHeight="false" outlineLevel="0" collapsed="false">
      <c r="A478" s="7" t="s">
        <v>289</v>
      </c>
      <c r="B478" s="17" t="n">
        <f aca="false">$B$472-$B$476-$B$477</f>
        <v>0</v>
      </c>
      <c r="C478" s="23" t="s">
        <v>290</v>
      </c>
    </row>
    <row r="479" customFormat="false" ht="15" hidden="false" customHeight="false" outlineLevel="0" collapsed="false">
      <c r="A479" s="7" t="s">
        <v>291</v>
      </c>
      <c r="B479" s="17" t="n">
        <f aca="false">IF($B$468=1,$B$448+$B$460,$B$448+$B$460+$B$469+$B$470+$B$455-$B$472)</f>
        <v>305000</v>
      </c>
      <c r="C479" s="23" t="s">
        <v>292</v>
      </c>
    </row>
    <row r="480" customFormat="false" ht="15" hidden="false" customHeight="false" outlineLevel="0" collapsed="false">
      <c r="A480" s="7" t="s">
        <v>293</v>
      </c>
      <c r="B480" s="17" t="n">
        <f aca="false">IF(OR($B$468=1,$B$479&lt;=0),0,IFERROR(ROUND($B$479*INDEX('Biaya PG'!$D$7:$D$20,MATCH($B$452,'Biaya PG'!$A$7:$A$20,0)),0)+INDEX('Biaya PG'!$E$7:$E$20,MATCH($B$452,'Biaya PG'!$A$7:$A$20,0)),0))</f>
        <v>0</v>
      </c>
      <c r="C480" s="23" t="s">
        <v>294</v>
      </c>
    </row>
    <row r="481" customFormat="false" ht="15" hidden="false" customHeight="false" outlineLevel="0" collapsed="false">
      <c r="A481" s="7" t="s">
        <v>295</v>
      </c>
      <c r="B481" s="17" t="n">
        <f aca="false">IF($B$480=0,0,IF(INDEX('Biaya PG'!$F$7:$F$20,MATCH($B$452,'Biaya PG'!$A$7:$A$20,0))="Ya",0,ROUND($B$480*INDEX('Biaya PG'!$G$7:$G$20,MATCH($B$452,'Biaya PG'!$A$7:$A$20,0)),0)))</f>
        <v>0</v>
      </c>
      <c r="C481" s="23" t="s">
        <v>296</v>
      </c>
    </row>
    <row r="482" customFormat="false" ht="15" hidden="false" customHeight="false" outlineLevel="0" collapsed="false">
      <c r="A482" s="7" t="s">
        <v>297</v>
      </c>
      <c r="B482" s="17" t="n">
        <f aca="false">IF($B$464="customer",$B$480+$B$481,0)</f>
        <v>0</v>
      </c>
      <c r="C482" s="23" t="s">
        <v>298</v>
      </c>
    </row>
    <row r="483" customFormat="false" ht="15" hidden="false" customHeight="false" outlineLevel="0" collapsed="false">
      <c r="A483" s="6" t="s">
        <v>299</v>
      </c>
      <c r="B483" s="18" t="n">
        <f aca="false">$B$479+$B$482</f>
        <v>305000</v>
      </c>
      <c r="C483" s="23" t="s">
        <v>300</v>
      </c>
    </row>
    <row r="484" customFormat="false" ht="15" hidden="false" customHeight="false" outlineLevel="0" collapsed="false">
      <c r="A484" s="7" t="s">
        <v>301</v>
      </c>
      <c r="B484" s="17" t="n">
        <f aca="false">IF($B$468=1,0,$B$454)</f>
        <v>0</v>
      </c>
      <c r="C484" s="23"/>
    </row>
    <row r="485" customFormat="false" ht="15" hidden="false" customHeight="false" outlineLevel="0" collapsed="false">
      <c r="A485" s="7" t="s">
        <v>302</v>
      </c>
      <c r="B485" s="17" t="n">
        <f aca="false">$B$483+$B$484</f>
        <v>305000</v>
      </c>
      <c r="C485" s="23" t="s">
        <v>303</v>
      </c>
    </row>
    <row r="486" customFormat="false" ht="15" hidden="false" customHeight="false" outlineLevel="0" collapsed="false">
      <c r="A486" s="6" t="s">
        <v>304</v>
      </c>
      <c r="B486" s="18" t="n">
        <f aca="false">IF($B$468=1,0,($B$448-$B$473+$B$474)+$B$484+$B$455+$B$471)</f>
        <v>0</v>
      </c>
      <c r="C486" s="23" t="s">
        <v>305</v>
      </c>
    </row>
    <row r="487" customFormat="false" ht="15" hidden="false" customHeight="false" outlineLevel="0" collapsed="false">
      <c r="A487" s="6" t="s">
        <v>211</v>
      </c>
      <c r="B487" s="18" t="n">
        <f aca="false">IF($B$466=1,$B$469-$B$475-$B$476,0)</f>
        <v>0</v>
      </c>
      <c r="C487" s="23" t="s">
        <v>306</v>
      </c>
    </row>
    <row r="488" customFormat="false" ht="15" hidden="false" customHeight="false" outlineLevel="0" collapsed="false">
      <c r="A488" s="7" t="s">
        <v>307</v>
      </c>
      <c r="B488" s="17" t="n">
        <f aca="false">IF($B$467=1,$B$469,0)</f>
        <v>0</v>
      </c>
      <c r="C488" s="23" t="s">
        <v>308</v>
      </c>
    </row>
    <row r="489" customFormat="false" ht="15" hidden="false" customHeight="false" outlineLevel="0" collapsed="false">
      <c r="A489" s="7" t="s">
        <v>309</v>
      </c>
      <c r="B489" s="17" t="n">
        <f aca="false">IF($B$468=1,$B$448-$B$475,0)</f>
        <v>270000</v>
      </c>
      <c r="C489" s="23" t="s">
        <v>310</v>
      </c>
    </row>
    <row r="490" customFormat="false" ht="15" hidden="false" customHeight="false" outlineLevel="0" collapsed="false">
      <c r="A490" s="7" t="s">
        <v>311</v>
      </c>
      <c r="B490" s="17" t="n">
        <f aca="false">$B$470-$B$471</f>
        <v>0</v>
      </c>
      <c r="C490" s="23" t="s">
        <v>312</v>
      </c>
    </row>
    <row r="491" customFormat="false" ht="15" hidden="false" customHeight="false" outlineLevel="0" collapsed="false">
      <c r="A491" s="6" t="s">
        <v>212</v>
      </c>
      <c r="B491" s="18" t="n">
        <f aca="false">IF($B$468=1,$B$460+$B$475,$B$460+($B$473-$B$474)+$B$475+$B$490-$B$478)</f>
        <v>35000</v>
      </c>
      <c r="C491" s="23" t="s">
        <v>313</v>
      </c>
    </row>
    <row r="492" customFormat="false" ht="15" hidden="false" customHeight="false" outlineLevel="0" collapsed="false">
      <c r="A492" s="7" t="s">
        <v>314</v>
      </c>
      <c r="B492" s="17" t="n">
        <f aca="false">$B$491+$B$474</f>
        <v>35000</v>
      </c>
      <c r="C492" s="23" t="s">
        <v>315</v>
      </c>
    </row>
    <row r="493" customFormat="false" ht="15" hidden="false" customHeight="false" outlineLevel="0" collapsed="false">
      <c r="A493" s="7" t="s">
        <v>316</v>
      </c>
      <c r="B493" s="17" t="n">
        <f aca="false">$B$480+$B$481</f>
        <v>0</v>
      </c>
      <c r="C493" s="23" t="s">
        <v>317</v>
      </c>
    </row>
    <row r="494" customFormat="false" ht="15" hidden="false" customHeight="false" outlineLevel="0" collapsed="false">
      <c r="A494" s="7" t="s">
        <v>318</v>
      </c>
      <c r="B494" s="17" t="n">
        <f aca="false">IF($B$464="platform",$B$493,0)</f>
        <v>0</v>
      </c>
      <c r="C494" s="23" t="s">
        <v>319</v>
      </c>
    </row>
    <row r="495" customFormat="false" ht="15" hidden="false" customHeight="false" outlineLevel="0" collapsed="false">
      <c r="A495" s="6" t="s">
        <v>320</v>
      </c>
      <c r="B495" s="18" t="n">
        <f aca="false">$B$491-$B$494</f>
        <v>35000</v>
      </c>
      <c r="C495" s="23" t="s">
        <v>321</v>
      </c>
    </row>
    <row r="496" customFormat="false" ht="15" hidden="false" customHeight="false" outlineLevel="0" collapsed="false">
      <c r="A496" s="6" t="s">
        <v>322</v>
      </c>
      <c r="B496" s="17" t="n">
        <f aca="false">IF($B$452="cash",IF($B$468=1,$B$483-$B$489,$B$483-$B$488-$B$487-($B$486-$B$484)),0)</f>
        <v>0</v>
      </c>
      <c r="C496" s="23" t="s">
        <v>323</v>
      </c>
    </row>
    <row r="497" customFormat="false" ht="15" hidden="false" customHeight="false" outlineLevel="0" collapsed="false">
      <c r="A497" s="7" t="s">
        <v>324</v>
      </c>
      <c r="B497" s="7" t="str">
        <f aca="false">IF($B$452="cash","Tunai",IF($B$452="antarpay","Saldo AntarPay","Digital (gateway)"))</f>
        <v>Saldo AntarPay</v>
      </c>
      <c r="C497" s="23" t="s">
        <v>325</v>
      </c>
    </row>
    <row r="498" customFormat="false" ht="15" hidden="false" customHeight="false" outlineLevel="0" collapsed="false">
      <c r="A498" s="7" t="s">
        <v>326</v>
      </c>
      <c r="B498" s="26" t="n">
        <f aca="false">IF($B$493=0,0,IFERROR(IF(AND($B$452="bank_transfer",OR($B$453="bsi",$B$453="seabank")),INDEX('Biaya PG'!$I$7:$I$20,MATCH($B$452,'Biaya PG'!$A$7:$A$20,0)),INDEX('Biaya PG'!$H$7:$H$20,MATCH($B$452,'Biaya PG'!$A$7:$A$20,0))),0))</f>
        <v>0</v>
      </c>
      <c r="C498" s="23" t="s">
        <v>327</v>
      </c>
    </row>
    <row r="499" customFormat="false" ht="15" hidden="false" customHeight="false" outlineLevel="0" collapsed="false">
      <c r="A499" s="7" t="s">
        <v>328</v>
      </c>
      <c r="B499" s="17" t="n">
        <f aca="false">IF($B$468=1,$B$448,$B$469+$B$448)</f>
        <v>300000</v>
      </c>
      <c r="C499" s="23" t="s">
        <v>329</v>
      </c>
    </row>
    <row r="500" customFormat="false" ht="15" hidden="false" customHeight="false" outlineLevel="0" collapsed="false">
      <c r="A500" s="7" t="s">
        <v>330</v>
      </c>
      <c r="B500" s="20" t="n">
        <f aca="false">IF($B$499&gt;0,$B$492/$B$499,0)</f>
        <v>0.116666666666667</v>
      </c>
      <c r="C500" s="23" t="s">
        <v>331</v>
      </c>
    </row>
    <row r="501" customFormat="false" ht="15" hidden="false" customHeight="false" outlineLevel="0" collapsed="false">
      <c r="A501" s="7" t="s">
        <v>207</v>
      </c>
      <c r="B501" s="20" t="n">
        <f aca="false">IF(AND($B$448&gt;0,$B$468=0),($B$448-$B$473+$B$474)/$B$448,0)</f>
        <v>0</v>
      </c>
      <c r="C501" s="23" t="s">
        <v>332</v>
      </c>
    </row>
    <row r="502" customFormat="false" ht="15" hidden="false" customHeight="false" outlineLevel="0" collapsed="false">
      <c r="A502" s="6" t="s">
        <v>333</v>
      </c>
      <c r="B502" s="17" t="n">
        <f aca="false">$B$485+$B$477-($B$486+$B$487+$B$488+$B$489+$B$491+$B$482)</f>
        <v>0</v>
      </c>
      <c r="C502" s="23" t="s">
        <v>334</v>
      </c>
    </row>
    <row r="503" customFormat="false" ht="15" hidden="false" customHeight="false" outlineLevel="0" collapsed="false">
      <c r="A503" s="2" t="s">
        <v>349</v>
      </c>
    </row>
    <row r="505" customFormat="false" ht="15" hidden="false" customHeight="false" outlineLevel="0" collapsed="false">
      <c r="A505" s="3" t="s">
        <v>221</v>
      </c>
      <c r="B505" s="4"/>
      <c r="C505" s="4"/>
      <c r="D505" s="4"/>
      <c r="E505" s="4"/>
      <c r="F505" s="4"/>
    </row>
    <row r="506" customFormat="false" ht="15" hidden="false" customHeight="false" outlineLevel="0" collapsed="false">
      <c r="A506" s="5" t="s">
        <v>229</v>
      </c>
      <c r="B506" s="5" t="s">
        <v>52</v>
      </c>
      <c r="C506" s="5" t="s">
        <v>230</v>
      </c>
      <c r="D506" s="5" t="s">
        <v>231</v>
      </c>
      <c r="E506" s="5" t="s">
        <v>232</v>
      </c>
      <c r="F506" s="5" t="s">
        <v>233</v>
      </c>
    </row>
    <row r="507" customFormat="false" ht="15" hidden="false" customHeight="false" outlineLevel="0" collapsed="false">
      <c r="A507" s="7" t="s">
        <v>3</v>
      </c>
      <c r="B507" s="6" t="s">
        <v>17</v>
      </c>
      <c r="C507" s="23" t="s">
        <v>234</v>
      </c>
      <c r="D507" s="7"/>
      <c r="E507" s="7"/>
      <c r="F507" s="17" t="n">
        <v>0</v>
      </c>
    </row>
    <row r="508" customFormat="false" ht="15" hidden="false" customHeight="false" outlineLevel="0" collapsed="false">
      <c r="A508" s="7" t="s">
        <v>235</v>
      </c>
      <c r="B508" s="9" t="n">
        <v>7000</v>
      </c>
      <c r="C508" s="23" t="s">
        <v>236</v>
      </c>
      <c r="D508" s="7"/>
      <c r="E508" s="7"/>
      <c r="F508" s="17" t="n">
        <v>0</v>
      </c>
    </row>
    <row r="509" customFormat="false" ht="15" hidden="false" customHeight="false" outlineLevel="0" collapsed="false">
      <c r="A509" s="7" t="s">
        <v>237</v>
      </c>
      <c r="B509" s="9" t="n">
        <v>0</v>
      </c>
      <c r="C509" s="23" t="s">
        <v>238</v>
      </c>
      <c r="D509" s="7"/>
      <c r="E509" s="7"/>
      <c r="F509" s="17" t="n">
        <v>0</v>
      </c>
    </row>
    <row r="510" customFormat="false" ht="15" hidden="false" customHeight="false" outlineLevel="0" collapsed="false">
      <c r="A510" s="7" t="s">
        <v>239</v>
      </c>
      <c r="B510" s="9" t="n">
        <v>2000</v>
      </c>
      <c r="C510" s="23" t="s">
        <v>240</v>
      </c>
      <c r="D510" s="7"/>
      <c r="E510" s="7"/>
      <c r="F510" s="17" t="n">
        <v>0</v>
      </c>
    </row>
    <row r="511" customFormat="false" ht="15" hidden="false" customHeight="false" outlineLevel="0" collapsed="false">
      <c r="A511" s="7" t="s">
        <v>241</v>
      </c>
      <c r="B511" s="10" t="s">
        <v>19</v>
      </c>
      <c r="C511" s="23" t="s">
        <v>242</v>
      </c>
      <c r="D511" s="7"/>
      <c r="E511" s="7"/>
      <c r="F511" s="17" t="n">
        <v>0</v>
      </c>
    </row>
    <row r="512" customFormat="false" ht="15" hidden="false" customHeight="false" outlineLevel="0" collapsed="false">
      <c r="A512" s="7" t="s">
        <v>243</v>
      </c>
      <c r="B512" s="10" t="s">
        <v>187</v>
      </c>
      <c r="C512" s="23" t="s">
        <v>244</v>
      </c>
      <c r="D512" s="7"/>
      <c r="E512" s="7"/>
      <c r="F512" s="17" t="n">
        <v>0</v>
      </c>
    </row>
    <row r="513" customFormat="false" ht="15" hidden="false" customHeight="false" outlineLevel="0" collapsed="false">
      <c r="A513" s="7" t="s">
        <v>245</v>
      </c>
      <c r="B513" s="10"/>
      <c r="C513" s="23" t="s">
        <v>246</v>
      </c>
      <c r="D513" s="7"/>
      <c r="E513" s="7"/>
      <c r="F513" s="17" t="n">
        <v>0</v>
      </c>
    </row>
    <row r="514" customFormat="false" ht="15" hidden="false" customHeight="false" outlineLevel="0" collapsed="false">
      <c r="A514" s="7" t="s">
        <v>247</v>
      </c>
      <c r="B514" s="9" t="n">
        <v>0</v>
      </c>
      <c r="C514" s="23" t="s">
        <v>248</v>
      </c>
      <c r="D514" s="7"/>
      <c r="E514" s="7"/>
      <c r="F514" s="17" t="n">
        <v>0</v>
      </c>
    </row>
    <row r="515" customFormat="false" ht="15" hidden="false" customHeight="false" outlineLevel="0" collapsed="false">
      <c r="A515" s="7" t="s">
        <v>249</v>
      </c>
      <c r="B515" s="9" t="n">
        <v>0</v>
      </c>
      <c r="C515" s="23" t="s">
        <v>250</v>
      </c>
      <c r="D515" s="7"/>
      <c r="E515" s="7"/>
      <c r="F515" s="17" t="n">
        <v>0</v>
      </c>
    </row>
    <row r="516" customFormat="false" ht="15" hidden="false" customHeight="false" outlineLevel="0" collapsed="false">
      <c r="A516" s="7" t="s">
        <v>251</v>
      </c>
      <c r="B516" s="8" t="n">
        <v>0</v>
      </c>
      <c r="C516" s="23" t="s">
        <v>252</v>
      </c>
      <c r="D516" s="7"/>
      <c r="E516" s="7"/>
      <c r="F516" s="17" t="n">
        <v>0</v>
      </c>
    </row>
    <row r="517" customFormat="false" ht="15" hidden="false" customHeight="false" outlineLevel="0" collapsed="false">
      <c r="A517" s="7" t="s">
        <v>253</v>
      </c>
      <c r="B517" s="10"/>
      <c r="C517" s="23" t="s">
        <v>254</v>
      </c>
      <c r="D517" s="7"/>
      <c r="E517" s="7"/>
      <c r="F517" s="17" t="n">
        <v>0</v>
      </c>
    </row>
    <row r="518" customFormat="false" ht="15" hidden="false" customHeight="false" outlineLevel="0" collapsed="false">
      <c r="A518" s="7" t="s">
        <v>255</v>
      </c>
      <c r="B518" s="20" t="n">
        <f aca="false">INDEX(Asumsi!$C$6:$C$13,MATCH($B$507,Asumsi!$A$6:$A$13,0))</f>
        <v>0.08</v>
      </c>
      <c r="C518" s="23" t="s">
        <v>256</v>
      </c>
      <c r="D518" s="7"/>
      <c r="E518" s="7"/>
      <c r="F518" s="17" t="n">
        <v>0</v>
      </c>
    </row>
    <row r="519" customFormat="false" ht="15" hidden="false" customHeight="false" outlineLevel="0" collapsed="false">
      <c r="A519" s="7" t="s">
        <v>6</v>
      </c>
      <c r="B519" s="20" t="n">
        <f aca="false">INDEX(Asumsi!$D$6:$D$13,MATCH($B$507,Asumsi!$A$6:$A$13,0))</f>
        <v>0</v>
      </c>
      <c r="C519" s="23" t="s">
        <v>257</v>
      </c>
      <c r="D519" s="7"/>
      <c r="E519" s="7"/>
      <c r="F519" s="17" t="n">
        <v>0</v>
      </c>
    </row>
    <row r="520" customFormat="false" ht="15" hidden="false" customHeight="false" outlineLevel="0" collapsed="false">
      <c r="A520" s="7" t="s">
        <v>258</v>
      </c>
      <c r="B520" s="17" t="n">
        <f aca="false">INDEX(Asumsi!$E$6:$E$13,MATCH($B$507,Asumsi!$A$6:$A$13,0))</f>
        <v>1000</v>
      </c>
      <c r="C520" s="23" t="s">
        <v>259</v>
      </c>
      <c r="D520" s="7"/>
      <c r="E520" s="7"/>
      <c r="F520" s="17" t="n">
        <v>0</v>
      </c>
    </row>
    <row r="521" customFormat="false" ht="15" hidden="false" customHeight="false" outlineLevel="0" collapsed="false">
      <c r="A521" s="7" t="s">
        <v>8</v>
      </c>
      <c r="B521" s="20" t="n">
        <f aca="false">INDEX(Asumsi!$F$6:$F$13,MATCH($B$507,Asumsi!$A$6:$A$13,0))</f>
        <v>0</v>
      </c>
      <c r="C521" s="23" t="s">
        <v>260</v>
      </c>
      <c r="D521" s="7"/>
      <c r="E521" s="7"/>
      <c r="F521" s="17" t="n">
        <v>0</v>
      </c>
    </row>
    <row r="522" customFormat="false" ht="15" hidden="false" customHeight="false" outlineLevel="0" collapsed="false">
      <c r="A522" s="7" t="s">
        <v>9</v>
      </c>
      <c r="B522" s="17" t="n">
        <f aca="false">INDEX(Asumsi!$G$6:$G$13,MATCH($B$507,Asumsi!$A$6:$A$13,0))</f>
        <v>0</v>
      </c>
      <c r="C522" s="23" t="s">
        <v>261</v>
      </c>
      <c r="D522" s="7"/>
      <c r="E522" s="7"/>
      <c r="F522" s="17" t="n">
        <v>0</v>
      </c>
    </row>
    <row r="523" customFormat="false" ht="15" hidden="false" customHeight="false" outlineLevel="0" collapsed="false">
      <c r="A523" s="7" t="s">
        <v>262</v>
      </c>
      <c r="B523" s="20" t="n">
        <f aca="false">INDEX(Asumsi!$H$6:$H$13,MATCH($B$507,Asumsi!$A$6:$A$13,0))</f>
        <v>0</v>
      </c>
      <c r="C523" s="23" t="s">
        <v>263</v>
      </c>
      <c r="D523" s="7"/>
      <c r="E523" s="7"/>
      <c r="F523" s="17" t="n">
        <v>0</v>
      </c>
    </row>
    <row r="524" customFormat="false" ht="15" hidden="false" customHeight="false" outlineLevel="0" collapsed="false">
      <c r="A524" s="7" t="s">
        <v>264</v>
      </c>
      <c r="B524" s="7" t="str">
        <f aca="false">IF($B$517="",INDEX(Asumsi!$I$6:$I$13,MATCH($B$507,Asumsi!$A$6:$A$13,0)),$B$517)</f>
        <v>platform</v>
      </c>
      <c r="C524" s="23" t="s">
        <v>265</v>
      </c>
      <c r="D524" s="7"/>
      <c r="E524" s="7"/>
      <c r="F524" s="17" t="n">
        <v>0</v>
      </c>
    </row>
    <row r="525" customFormat="false" ht="15" hidden="false" customHeight="false" outlineLevel="0" collapsed="false">
      <c r="A525" s="7" t="s">
        <v>266</v>
      </c>
      <c r="B525" s="7" t="str">
        <f aca="false">IF(AND(IF($B$511="",INDEX(Asumsi!$J$6:$J$13,MATCH($B$507,Asumsi!$A$6:$A$13,0)),$B$511)="merchant",$B$507&lt;&gt;"food"),"platform",IF($B$511="",INDEX(Asumsi!$J$6:$J$13,MATCH($B$507,Asumsi!$A$6:$A$13,0)),$B$511))</f>
        <v>platform</v>
      </c>
      <c r="C525" s="23" t="s">
        <v>267</v>
      </c>
      <c r="D525" s="7"/>
      <c r="E525" s="7"/>
      <c r="F525" s="17" t="n">
        <v>0</v>
      </c>
    </row>
    <row r="526" customFormat="false" ht="15" hidden="false" customHeight="false" outlineLevel="0" collapsed="false">
      <c r="A526" s="7" t="s">
        <v>268</v>
      </c>
      <c r="B526" s="26" t="n">
        <f aca="false">IF($B$507="food",1,0)</f>
        <v>0</v>
      </c>
      <c r="C526" s="23"/>
      <c r="D526" s="7"/>
      <c r="E526" s="7"/>
      <c r="F526" s="17" t="n">
        <v>0</v>
      </c>
    </row>
    <row r="527" customFormat="false" ht="15" hidden="false" customHeight="false" outlineLevel="0" collapsed="false">
      <c r="A527" s="7" t="s">
        <v>269</v>
      </c>
      <c r="B527" s="26" t="n">
        <f aca="false">IF(OR($B$507="shop",$B$507="market"),1,0)</f>
        <v>0</v>
      </c>
      <c r="C527" s="23"/>
      <c r="D527" s="7"/>
      <c r="E527" s="7"/>
      <c r="F527" s="17" t="n">
        <v>0</v>
      </c>
    </row>
    <row r="528" customFormat="false" ht="15" hidden="false" customHeight="false" outlineLevel="0" collapsed="false">
      <c r="A528" s="7" t="s">
        <v>270</v>
      </c>
      <c r="B528" s="26" t="n">
        <f aca="false">IF($B$507="travel",1,0)</f>
        <v>0</v>
      </c>
      <c r="C528" s="23"/>
      <c r="D528" s="7"/>
      <c r="E528" s="7"/>
      <c r="F528" s="17" t="n">
        <v>0</v>
      </c>
    </row>
    <row r="529" customFormat="false" ht="15" hidden="false" customHeight="false" outlineLevel="0" collapsed="false">
      <c r="A529" s="7" t="s">
        <v>271</v>
      </c>
      <c r="B529" s="17" t="n">
        <f aca="false">IF($B$526+$B$527&gt;0,$B$509,0)</f>
        <v>0</v>
      </c>
      <c r="C529" s="23" t="s">
        <v>272</v>
      </c>
      <c r="D529" s="7"/>
      <c r="E529" s="7"/>
      <c r="F529" s="17" t="n">
        <v>0</v>
      </c>
    </row>
    <row r="530" customFormat="false" ht="15" hidden="false" customHeight="false" outlineLevel="0" collapsed="false">
      <c r="A530" s="7" t="s">
        <v>273</v>
      </c>
      <c r="B530" s="17" t="n">
        <f aca="false">IF($B$527=1,MAX($B$522,INT(ROUND($B$529*$B$521,6))),0)</f>
        <v>0</v>
      </c>
      <c r="C530" s="23" t="s">
        <v>274</v>
      </c>
      <c r="D530" s="7"/>
      <c r="E530" s="7"/>
      <c r="F530" s="17" t="n">
        <v>0</v>
      </c>
    </row>
    <row r="531" customFormat="false" ht="15" hidden="false" customHeight="false" outlineLevel="0" collapsed="false">
      <c r="A531" s="7" t="s">
        <v>275</v>
      </c>
      <c r="B531" s="17" t="n">
        <f aca="false">INT(ROUND($B$530*$B$523,6))</f>
        <v>0</v>
      </c>
      <c r="C531" s="23" t="s">
        <v>276</v>
      </c>
      <c r="D531" s="7"/>
      <c r="E531" s="7"/>
      <c r="F531" s="17" t="n">
        <v>0</v>
      </c>
    </row>
    <row r="532" customFormat="false" ht="15" hidden="false" customHeight="false" outlineLevel="0" collapsed="false">
      <c r="A532" s="7" t="s">
        <v>277</v>
      </c>
      <c r="B532" s="17" t="n">
        <f aca="false">IF($B$528=1,0,MIN($B$510,$B$508+$B$526*$B$529))</f>
        <v>2000</v>
      </c>
      <c r="C532" s="23" t="s">
        <v>278</v>
      </c>
      <c r="D532" s="9" t="n">
        <v>2000</v>
      </c>
      <c r="E532" s="18" t="n">
        <f aca="false">B532-D532</f>
        <v>0</v>
      </c>
      <c r="F532" s="17" t="n">
        <f aca="false">ABS(E532)</f>
        <v>0</v>
      </c>
    </row>
    <row r="533" customFormat="false" ht="15" hidden="false" customHeight="false" outlineLevel="0" collapsed="false">
      <c r="A533" s="7" t="s">
        <v>279</v>
      </c>
      <c r="B533" s="17" t="n">
        <f aca="false">IF($B$528=1,0,INT(ROUND($B$508*$B$518,6)))</f>
        <v>560</v>
      </c>
      <c r="C533" s="23" t="s">
        <v>280</v>
      </c>
      <c r="D533" s="9" t="n">
        <v>560</v>
      </c>
      <c r="E533" s="18" t="n">
        <f aca="false">B533-D533</f>
        <v>0</v>
      </c>
      <c r="F533" s="17" t="n">
        <f aca="false">ABS(E533)</f>
        <v>0</v>
      </c>
    </row>
    <row r="534" customFormat="false" ht="15" hidden="false" customHeight="false" outlineLevel="0" collapsed="false">
      <c r="A534" s="7" t="s">
        <v>281</v>
      </c>
      <c r="B534" s="17" t="n">
        <f aca="false">MIN($B$533,INT(ROUND($B$508*$B$516,6)))</f>
        <v>0</v>
      </c>
      <c r="C534" s="23" t="s">
        <v>282</v>
      </c>
      <c r="D534" s="7"/>
      <c r="E534" s="7"/>
      <c r="F534" s="17" t="n">
        <v>0</v>
      </c>
    </row>
    <row r="535" customFormat="false" ht="15" hidden="false" customHeight="false" outlineLevel="0" collapsed="false">
      <c r="A535" s="7" t="s">
        <v>283</v>
      </c>
      <c r="B535" s="17" t="n">
        <f aca="false">IF($B$526=1,INT(ROUND($B$529*$B$519,6)),IF($B$528=1,INT(ROUND($B$508*$B$519,6)),0))</f>
        <v>0</v>
      </c>
      <c r="C535" s="23" t="s">
        <v>284</v>
      </c>
      <c r="D535" s="7"/>
      <c r="E535" s="7"/>
      <c r="F535" s="17" t="n">
        <v>0</v>
      </c>
    </row>
    <row r="536" customFormat="false" ht="15" hidden="false" customHeight="false" outlineLevel="0" collapsed="false">
      <c r="A536" s="7" t="s">
        <v>285</v>
      </c>
      <c r="B536" s="17" t="n">
        <f aca="false">IF($B$525="merchant",MIN($B$532,MAX(0,$B$529-$B$535)),0)</f>
        <v>0</v>
      </c>
      <c r="C536" s="23" t="s">
        <v>286</v>
      </c>
      <c r="D536" s="7"/>
      <c r="E536" s="7"/>
      <c r="F536" s="17" t="n">
        <v>0</v>
      </c>
    </row>
    <row r="537" customFormat="false" ht="15" hidden="false" customHeight="false" outlineLevel="0" collapsed="false">
      <c r="A537" s="7" t="s">
        <v>287</v>
      </c>
      <c r="B537" s="17" t="n">
        <f aca="false">IF($B$525="sponsor",$B$532,0)</f>
        <v>0</v>
      </c>
      <c r="C537" s="23" t="s">
        <v>288</v>
      </c>
      <c r="D537" s="7"/>
      <c r="E537" s="7"/>
      <c r="F537" s="17" t="n">
        <v>0</v>
      </c>
    </row>
    <row r="538" customFormat="false" ht="15" hidden="false" customHeight="false" outlineLevel="0" collapsed="false">
      <c r="A538" s="7" t="s">
        <v>289</v>
      </c>
      <c r="B538" s="17" t="n">
        <f aca="false">$B$532-$B$536-$B$537</f>
        <v>2000</v>
      </c>
      <c r="C538" s="23" t="s">
        <v>290</v>
      </c>
      <c r="D538" s="7"/>
      <c r="E538" s="7"/>
      <c r="F538" s="17" t="n">
        <v>0</v>
      </c>
    </row>
    <row r="539" customFormat="false" ht="15" hidden="false" customHeight="false" outlineLevel="0" collapsed="false">
      <c r="A539" s="7" t="s">
        <v>291</v>
      </c>
      <c r="B539" s="17" t="n">
        <f aca="false">IF($B$528=1,$B$508+$B$520,$B$508+$B$520+$B$529+$B$530+$B$515-$B$532)</f>
        <v>6000</v>
      </c>
      <c r="C539" s="23" t="s">
        <v>292</v>
      </c>
      <c r="D539" s="7"/>
      <c r="E539" s="7"/>
      <c r="F539" s="17" t="n">
        <v>0</v>
      </c>
    </row>
    <row r="540" customFormat="false" ht="15" hidden="false" customHeight="false" outlineLevel="0" collapsed="false">
      <c r="A540" s="7" t="s">
        <v>293</v>
      </c>
      <c r="B540" s="17" t="n">
        <f aca="false">IF(OR($B$528=1,$B$539&lt;=0),0,IFERROR(ROUND($B$539*INDEX('Biaya PG'!$D$7:$D$20,MATCH($B$512,'Biaya PG'!$A$7:$A$20,0)),0)+INDEX('Biaya PG'!$E$7:$E$20,MATCH($B$512,'Biaya PG'!$A$7:$A$20,0)),0))</f>
        <v>0</v>
      </c>
      <c r="C540" s="23" t="s">
        <v>294</v>
      </c>
      <c r="D540" s="7"/>
      <c r="E540" s="7"/>
      <c r="F540" s="17" t="n">
        <v>0</v>
      </c>
    </row>
    <row r="541" customFormat="false" ht="15" hidden="false" customHeight="false" outlineLevel="0" collapsed="false">
      <c r="A541" s="7" t="s">
        <v>295</v>
      </c>
      <c r="B541" s="17" t="n">
        <f aca="false">IF($B$540=0,0,IF(INDEX('Biaya PG'!$F$7:$F$20,MATCH($B$512,'Biaya PG'!$A$7:$A$20,0))="Ya",0,ROUND($B$540*INDEX('Biaya PG'!$G$7:$G$20,MATCH($B$512,'Biaya PG'!$A$7:$A$20,0)),0)))</f>
        <v>0</v>
      </c>
      <c r="C541" s="23" t="s">
        <v>296</v>
      </c>
      <c r="D541" s="7"/>
      <c r="E541" s="7"/>
      <c r="F541" s="17" t="n">
        <v>0</v>
      </c>
    </row>
    <row r="542" customFormat="false" ht="15" hidden="false" customHeight="false" outlineLevel="0" collapsed="false">
      <c r="A542" s="7" t="s">
        <v>297</v>
      </c>
      <c r="B542" s="17" t="n">
        <f aca="false">IF($B$524="customer",$B$540+$B$541,0)</f>
        <v>0</v>
      </c>
      <c r="C542" s="23" t="s">
        <v>298</v>
      </c>
      <c r="D542" s="7"/>
      <c r="E542" s="7"/>
      <c r="F542" s="17" t="n">
        <v>0</v>
      </c>
    </row>
    <row r="543" customFormat="false" ht="15" hidden="false" customHeight="false" outlineLevel="0" collapsed="false">
      <c r="A543" s="6" t="s">
        <v>299</v>
      </c>
      <c r="B543" s="18" t="n">
        <f aca="false">$B$539+$B$542</f>
        <v>6000</v>
      </c>
      <c r="C543" s="23" t="s">
        <v>300</v>
      </c>
      <c r="D543" s="9" t="n">
        <v>6000</v>
      </c>
      <c r="E543" s="18" t="n">
        <f aca="false">B543-D543</f>
        <v>0</v>
      </c>
      <c r="F543" s="17" t="n">
        <f aca="false">ABS(E543)</f>
        <v>0</v>
      </c>
    </row>
    <row r="544" customFormat="false" ht="15" hidden="false" customHeight="false" outlineLevel="0" collapsed="false">
      <c r="A544" s="7" t="s">
        <v>301</v>
      </c>
      <c r="B544" s="17" t="n">
        <f aca="false">IF($B$528=1,0,$B$514)</f>
        <v>0</v>
      </c>
      <c r="C544" s="23"/>
      <c r="D544" s="7"/>
      <c r="E544" s="7"/>
      <c r="F544" s="17" t="n">
        <v>0</v>
      </c>
    </row>
    <row r="545" customFormat="false" ht="15" hidden="false" customHeight="false" outlineLevel="0" collapsed="false">
      <c r="A545" s="7" t="s">
        <v>302</v>
      </c>
      <c r="B545" s="17" t="n">
        <f aca="false">$B$543+$B$544</f>
        <v>6000</v>
      </c>
      <c r="C545" s="23" t="s">
        <v>303</v>
      </c>
      <c r="D545" s="7"/>
      <c r="E545" s="7"/>
      <c r="F545" s="17" t="n">
        <v>0</v>
      </c>
    </row>
    <row r="546" customFormat="false" ht="15" hidden="false" customHeight="false" outlineLevel="0" collapsed="false">
      <c r="A546" s="6" t="s">
        <v>304</v>
      </c>
      <c r="B546" s="18" t="n">
        <f aca="false">IF($B$528=1,0,($B$508-$B$533+$B$534)+$B$544+$B$515+$B$531)</f>
        <v>6440</v>
      </c>
      <c r="C546" s="23" t="s">
        <v>305</v>
      </c>
      <c r="D546" s="9" t="n">
        <v>6440</v>
      </c>
      <c r="E546" s="18" t="n">
        <f aca="false">B546-D546</f>
        <v>0</v>
      </c>
      <c r="F546" s="17" t="n">
        <f aca="false">ABS(E546)</f>
        <v>0</v>
      </c>
    </row>
    <row r="547" customFormat="false" ht="15" hidden="false" customHeight="false" outlineLevel="0" collapsed="false">
      <c r="A547" s="6" t="s">
        <v>211</v>
      </c>
      <c r="B547" s="18" t="n">
        <f aca="false">IF($B$526=1,$B$529-$B$535-$B$536,0)</f>
        <v>0</v>
      </c>
      <c r="C547" s="23" t="s">
        <v>306</v>
      </c>
      <c r="D547" s="9" t="n">
        <v>0</v>
      </c>
      <c r="E547" s="18" t="n">
        <f aca="false">B547-D547</f>
        <v>0</v>
      </c>
      <c r="F547" s="17" t="n">
        <f aca="false">ABS(E547)</f>
        <v>0</v>
      </c>
    </row>
    <row r="548" customFormat="false" ht="15" hidden="false" customHeight="false" outlineLevel="0" collapsed="false">
      <c r="A548" s="7" t="s">
        <v>307</v>
      </c>
      <c r="B548" s="17" t="n">
        <f aca="false">IF($B$527=1,$B$529,0)</f>
        <v>0</v>
      </c>
      <c r="C548" s="23" t="s">
        <v>308</v>
      </c>
      <c r="D548" s="9" t="n">
        <v>0</v>
      </c>
      <c r="E548" s="18" t="n">
        <f aca="false">B548-D548</f>
        <v>0</v>
      </c>
      <c r="F548" s="17" t="n">
        <f aca="false">ABS(E548)</f>
        <v>0</v>
      </c>
    </row>
    <row r="549" customFormat="false" ht="15" hidden="false" customHeight="false" outlineLevel="0" collapsed="false">
      <c r="A549" s="7" t="s">
        <v>309</v>
      </c>
      <c r="B549" s="17" t="n">
        <f aca="false">IF($B$528=1,$B$508-$B$535,0)</f>
        <v>0</v>
      </c>
      <c r="C549" s="23" t="s">
        <v>310</v>
      </c>
      <c r="D549" s="7"/>
      <c r="E549" s="7"/>
      <c r="F549" s="17" t="n">
        <v>0</v>
      </c>
    </row>
    <row r="550" customFormat="false" ht="15" hidden="false" customHeight="false" outlineLevel="0" collapsed="false">
      <c r="A550" s="7" t="s">
        <v>311</v>
      </c>
      <c r="B550" s="17" t="n">
        <f aca="false">$B$530-$B$531</f>
        <v>0</v>
      </c>
      <c r="C550" s="23" t="s">
        <v>312</v>
      </c>
      <c r="D550" s="7"/>
      <c r="E550" s="7"/>
      <c r="F550" s="17" t="n">
        <v>0</v>
      </c>
    </row>
    <row r="551" customFormat="false" ht="15" hidden="false" customHeight="false" outlineLevel="0" collapsed="false">
      <c r="A551" s="6" t="s">
        <v>212</v>
      </c>
      <c r="B551" s="18" t="n">
        <f aca="false">IF($B$528=1,$B$520+$B$535,$B$520+($B$533-$B$534)+$B$535+$B$550-$B$538)</f>
        <v>-440</v>
      </c>
      <c r="C551" s="23" t="s">
        <v>313</v>
      </c>
      <c r="D551" s="9" t="n">
        <v>-440</v>
      </c>
      <c r="E551" s="18" t="n">
        <f aca="false">B551-D551</f>
        <v>0</v>
      </c>
      <c r="F551" s="17" t="n">
        <f aca="false">ABS(E551)</f>
        <v>0</v>
      </c>
    </row>
    <row r="552" customFormat="false" ht="15" hidden="false" customHeight="false" outlineLevel="0" collapsed="false">
      <c r="A552" s="7" t="s">
        <v>314</v>
      </c>
      <c r="B552" s="17" t="n">
        <f aca="false">$B$551+$B$534</f>
        <v>-440</v>
      </c>
      <c r="C552" s="23" t="s">
        <v>315</v>
      </c>
      <c r="D552" s="7"/>
      <c r="E552" s="7"/>
      <c r="F552" s="17" t="n">
        <v>0</v>
      </c>
    </row>
    <row r="553" customFormat="false" ht="15" hidden="false" customHeight="false" outlineLevel="0" collapsed="false">
      <c r="A553" s="7" t="s">
        <v>316</v>
      </c>
      <c r="B553" s="17" t="n">
        <f aca="false">$B$540+$B$541</f>
        <v>0</v>
      </c>
      <c r="C553" s="23" t="s">
        <v>317</v>
      </c>
      <c r="D553" s="7"/>
      <c r="E553" s="7"/>
      <c r="F553" s="17" t="n">
        <v>0</v>
      </c>
    </row>
    <row r="554" customFormat="false" ht="15" hidden="false" customHeight="false" outlineLevel="0" collapsed="false">
      <c r="A554" s="7" t="s">
        <v>318</v>
      </c>
      <c r="B554" s="17" t="n">
        <f aca="false">IF($B$524="platform",$B$553,0)</f>
        <v>0</v>
      </c>
      <c r="C554" s="23" t="s">
        <v>319</v>
      </c>
      <c r="D554" s="7"/>
      <c r="E554" s="7"/>
      <c r="F554" s="17" t="n">
        <v>0</v>
      </c>
    </row>
    <row r="555" customFormat="false" ht="15" hidden="false" customHeight="false" outlineLevel="0" collapsed="false">
      <c r="A555" s="6" t="s">
        <v>320</v>
      </c>
      <c r="B555" s="18" t="n">
        <f aca="false">$B$551-$B$554</f>
        <v>-440</v>
      </c>
      <c r="C555" s="23" t="s">
        <v>321</v>
      </c>
      <c r="D555" s="7"/>
      <c r="E555" s="7"/>
      <c r="F555" s="17" t="n">
        <v>0</v>
      </c>
    </row>
    <row r="556" customFormat="false" ht="15" hidden="false" customHeight="false" outlineLevel="0" collapsed="false">
      <c r="A556" s="6" t="s">
        <v>322</v>
      </c>
      <c r="B556" s="17" t="n">
        <f aca="false">IF($B$512="cash",IF($B$528=1,$B$543-$B$549,$B$543-$B$548-$B$547-($B$546-$B$544)),0)</f>
        <v>-440</v>
      </c>
      <c r="C556" s="23" t="s">
        <v>323</v>
      </c>
      <c r="D556" s="9" t="n">
        <v>-440</v>
      </c>
      <c r="E556" s="18" t="n">
        <f aca="false">B556-D556</f>
        <v>0</v>
      </c>
      <c r="F556" s="17" t="n">
        <f aca="false">ABS(E556)</f>
        <v>0</v>
      </c>
    </row>
    <row r="557" customFormat="false" ht="15" hidden="false" customHeight="false" outlineLevel="0" collapsed="false">
      <c r="A557" s="7" t="s">
        <v>324</v>
      </c>
      <c r="B557" s="7" t="str">
        <f aca="false">IF($B$512="cash","Tunai",IF($B$512="antarpay","Saldo AntarPay","Digital (gateway)"))</f>
        <v>Tunai</v>
      </c>
      <c r="C557" s="23" t="s">
        <v>325</v>
      </c>
      <c r="D557" s="7"/>
      <c r="E557" s="7"/>
      <c r="F557" s="17" t="n">
        <v>0</v>
      </c>
    </row>
    <row r="558" customFormat="false" ht="15" hidden="false" customHeight="false" outlineLevel="0" collapsed="false">
      <c r="A558" s="7" t="s">
        <v>326</v>
      </c>
      <c r="B558" s="26" t="n">
        <f aca="false">IF($B$553=0,0,IFERROR(IF(AND($B$512="bank_transfer",OR($B$513="bsi",$B$513="seabank")),INDEX('Biaya PG'!$I$7:$I$20,MATCH($B$512,'Biaya PG'!$A$7:$A$20,0)),INDEX('Biaya PG'!$H$7:$H$20,MATCH($B$512,'Biaya PG'!$A$7:$A$20,0))),0))</f>
        <v>0</v>
      </c>
      <c r="C558" s="23" t="s">
        <v>327</v>
      </c>
      <c r="D558" s="7"/>
      <c r="E558" s="7"/>
      <c r="F558" s="17" t="n">
        <v>0</v>
      </c>
    </row>
    <row r="559" customFormat="false" ht="15" hidden="false" customHeight="false" outlineLevel="0" collapsed="false">
      <c r="A559" s="7" t="s">
        <v>328</v>
      </c>
      <c r="B559" s="17" t="n">
        <f aca="false">IF($B$528=1,$B$508,$B$529+$B$508)</f>
        <v>7000</v>
      </c>
      <c r="C559" s="23" t="s">
        <v>329</v>
      </c>
      <c r="D559" s="7"/>
      <c r="E559" s="7"/>
      <c r="F559" s="17" t="n">
        <v>0</v>
      </c>
    </row>
    <row r="560" customFormat="false" ht="15" hidden="false" customHeight="false" outlineLevel="0" collapsed="false">
      <c r="A560" s="7" t="s">
        <v>330</v>
      </c>
      <c r="B560" s="20" t="n">
        <f aca="false">IF($B$559&gt;0,$B$552/$B$559,0)</f>
        <v>-0.0628571428571429</v>
      </c>
      <c r="C560" s="23" t="s">
        <v>331</v>
      </c>
      <c r="D560" s="7"/>
      <c r="E560" s="7"/>
      <c r="F560" s="17" t="n">
        <v>0</v>
      </c>
    </row>
    <row r="561" customFormat="false" ht="15" hidden="false" customHeight="false" outlineLevel="0" collapsed="false">
      <c r="A561" s="7" t="s">
        <v>207</v>
      </c>
      <c r="B561" s="20" t="n">
        <f aca="false">IF(AND($B$508&gt;0,$B$528=0),($B$508-$B$533+$B$534)/$B$508,0)</f>
        <v>0.92</v>
      </c>
      <c r="C561" s="23" t="s">
        <v>332</v>
      </c>
      <c r="D561" s="7"/>
      <c r="E561" s="7"/>
      <c r="F561" s="17" t="n">
        <v>0</v>
      </c>
    </row>
    <row r="562" customFormat="false" ht="15" hidden="false" customHeight="false" outlineLevel="0" collapsed="false">
      <c r="A562" s="6" t="s">
        <v>333</v>
      </c>
      <c r="B562" s="17" t="n">
        <f aca="false">$B$545+$B$537-($B$546+$B$547+$B$548+$B$549+$B$551+$B$542)</f>
        <v>0</v>
      </c>
      <c r="C562" s="23" t="s">
        <v>334</v>
      </c>
      <c r="D562" s="7"/>
      <c r="E562" s="7"/>
      <c r="F562" s="17" t="n">
        <v>0</v>
      </c>
    </row>
    <row r="563" customFormat="false" ht="15" hidden="false" customHeight="false" outlineLevel="0" collapsed="false">
      <c r="A563" s="2" t="s">
        <v>350</v>
      </c>
    </row>
    <row r="565" customFormat="false" ht="15" hidden="false" customHeight="false" outlineLevel="0" collapsed="false">
      <c r="A565" s="3" t="s">
        <v>222</v>
      </c>
      <c r="B565" s="4"/>
      <c r="C565" s="4"/>
      <c r="D565" s="4"/>
      <c r="E565" s="4"/>
      <c r="F565" s="4"/>
    </row>
    <row r="566" customFormat="false" ht="15" hidden="false" customHeight="false" outlineLevel="0" collapsed="false">
      <c r="A566" s="5" t="s">
        <v>229</v>
      </c>
      <c r="B566" s="5" t="s">
        <v>52</v>
      </c>
      <c r="C566" s="5" t="s">
        <v>230</v>
      </c>
      <c r="D566" s="5" t="s">
        <v>231</v>
      </c>
      <c r="E566" s="5" t="s">
        <v>232</v>
      </c>
      <c r="F566" s="5" t="s">
        <v>233</v>
      </c>
    </row>
    <row r="567" customFormat="false" ht="15" hidden="false" customHeight="false" outlineLevel="0" collapsed="false">
      <c r="A567" s="7" t="s">
        <v>3</v>
      </c>
      <c r="B567" s="6" t="s">
        <v>26</v>
      </c>
      <c r="C567" s="23" t="s">
        <v>234</v>
      </c>
      <c r="D567" s="7"/>
      <c r="E567" s="7"/>
      <c r="F567" s="17" t="n">
        <v>0</v>
      </c>
    </row>
    <row r="568" customFormat="false" ht="15" hidden="false" customHeight="false" outlineLevel="0" collapsed="false">
      <c r="A568" s="7" t="s">
        <v>235</v>
      </c>
      <c r="B568" s="9" t="n">
        <v>8000</v>
      </c>
      <c r="C568" s="23" t="s">
        <v>236</v>
      </c>
      <c r="D568" s="7"/>
      <c r="E568" s="7"/>
      <c r="F568" s="17" t="n">
        <v>0</v>
      </c>
    </row>
    <row r="569" customFormat="false" ht="15" hidden="false" customHeight="false" outlineLevel="0" collapsed="false">
      <c r="A569" s="7" t="s">
        <v>237</v>
      </c>
      <c r="B569" s="9" t="n">
        <v>60000</v>
      </c>
      <c r="C569" s="23" t="s">
        <v>238</v>
      </c>
      <c r="D569" s="7"/>
      <c r="E569" s="7"/>
      <c r="F569" s="17" t="n">
        <v>0</v>
      </c>
    </row>
    <row r="570" customFormat="false" ht="15" hidden="false" customHeight="false" outlineLevel="0" collapsed="false">
      <c r="A570" s="7" t="s">
        <v>239</v>
      </c>
      <c r="B570" s="9" t="n">
        <v>5000</v>
      </c>
      <c r="C570" s="23" t="s">
        <v>240</v>
      </c>
      <c r="D570" s="7"/>
      <c r="E570" s="7"/>
      <c r="F570" s="17" t="n">
        <v>0</v>
      </c>
    </row>
    <row r="571" customFormat="false" ht="15" hidden="false" customHeight="false" outlineLevel="0" collapsed="false">
      <c r="A571" s="7" t="s">
        <v>241</v>
      </c>
      <c r="B571" s="10" t="s">
        <v>351</v>
      </c>
      <c r="C571" s="23" t="s">
        <v>242</v>
      </c>
      <c r="D571" s="7"/>
      <c r="E571" s="7"/>
      <c r="F571" s="17" t="n">
        <v>0</v>
      </c>
    </row>
    <row r="572" customFormat="false" ht="15" hidden="false" customHeight="false" outlineLevel="0" collapsed="false">
      <c r="A572" s="7" t="s">
        <v>243</v>
      </c>
      <c r="B572" s="10" t="s">
        <v>192</v>
      </c>
      <c r="C572" s="23" t="s">
        <v>244</v>
      </c>
      <c r="D572" s="7"/>
      <c r="E572" s="7"/>
      <c r="F572" s="17" t="n">
        <v>0</v>
      </c>
    </row>
    <row r="573" customFormat="false" ht="15" hidden="false" customHeight="false" outlineLevel="0" collapsed="false">
      <c r="A573" s="7" t="s">
        <v>245</v>
      </c>
      <c r="B573" s="10"/>
      <c r="C573" s="23" t="s">
        <v>246</v>
      </c>
      <c r="D573" s="7"/>
      <c r="E573" s="7"/>
      <c r="F573" s="17" t="n">
        <v>0</v>
      </c>
    </row>
    <row r="574" customFormat="false" ht="15" hidden="false" customHeight="false" outlineLevel="0" collapsed="false">
      <c r="A574" s="7" t="s">
        <v>247</v>
      </c>
      <c r="B574" s="9" t="n">
        <v>0</v>
      </c>
      <c r="C574" s="23" t="s">
        <v>248</v>
      </c>
      <c r="D574" s="7"/>
      <c r="E574" s="7"/>
      <c r="F574" s="17" t="n">
        <v>0</v>
      </c>
    </row>
    <row r="575" customFormat="false" ht="15" hidden="false" customHeight="false" outlineLevel="0" collapsed="false">
      <c r="A575" s="7" t="s">
        <v>249</v>
      </c>
      <c r="B575" s="9" t="n">
        <v>0</v>
      </c>
      <c r="C575" s="23" t="s">
        <v>250</v>
      </c>
      <c r="D575" s="7"/>
      <c r="E575" s="7"/>
      <c r="F575" s="17" t="n">
        <v>0</v>
      </c>
    </row>
    <row r="576" customFormat="false" ht="15" hidden="false" customHeight="false" outlineLevel="0" collapsed="false">
      <c r="A576" s="7" t="s">
        <v>251</v>
      </c>
      <c r="B576" s="8" t="n">
        <v>0</v>
      </c>
      <c r="C576" s="23" t="s">
        <v>252</v>
      </c>
      <c r="D576" s="7"/>
      <c r="E576" s="7"/>
      <c r="F576" s="17" t="n">
        <v>0</v>
      </c>
    </row>
    <row r="577" customFormat="false" ht="15" hidden="false" customHeight="false" outlineLevel="0" collapsed="false">
      <c r="A577" s="7" t="s">
        <v>253</v>
      </c>
      <c r="B577" s="10"/>
      <c r="C577" s="23" t="s">
        <v>254</v>
      </c>
      <c r="D577" s="7"/>
      <c r="E577" s="7"/>
      <c r="F577" s="17" t="n">
        <v>0</v>
      </c>
    </row>
    <row r="578" customFormat="false" ht="15" hidden="false" customHeight="false" outlineLevel="0" collapsed="false">
      <c r="A578" s="7" t="s">
        <v>255</v>
      </c>
      <c r="B578" s="20" t="n">
        <f aca="false">INDEX(Asumsi!$C$6:$C$13,MATCH($B$567,Asumsi!$A$6:$A$13,0))</f>
        <v>0</v>
      </c>
      <c r="C578" s="23" t="s">
        <v>256</v>
      </c>
      <c r="D578" s="7"/>
      <c r="E578" s="7"/>
      <c r="F578" s="17" t="n">
        <v>0</v>
      </c>
    </row>
    <row r="579" customFormat="false" ht="15" hidden="false" customHeight="false" outlineLevel="0" collapsed="false">
      <c r="A579" s="7" t="s">
        <v>6</v>
      </c>
      <c r="B579" s="20" t="n">
        <f aca="false">INDEX(Asumsi!$D$6:$D$13,MATCH($B$567,Asumsi!$A$6:$A$13,0))</f>
        <v>0.15</v>
      </c>
      <c r="C579" s="23" t="s">
        <v>257</v>
      </c>
      <c r="D579" s="7"/>
      <c r="E579" s="7"/>
      <c r="F579" s="17" t="n">
        <v>0</v>
      </c>
    </row>
    <row r="580" customFormat="false" ht="15" hidden="false" customHeight="false" outlineLevel="0" collapsed="false">
      <c r="A580" s="7" t="s">
        <v>258</v>
      </c>
      <c r="B580" s="17" t="n">
        <f aca="false">INDEX(Asumsi!$E$6:$E$13,MATCH($B$567,Asumsi!$A$6:$A$13,0))</f>
        <v>2000</v>
      </c>
      <c r="C580" s="23" t="s">
        <v>259</v>
      </c>
      <c r="D580" s="7"/>
      <c r="E580" s="7"/>
      <c r="F580" s="17" t="n">
        <v>0</v>
      </c>
    </row>
    <row r="581" customFormat="false" ht="15" hidden="false" customHeight="false" outlineLevel="0" collapsed="false">
      <c r="A581" s="7" t="s">
        <v>8</v>
      </c>
      <c r="B581" s="20" t="n">
        <f aca="false">INDEX(Asumsi!$F$6:$F$13,MATCH($B$567,Asumsi!$A$6:$A$13,0))</f>
        <v>0</v>
      </c>
      <c r="C581" s="23" t="s">
        <v>260</v>
      </c>
      <c r="D581" s="7"/>
      <c r="E581" s="7"/>
      <c r="F581" s="17" t="n">
        <v>0</v>
      </c>
    </row>
    <row r="582" customFormat="false" ht="15" hidden="false" customHeight="false" outlineLevel="0" collapsed="false">
      <c r="A582" s="7" t="s">
        <v>9</v>
      </c>
      <c r="B582" s="17" t="n">
        <f aca="false">INDEX(Asumsi!$G$6:$G$13,MATCH($B$567,Asumsi!$A$6:$A$13,0))</f>
        <v>0</v>
      </c>
      <c r="C582" s="23" t="s">
        <v>261</v>
      </c>
      <c r="D582" s="7"/>
      <c r="E582" s="7"/>
      <c r="F582" s="17" t="n">
        <v>0</v>
      </c>
    </row>
    <row r="583" customFormat="false" ht="15" hidden="false" customHeight="false" outlineLevel="0" collapsed="false">
      <c r="A583" s="7" t="s">
        <v>262</v>
      </c>
      <c r="B583" s="20" t="n">
        <f aca="false">INDEX(Asumsi!$H$6:$H$13,MATCH($B$567,Asumsi!$A$6:$A$13,0))</f>
        <v>0</v>
      </c>
      <c r="C583" s="23" t="s">
        <v>263</v>
      </c>
      <c r="D583" s="7"/>
      <c r="E583" s="7"/>
      <c r="F583" s="17" t="n">
        <v>0</v>
      </c>
    </row>
    <row r="584" customFormat="false" ht="15" hidden="false" customHeight="false" outlineLevel="0" collapsed="false">
      <c r="A584" s="7" t="s">
        <v>264</v>
      </c>
      <c r="B584" s="7" t="str">
        <f aca="false">IF($B$577="",INDEX(Asumsi!$I$6:$I$13,MATCH($B$567,Asumsi!$A$6:$A$13,0)),$B$577)</f>
        <v>platform</v>
      </c>
      <c r="C584" s="23" t="s">
        <v>265</v>
      </c>
      <c r="D584" s="7"/>
      <c r="E584" s="7"/>
      <c r="F584" s="17" t="n">
        <v>0</v>
      </c>
    </row>
    <row r="585" customFormat="false" ht="15" hidden="false" customHeight="false" outlineLevel="0" collapsed="false">
      <c r="A585" s="7" t="s">
        <v>266</v>
      </c>
      <c r="B585" s="7" t="str">
        <f aca="false">IF(AND(IF($B$571="",INDEX(Asumsi!$J$6:$J$13,MATCH($B$567,Asumsi!$A$6:$A$13,0)),$B$571)="merchant",$B$567&lt;&gt;"food"),"platform",IF($B$571="",INDEX(Asumsi!$J$6:$J$13,MATCH($B$567,Asumsi!$A$6:$A$13,0)),$B$571))</f>
        <v>merchant</v>
      </c>
      <c r="C585" s="23" t="s">
        <v>267</v>
      </c>
      <c r="D585" s="7"/>
      <c r="E585" s="7"/>
      <c r="F585" s="17" t="n">
        <v>0</v>
      </c>
    </row>
    <row r="586" customFormat="false" ht="15" hidden="false" customHeight="false" outlineLevel="0" collapsed="false">
      <c r="A586" s="7" t="s">
        <v>268</v>
      </c>
      <c r="B586" s="26" t="n">
        <f aca="false">IF($B$567="food",1,0)</f>
        <v>1</v>
      </c>
      <c r="C586" s="23"/>
      <c r="D586" s="7"/>
      <c r="E586" s="7"/>
      <c r="F586" s="17" t="n">
        <v>0</v>
      </c>
    </row>
    <row r="587" customFormat="false" ht="15" hidden="false" customHeight="false" outlineLevel="0" collapsed="false">
      <c r="A587" s="7" t="s">
        <v>269</v>
      </c>
      <c r="B587" s="26" t="n">
        <f aca="false">IF(OR($B$567="shop",$B$567="market"),1,0)</f>
        <v>0</v>
      </c>
      <c r="C587" s="23"/>
      <c r="D587" s="7"/>
      <c r="E587" s="7"/>
      <c r="F587" s="17" t="n">
        <v>0</v>
      </c>
    </row>
    <row r="588" customFormat="false" ht="15" hidden="false" customHeight="false" outlineLevel="0" collapsed="false">
      <c r="A588" s="7" t="s">
        <v>270</v>
      </c>
      <c r="B588" s="26" t="n">
        <f aca="false">IF($B$567="travel",1,0)</f>
        <v>0</v>
      </c>
      <c r="C588" s="23"/>
      <c r="D588" s="7"/>
      <c r="E588" s="7"/>
      <c r="F588" s="17" t="n">
        <v>0</v>
      </c>
    </row>
    <row r="589" customFormat="false" ht="15" hidden="false" customHeight="false" outlineLevel="0" collapsed="false">
      <c r="A589" s="7" t="s">
        <v>271</v>
      </c>
      <c r="B589" s="17" t="n">
        <f aca="false">IF($B$586+$B$587&gt;0,$B$569,0)</f>
        <v>60000</v>
      </c>
      <c r="C589" s="23" t="s">
        <v>272</v>
      </c>
      <c r="D589" s="7"/>
      <c r="E589" s="7"/>
      <c r="F589" s="17" t="n">
        <v>0</v>
      </c>
    </row>
    <row r="590" customFormat="false" ht="15" hidden="false" customHeight="false" outlineLevel="0" collapsed="false">
      <c r="A590" s="7" t="s">
        <v>273</v>
      </c>
      <c r="B590" s="17" t="n">
        <f aca="false">IF($B$587=1,MAX($B$582,INT(ROUND($B$589*$B$581,6))),0)</f>
        <v>0</v>
      </c>
      <c r="C590" s="23" t="s">
        <v>274</v>
      </c>
      <c r="D590" s="7"/>
      <c r="E590" s="7"/>
      <c r="F590" s="17" t="n">
        <v>0</v>
      </c>
    </row>
    <row r="591" customFormat="false" ht="15" hidden="false" customHeight="false" outlineLevel="0" collapsed="false">
      <c r="A591" s="7" t="s">
        <v>275</v>
      </c>
      <c r="B591" s="17" t="n">
        <f aca="false">INT(ROUND($B$590*$B$583,6))</f>
        <v>0</v>
      </c>
      <c r="C591" s="23" t="s">
        <v>276</v>
      </c>
      <c r="D591" s="7"/>
      <c r="E591" s="7"/>
      <c r="F591" s="17" t="n">
        <v>0</v>
      </c>
    </row>
    <row r="592" customFormat="false" ht="15" hidden="false" customHeight="false" outlineLevel="0" collapsed="false">
      <c r="A592" s="7" t="s">
        <v>277</v>
      </c>
      <c r="B592" s="17" t="n">
        <f aca="false">IF($B$588=1,0,MIN($B$570,$B$568+$B$586*$B$589))</f>
        <v>5000</v>
      </c>
      <c r="C592" s="23" t="s">
        <v>278</v>
      </c>
      <c r="D592" s="9" t="n">
        <v>5000</v>
      </c>
      <c r="E592" s="18" t="n">
        <f aca="false">B592-D592</f>
        <v>0</v>
      </c>
      <c r="F592" s="17" t="n">
        <f aca="false">ABS(E592)</f>
        <v>0</v>
      </c>
    </row>
    <row r="593" customFormat="false" ht="15" hidden="false" customHeight="false" outlineLevel="0" collapsed="false">
      <c r="A593" s="7" t="s">
        <v>279</v>
      </c>
      <c r="B593" s="17" t="n">
        <f aca="false">IF($B$588=1,0,INT(ROUND($B$568*$B$578,6)))</f>
        <v>0</v>
      </c>
      <c r="C593" s="23" t="s">
        <v>280</v>
      </c>
      <c r="D593" s="7"/>
      <c r="E593" s="7"/>
      <c r="F593" s="17" t="n">
        <v>0</v>
      </c>
    </row>
    <row r="594" customFormat="false" ht="15" hidden="false" customHeight="false" outlineLevel="0" collapsed="false">
      <c r="A594" s="7" t="s">
        <v>281</v>
      </c>
      <c r="B594" s="17" t="n">
        <f aca="false">MIN($B$593,INT(ROUND($B$568*$B$576,6)))</f>
        <v>0</v>
      </c>
      <c r="C594" s="23" t="s">
        <v>282</v>
      </c>
      <c r="D594" s="7"/>
      <c r="E594" s="7"/>
      <c r="F594" s="17" t="n">
        <v>0</v>
      </c>
    </row>
    <row r="595" customFormat="false" ht="15" hidden="false" customHeight="false" outlineLevel="0" collapsed="false">
      <c r="A595" s="7" t="s">
        <v>283</v>
      </c>
      <c r="B595" s="17" t="n">
        <f aca="false">IF($B$586=1,INT(ROUND($B$589*$B$579,6)),IF($B$588=1,INT(ROUND($B$568*$B$579,6)),0))</f>
        <v>9000</v>
      </c>
      <c r="C595" s="23" t="s">
        <v>284</v>
      </c>
      <c r="D595" s="9" t="n">
        <v>9000</v>
      </c>
      <c r="E595" s="18" t="n">
        <f aca="false">B595-D595</f>
        <v>0</v>
      </c>
      <c r="F595" s="17" t="n">
        <f aca="false">ABS(E595)</f>
        <v>0</v>
      </c>
    </row>
    <row r="596" customFormat="false" ht="15" hidden="false" customHeight="false" outlineLevel="0" collapsed="false">
      <c r="A596" s="7" t="s">
        <v>285</v>
      </c>
      <c r="B596" s="17" t="n">
        <f aca="false">IF($B$585="merchant",MIN($B$592,MAX(0,$B$589-$B$595)),0)</f>
        <v>5000</v>
      </c>
      <c r="C596" s="23" t="s">
        <v>286</v>
      </c>
      <c r="D596" s="7"/>
      <c r="E596" s="7"/>
      <c r="F596" s="17" t="n">
        <v>0</v>
      </c>
    </row>
    <row r="597" customFormat="false" ht="15" hidden="false" customHeight="false" outlineLevel="0" collapsed="false">
      <c r="A597" s="7" t="s">
        <v>287</v>
      </c>
      <c r="B597" s="17" t="n">
        <f aca="false">IF($B$585="sponsor",$B$592,0)</f>
        <v>0</v>
      </c>
      <c r="C597" s="23" t="s">
        <v>288</v>
      </c>
      <c r="D597" s="7"/>
      <c r="E597" s="7"/>
      <c r="F597" s="17" t="n">
        <v>0</v>
      </c>
    </row>
    <row r="598" customFormat="false" ht="15" hidden="false" customHeight="false" outlineLevel="0" collapsed="false">
      <c r="A598" s="7" t="s">
        <v>289</v>
      </c>
      <c r="B598" s="17" t="n">
        <f aca="false">$B$592-$B$596-$B$597</f>
        <v>0</v>
      </c>
      <c r="C598" s="23" t="s">
        <v>290</v>
      </c>
      <c r="D598" s="7"/>
      <c r="E598" s="7"/>
      <c r="F598" s="17" t="n">
        <v>0</v>
      </c>
    </row>
    <row r="599" customFormat="false" ht="15" hidden="false" customHeight="false" outlineLevel="0" collapsed="false">
      <c r="A599" s="7" t="s">
        <v>291</v>
      </c>
      <c r="B599" s="17" t="n">
        <f aca="false">IF($B$588=1,$B$568+$B$580,$B$568+$B$580+$B$589+$B$590+$B$575-$B$592)</f>
        <v>65000</v>
      </c>
      <c r="C599" s="23" t="s">
        <v>292</v>
      </c>
      <c r="D599" s="7"/>
      <c r="E599" s="7"/>
      <c r="F599" s="17" t="n">
        <v>0</v>
      </c>
    </row>
    <row r="600" customFormat="false" ht="15" hidden="false" customHeight="false" outlineLevel="0" collapsed="false">
      <c r="A600" s="7" t="s">
        <v>293</v>
      </c>
      <c r="B600" s="17" t="n">
        <f aca="false">IF(OR($B$588=1,$B$599&lt;=0),0,IFERROR(ROUND($B$599*INDEX('Biaya PG'!$D$7:$D$20,MATCH($B$572,'Biaya PG'!$A$7:$A$20,0)),0)+INDEX('Biaya PG'!$E$7:$E$20,MATCH($B$572,'Biaya PG'!$A$7:$A$20,0)),0))</f>
        <v>0</v>
      </c>
      <c r="C600" s="23" t="s">
        <v>294</v>
      </c>
      <c r="D600" s="7"/>
      <c r="E600" s="7"/>
      <c r="F600" s="17" t="n">
        <v>0</v>
      </c>
    </row>
    <row r="601" customFormat="false" ht="15" hidden="false" customHeight="false" outlineLevel="0" collapsed="false">
      <c r="A601" s="7" t="s">
        <v>295</v>
      </c>
      <c r="B601" s="17" t="n">
        <f aca="false">IF($B$600=0,0,IF(INDEX('Biaya PG'!$F$7:$F$20,MATCH($B$572,'Biaya PG'!$A$7:$A$20,0))="Ya",0,ROUND($B$600*INDEX('Biaya PG'!$G$7:$G$20,MATCH($B$572,'Biaya PG'!$A$7:$A$20,0)),0)))</f>
        <v>0</v>
      </c>
      <c r="C601" s="23" t="s">
        <v>296</v>
      </c>
      <c r="D601" s="7"/>
      <c r="E601" s="7"/>
      <c r="F601" s="17" t="n">
        <v>0</v>
      </c>
    </row>
    <row r="602" customFormat="false" ht="15" hidden="false" customHeight="false" outlineLevel="0" collapsed="false">
      <c r="A602" s="7" t="s">
        <v>297</v>
      </c>
      <c r="B602" s="17" t="n">
        <f aca="false">IF($B$584="customer",$B$600+$B$601,0)</f>
        <v>0</v>
      </c>
      <c r="C602" s="23" t="s">
        <v>298</v>
      </c>
      <c r="D602" s="7"/>
      <c r="E602" s="7"/>
      <c r="F602" s="17" t="n">
        <v>0</v>
      </c>
    </row>
    <row r="603" customFormat="false" ht="15" hidden="false" customHeight="false" outlineLevel="0" collapsed="false">
      <c r="A603" s="6" t="s">
        <v>299</v>
      </c>
      <c r="B603" s="18" t="n">
        <f aca="false">$B$599+$B$602</f>
        <v>65000</v>
      </c>
      <c r="C603" s="23" t="s">
        <v>300</v>
      </c>
      <c r="D603" s="9" t="n">
        <v>65000</v>
      </c>
      <c r="E603" s="18" t="n">
        <f aca="false">B603-D603</f>
        <v>0</v>
      </c>
      <c r="F603" s="17" t="n">
        <f aca="false">ABS(E603)</f>
        <v>0</v>
      </c>
    </row>
    <row r="604" customFormat="false" ht="15" hidden="false" customHeight="false" outlineLevel="0" collapsed="false">
      <c r="A604" s="7" t="s">
        <v>301</v>
      </c>
      <c r="B604" s="17" t="n">
        <f aca="false">IF($B$588=1,0,$B$574)</f>
        <v>0</v>
      </c>
      <c r="C604" s="23"/>
      <c r="D604" s="7"/>
      <c r="E604" s="7"/>
      <c r="F604" s="17" t="n">
        <v>0</v>
      </c>
    </row>
    <row r="605" customFormat="false" ht="15" hidden="false" customHeight="false" outlineLevel="0" collapsed="false">
      <c r="A605" s="7" t="s">
        <v>302</v>
      </c>
      <c r="B605" s="17" t="n">
        <f aca="false">$B$603+$B$604</f>
        <v>65000</v>
      </c>
      <c r="C605" s="23" t="s">
        <v>303</v>
      </c>
      <c r="D605" s="7"/>
      <c r="E605" s="7"/>
      <c r="F605" s="17" t="n">
        <v>0</v>
      </c>
    </row>
    <row r="606" customFormat="false" ht="15" hidden="false" customHeight="false" outlineLevel="0" collapsed="false">
      <c r="A606" s="6" t="s">
        <v>304</v>
      </c>
      <c r="B606" s="18" t="n">
        <f aca="false">IF($B$588=1,0,($B$568-$B$593+$B$594)+$B$604+$B$575+$B$591)</f>
        <v>8000</v>
      </c>
      <c r="C606" s="23" t="s">
        <v>305</v>
      </c>
      <c r="D606" s="9" t="n">
        <v>8000</v>
      </c>
      <c r="E606" s="18" t="n">
        <f aca="false">B606-D606</f>
        <v>0</v>
      </c>
      <c r="F606" s="17" t="n">
        <f aca="false">ABS(E606)</f>
        <v>0</v>
      </c>
    </row>
    <row r="607" customFormat="false" ht="15" hidden="false" customHeight="false" outlineLevel="0" collapsed="false">
      <c r="A607" s="6" t="s">
        <v>211</v>
      </c>
      <c r="B607" s="18" t="n">
        <f aca="false">IF($B$586=1,$B$589-$B$595-$B$596,0)</f>
        <v>46000</v>
      </c>
      <c r="C607" s="23" t="s">
        <v>306</v>
      </c>
      <c r="D607" s="9" t="n">
        <v>46000</v>
      </c>
      <c r="E607" s="18" t="n">
        <f aca="false">B607-D607</f>
        <v>0</v>
      </c>
      <c r="F607" s="17" t="n">
        <f aca="false">ABS(E607)</f>
        <v>0</v>
      </c>
    </row>
    <row r="608" customFormat="false" ht="15" hidden="false" customHeight="false" outlineLevel="0" collapsed="false">
      <c r="A608" s="7" t="s">
        <v>307</v>
      </c>
      <c r="B608" s="17" t="n">
        <f aca="false">IF($B$587=1,$B$589,0)</f>
        <v>0</v>
      </c>
      <c r="C608" s="23" t="s">
        <v>308</v>
      </c>
      <c r="D608" s="9" t="n">
        <v>0</v>
      </c>
      <c r="E608" s="18" t="n">
        <f aca="false">B608-D608</f>
        <v>0</v>
      </c>
      <c r="F608" s="17" t="n">
        <f aca="false">ABS(E608)</f>
        <v>0</v>
      </c>
    </row>
    <row r="609" customFormat="false" ht="15" hidden="false" customHeight="false" outlineLevel="0" collapsed="false">
      <c r="A609" s="7" t="s">
        <v>309</v>
      </c>
      <c r="B609" s="17" t="n">
        <f aca="false">IF($B$588=1,$B$568-$B$595,0)</f>
        <v>0</v>
      </c>
      <c r="C609" s="23" t="s">
        <v>310</v>
      </c>
      <c r="D609" s="7"/>
      <c r="E609" s="7"/>
      <c r="F609" s="17" t="n">
        <v>0</v>
      </c>
    </row>
    <row r="610" customFormat="false" ht="15" hidden="false" customHeight="false" outlineLevel="0" collapsed="false">
      <c r="A610" s="7" t="s">
        <v>311</v>
      </c>
      <c r="B610" s="17" t="n">
        <f aca="false">$B$590-$B$591</f>
        <v>0</v>
      </c>
      <c r="C610" s="23" t="s">
        <v>312</v>
      </c>
      <c r="D610" s="7"/>
      <c r="E610" s="7"/>
      <c r="F610" s="17" t="n">
        <v>0</v>
      </c>
    </row>
    <row r="611" customFormat="false" ht="15" hidden="false" customHeight="false" outlineLevel="0" collapsed="false">
      <c r="A611" s="6" t="s">
        <v>212</v>
      </c>
      <c r="B611" s="18" t="n">
        <f aca="false">IF($B$588=1,$B$580+$B$595,$B$580+($B$593-$B$594)+$B$595+$B$610-$B$598)</f>
        <v>11000</v>
      </c>
      <c r="C611" s="23" t="s">
        <v>313</v>
      </c>
      <c r="D611" s="9" t="n">
        <v>11000</v>
      </c>
      <c r="E611" s="18" t="n">
        <f aca="false">B611-D611</f>
        <v>0</v>
      </c>
      <c r="F611" s="17" t="n">
        <f aca="false">ABS(E611)</f>
        <v>0</v>
      </c>
    </row>
    <row r="612" customFormat="false" ht="15" hidden="false" customHeight="false" outlineLevel="0" collapsed="false">
      <c r="A612" s="7" t="s">
        <v>314</v>
      </c>
      <c r="B612" s="17" t="n">
        <f aca="false">$B$611+$B$594</f>
        <v>11000</v>
      </c>
      <c r="C612" s="23" t="s">
        <v>315</v>
      </c>
      <c r="D612" s="7"/>
      <c r="E612" s="7"/>
      <c r="F612" s="17" t="n">
        <v>0</v>
      </c>
    </row>
    <row r="613" customFormat="false" ht="15" hidden="false" customHeight="false" outlineLevel="0" collapsed="false">
      <c r="A613" s="7" t="s">
        <v>316</v>
      </c>
      <c r="B613" s="17" t="n">
        <f aca="false">$B$600+$B$601</f>
        <v>0</v>
      </c>
      <c r="C613" s="23" t="s">
        <v>317</v>
      </c>
      <c r="D613" s="7"/>
      <c r="E613" s="7"/>
      <c r="F613" s="17" t="n">
        <v>0</v>
      </c>
    </row>
    <row r="614" customFormat="false" ht="15" hidden="false" customHeight="false" outlineLevel="0" collapsed="false">
      <c r="A614" s="7" t="s">
        <v>318</v>
      </c>
      <c r="B614" s="17" t="n">
        <f aca="false">IF($B$584="platform",$B$613,0)</f>
        <v>0</v>
      </c>
      <c r="C614" s="23" t="s">
        <v>319</v>
      </c>
      <c r="D614" s="7"/>
      <c r="E614" s="7"/>
      <c r="F614" s="17" t="n">
        <v>0</v>
      </c>
    </row>
    <row r="615" customFormat="false" ht="15" hidden="false" customHeight="false" outlineLevel="0" collapsed="false">
      <c r="A615" s="6" t="s">
        <v>320</v>
      </c>
      <c r="B615" s="18" t="n">
        <f aca="false">$B$611-$B$614</f>
        <v>11000</v>
      </c>
      <c r="C615" s="23" t="s">
        <v>321</v>
      </c>
      <c r="D615" s="7"/>
      <c r="E615" s="7"/>
      <c r="F615" s="17" t="n">
        <v>0</v>
      </c>
    </row>
    <row r="616" customFormat="false" ht="15" hidden="false" customHeight="false" outlineLevel="0" collapsed="false">
      <c r="A616" s="6" t="s">
        <v>322</v>
      </c>
      <c r="B616" s="17" t="n">
        <f aca="false">IF($B$572="cash",IF($B$588=1,$B$603-$B$609,$B$603-$B$608-$B$607-($B$606-$B$604)),0)</f>
        <v>0</v>
      </c>
      <c r="C616" s="23" t="s">
        <v>323</v>
      </c>
      <c r="D616" s="9" t="n">
        <v>0</v>
      </c>
      <c r="E616" s="18" t="n">
        <f aca="false">B616-D616</f>
        <v>0</v>
      </c>
      <c r="F616" s="17" t="n">
        <f aca="false">ABS(E616)</f>
        <v>0</v>
      </c>
    </row>
    <row r="617" customFormat="false" ht="15" hidden="false" customHeight="false" outlineLevel="0" collapsed="false">
      <c r="A617" s="7" t="s">
        <v>324</v>
      </c>
      <c r="B617" s="7" t="str">
        <f aca="false">IF($B$572="cash","Tunai",IF($B$572="antarpay","Saldo AntarPay","Digital (gateway)"))</f>
        <v>Saldo AntarPay</v>
      </c>
      <c r="C617" s="23" t="s">
        <v>325</v>
      </c>
      <c r="D617" s="7"/>
      <c r="E617" s="7"/>
      <c r="F617" s="17" t="n">
        <v>0</v>
      </c>
    </row>
    <row r="618" customFormat="false" ht="15" hidden="false" customHeight="false" outlineLevel="0" collapsed="false">
      <c r="A618" s="7" t="s">
        <v>326</v>
      </c>
      <c r="B618" s="26" t="n">
        <f aca="false">IF($B$613=0,0,IFERROR(IF(AND($B$572="bank_transfer",OR($B$573="bsi",$B$573="seabank")),INDEX('Biaya PG'!$I$7:$I$20,MATCH($B$572,'Biaya PG'!$A$7:$A$20,0)),INDEX('Biaya PG'!$H$7:$H$20,MATCH($B$572,'Biaya PG'!$A$7:$A$20,0))),0))</f>
        <v>0</v>
      </c>
      <c r="C618" s="23" t="s">
        <v>327</v>
      </c>
      <c r="D618" s="7"/>
      <c r="E618" s="7"/>
      <c r="F618" s="17" t="n">
        <v>0</v>
      </c>
    </row>
    <row r="619" customFormat="false" ht="15" hidden="false" customHeight="false" outlineLevel="0" collapsed="false">
      <c r="A619" s="7" t="s">
        <v>328</v>
      </c>
      <c r="B619" s="17" t="n">
        <f aca="false">IF($B$588=1,$B$568,$B$589+$B$568)</f>
        <v>68000</v>
      </c>
      <c r="C619" s="23" t="s">
        <v>329</v>
      </c>
      <c r="D619" s="7"/>
      <c r="E619" s="7"/>
      <c r="F619" s="17" t="n">
        <v>0</v>
      </c>
    </row>
    <row r="620" customFormat="false" ht="15" hidden="false" customHeight="false" outlineLevel="0" collapsed="false">
      <c r="A620" s="7" t="s">
        <v>330</v>
      </c>
      <c r="B620" s="20" t="n">
        <f aca="false">IF($B$619&gt;0,$B$612/$B$619,0)</f>
        <v>0.161764705882353</v>
      </c>
      <c r="C620" s="23" t="s">
        <v>331</v>
      </c>
      <c r="D620" s="7"/>
      <c r="E620" s="7"/>
      <c r="F620" s="17" t="n">
        <v>0</v>
      </c>
    </row>
    <row r="621" customFormat="false" ht="15" hidden="false" customHeight="false" outlineLevel="0" collapsed="false">
      <c r="A621" s="7" t="s">
        <v>207</v>
      </c>
      <c r="B621" s="20" t="n">
        <f aca="false">IF(AND($B$568&gt;0,$B$588=0),($B$568-$B$593+$B$594)/$B$568,0)</f>
        <v>1</v>
      </c>
      <c r="C621" s="23" t="s">
        <v>332</v>
      </c>
      <c r="D621" s="7"/>
      <c r="E621" s="7"/>
      <c r="F621" s="17" t="n">
        <v>0</v>
      </c>
    </row>
    <row r="622" customFormat="false" ht="15" hidden="false" customHeight="false" outlineLevel="0" collapsed="false">
      <c r="A622" s="6" t="s">
        <v>333</v>
      </c>
      <c r="B622" s="17" t="n">
        <f aca="false">$B$605+$B$597-($B$606+$B$607+$B$608+$B$609+$B$611+$B$602)</f>
        <v>0</v>
      </c>
      <c r="C622" s="23" t="s">
        <v>334</v>
      </c>
      <c r="D622" s="7"/>
      <c r="E622" s="7"/>
      <c r="F622" s="17" t="n">
        <v>0</v>
      </c>
    </row>
    <row r="623" customFormat="false" ht="15" hidden="false" customHeight="false" outlineLevel="0" collapsed="false">
      <c r="A623" s="2" t="s">
        <v>352</v>
      </c>
    </row>
    <row r="625" customFormat="false" ht="15" hidden="false" customHeight="false" outlineLevel="0" collapsed="false">
      <c r="A625" s="3" t="s">
        <v>223</v>
      </c>
      <c r="B625" s="4"/>
      <c r="C625" s="4"/>
      <c r="D625" s="4"/>
      <c r="E625" s="4"/>
      <c r="F625" s="4"/>
    </row>
    <row r="626" customFormat="false" ht="15" hidden="false" customHeight="false" outlineLevel="0" collapsed="false">
      <c r="A626" s="5" t="s">
        <v>229</v>
      </c>
      <c r="B626" s="5" t="s">
        <v>52</v>
      </c>
      <c r="C626" s="5" t="s">
        <v>230</v>
      </c>
      <c r="D626" s="5" t="s">
        <v>231</v>
      </c>
      <c r="E626" s="5" t="s">
        <v>232</v>
      </c>
      <c r="F626" s="5" t="s">
        <v>233</v>
      </c>
    </row>
    <row r="627" customFormat="false" ht="15" hidden="false" customHeight="false" outlineLevel="0" collapsed="false">
      <c r="A627" s="7" t="s">
        <v>3</v>
      </c>
      <c r="B627" s="6" t="s">
        <v>34</v>
      </c>
      <c r="C627" s="23" t="s">
        <v>234</v>
      </c>
      <c r="D627" s="7"/>
      <c r="E627" s="7"/>
      <c r="F627" s="17" t="n">
        <v>0</v>
      </c>
    </row>
    <row r="628" customFormat="false" ht="15" hidden="false" customHeight="false" outlineLevel="0" collapsed="false">
      <c r="A628" s="7" t="s">
        <v>235</v>
      </c>
      <c r="B628" s="9" t="n">
        <v>9000</v>
      </c>
      <c r="C628" s="23" t="s">
        <v>236</v>
      </c>
      <c r="D628" s="7"/>
      <c r="E628" s="7"/>
      <c r="F628" s="17" t="n">
        <v>0</v>
      </c>
    </row>
    <row r="629" customFormat="false" ht="15" hidden="false" customHeight="false" outlineLevel="0" collapsed="false">
      <c r="A629" s="7" t="s">
        <v>237</v>
      </c>
      <c r="B629" s="9" t="n">
        <v>149000</v>
      </c>
      <c r="C629" s="23" t="s">
        <v>238</v>
      </c>
      <c r="D629" s="7"/>
      <c r="E629" s="7"/>
      <c r="F629" s="17" t="n">
        <v>0</v>
      </c>
    </row>
    <row r="630" customFormat="false" ht="15" hidden="false" customHeight="false" outlineLevel="0" collapsed="false">
      <c r="A630" s="7" t="s">
        <v>239</v>
      </c>
      <c r="B630" s="9" t="n">
        <v>0</v>
      </c>
      <c r="C630" s="23" t="s">
        <v>240</v>
      </c>
      <c r="D630" s="7"/>
      <c r="E630" s="7"/>
      <c r="F630" s="17" t="n">
        <v>0</v>
      </c>
    </row>
    <row r="631" customFormat="false" ht="15" hidden="false" customHeight="false" outlineLevel="0" collapsed="false">
      <c r="A631" s="7" t="s">
        <v>241</v>
      </c>
      <c r="B631" s="10"/>
      <c r="C631" s="23" t="s">
        <v>242</v>
      </c>
      <c r="D631" s="7"/>
      <c r="E631" s="7"/>
      <c r="F631" s="17" t="n">
        <v>0</v>
      </c>
    </row>
    <row r="632" customFormat="false" ht="15" hidden="false" customHeight="false" outlineLevel="0" collapsed="false">
      <c r="A632" s="7" t="s">
        <v>243</v>
      </c>
      <c r="B632" s="10" t="s">
        <v>187</v>
      </c>
      <c r="C632" s="23" t="s">
        <v>244</v>
      </c>
      <c r="D632" s="7"/>
      <c r="E632" s="7"/>
      <c r="F632" s="17" t="n">
        <v>0</v>
      </c>
    </row>
    <row r="633" customFormat="false" ht="15" hidden="false" customHeight="false" outlineLevel="0" collapsed="false">
      <c r="A633" s="7" t="s">
        <v>245</v>
      </c>
      <c r="B633" s="10"/>
      <c r="C633" s="23" t="s">
        <v>246</v>
      </c>
      <c r="D633" s="7"/>
      <c r="E633" s="7"/>
      <c r="F633" s="17" t="n">
        <v>0</v>
      </c>
    </row>
    <row r="634" customFormat="false" ht="15" hidden="false" customHeight="false" outlineLevel="0" collapsed="false">
      <c r="A634" s="7" t="s">
        <v>247</v>
      </c>
      <c r="B634" s="9" t="n">
        <v>0</v>
      </c>
      <c r="C634" s="23" t="s">
        <v>248</v>
      </c>
      <c r="D634" s="7"/>
      <c r="E634" s="7"/>
      <c r="F634" s="17" t="n">
        <v>0</v>
      </c>
    </row>
    <row r="635" customFormat="false" ht="15" hidden="false" customHeight="false" outlineLevel="0" collapsed="false">
      <c r="A635" s="7" t="s">
        <v>249</v>
      </c>
      <c r="B635" s="9" t="n">
        <v>0</v>
      </c>
      <c r="C635" s="23" t="s">
        <v>250</v>
      </c>
      <c r="D635" s="7"/>
      <c r="E635" s="7"/>
      <c r="F635" s="17" t="n">
        <v>0</v>
      </c>
    </row>
    <row r="636" customFormat="false" ht="15" hidden="false" customHeight="false" outlineLevel="0" collapsed="false">
      <c r="A636" s="7" t="s">
        <v>251</v>
      </c>
      <c r="B636" s="8" t="n">
        <v>0</v>
      </c>
      <c r="C636" s="23" t="s">
        <v>252</v>
      </c>
      <c r="D636" s="7"/>
      <c r="E636" s="7"/>
      <c r="F636" s="17" t="n">
        <v>0</v>
      </c>
    </row>
    <row r="637" customFormat="false" ht="15" hidden="false" customHeight="false" outlineLevel="0" collapsed="false">
      <c r="A637" s="7" t="s">
        <v>253</v>
      </c>
      <c r="B637" s="10"/>
      <c r="C637" s="23" t="s">
        <v>254</v>
      </c>
      <c r="D637" s="7"/>
      <c r="E637" s="7"/>
      <c r="F637" s="17" t="n">
        <v>0</v>
      </c>
    </row>
    <row r="638" customFormat="false" ht="15" hidden="false" customHeight="false" outlineLevel="0" collapsed="false">
      <c r="A638" s="7" t="s">
        <v>255</v>
      </c>
      <c r="B638" s="20" t="n">
        <f aca="false">INDEX(Asumsi!$C$6:$C$13,MATCH($B$627,Asumsi!$A$6:$A$13,0))</f>
        <v>0</v>
      </c>
      <c r="C638" s="23" t="s">
        <v>256</v>
      </c>
      <c r="D638" s="7"/>
      <c r="E638" s="7"/>
      <c r="F638" s="17" t="n">
        <v>0</v>
      </c>
    </row>
    <row r="639" customFormat="false" ht="15" hidden="false" customHeight="false" outlineLevel="0" collapsed="false">
      <c r="A639" s="7" t="s">
        <v>6</v>
      </c>
      <c r="B639" s="20" t="n">
        <f aca="false">INDEX(Asumsi!$D$6:$D$13,MATCH($B$627,Asumsi!$A$6:$A$13,0))</f>
        <v>0</v>
      </c>
      <c r="C639" s="23" t="s">
        <v>257</v>
      </c>
      <c r="D639" s="7"/>
      <c r="E639" s="7"/>
      <c r="F639" s="17" t="n">
        <v>0</v>
      </c>
    </row>
    <row r="640" customFormat="false" ht="15" hidden="false" customHeight="false" outlineLevel="0" collapsed="false">
      <c r="A640" s="7" t="s">
        <v>258</v>
      </c>
      <c r="B640" s="17" t="n">
        <f aca="false">INDEX(Asumsi!$E$6:$E$13,MATCH($B$627,Asumsi!$A$6:$A$13,0))</f>
        <v>1000</v>
      </c>
      <c r="C640" s="23" t="s">
        <v>259</v>
      </c>
      <c r="D640" s="7"/>
      <c r="E640" s="7"/>
      <c r="F640" s="17" t="n">
        <v>0</v>
      </c>
    </row>
    <row r="641" customFormat="false" ht="15" hidden="false" customHeight="false" outlineLevel="0" collapsed="false">
      <c r="A641" s="7" t="s">
        <v>8</v>
      </c>
      <c r="B641" s="20" t="n">
        <f aca="false">INDEX(Asumsi!$F$6:$F$13,MATCH($B$627,Asumsi!$A$6:$A$13,0))</f>
        <v>0.05</v>
      </c>
      <c r="C641" s="23" t="s">
        <v>260</v>
      </c>
      <c r="D641" s="7"/>
      <c r="E641" s="7"/>
      <c r="F641" s="17" t="n">
        <v>0</v>
      </c>
    </row>
    <row r="642" customFormat="false" ht="15" hidden="false" customHeight="false" outlineLevel="0" collapsed="false">
      <c r="A642" s="7" t="s">
        <v>9</v>
      </c>
      <c r="B642" s="17" t="n">
        <f aca="false">INDEX(Asumsi!$G$6:$G$13,MATCH($B$627,Asumsi!$A$6:$A$13,0))</f>
        <v>5000</v>
      </c>
      <c r="C642" s="23" t="s">
        <v>261</v>
      </c>
      <c r="D642" s="7"/>
      <c r="E642" s="7"/>
      <c r="F642" s="17" t="n">
        <v>0</v>
      </c>
    </row>
    <row r="643" customFormat="false" ht="15" hidden="false" customHeight="false" outlineLevel="0" collapsed="false">
      <c r="A643" s="7" t="s">
        <v>262</v>
      </c>
      <c r="B643" s="20" t="n">
        <f aca="false">INDEX(Asumsi!$H$6:$H$13,MATCH($B$627,Asumsi!$A$6:$A$13,0))</f>
        <v>0.7</v>
      </c>
      <c r="C643" s="23" t="s">
        <v>263</v>
      </c>
      <c r="D643" s="7"/>
      <c r="E643" s="7"/>
      <c r="F643" s="17" t="n">
        <v>0</v>
      </c>
    </row>
    <row r="644" customFormat="false" ht="15" hidden="false" customHeight="false" outlineLevel="0" collapsed="false">
      <c r="A644" s="7" t="s">
        <v>264</v>
      </c>
      <c r="B644" s="7" t="str">
        <f aca="false">IF($B$637="",INDEX(Asumsi!$I$6:$I$13,MATCH($B$627,Asumsi!$A$6:$A$13,0)),$B$637)</f>
        <v>platform</v>
      </c>
      <c r="C644" s="23" t="s">
        <v>265</v>
      </c>
      <c r="D644" s="7"/>
      <c r="E644" s="7"/>
      <c r="F644" s="17" t="n">
        <v>0</v>
      </c>
    </row>
    <row r="645" customFormat="false" ht="15" hidden="false" customHeight="false" outlineLevel="0" collapsed="false">
      <c r="A645" s="7" t="s">
        <v>266</v>
      </c>
      <c r="B645" s="7" t="str">
        <f aca="false">IF(AND(IF($B$631="",INDEX(Asumsi!$J$6:$J$13,MATCH($B$627,Asumsi!$A$6:$A$13,0)),$B$631)="merchant",$B$627&lt;&gt;"food"),"platform",IF($B$631="",INDEX(Asumsi!$J$6:$J$13,MATCH($B$627,Asumsi!$A$6:$A$13,0)),$B$631))</f>
        <v>platform</v>
      </c>
      <c r="C645" s="23" t="s">
        <v>267</v>
      </c>
      <c r="D645" s="7"/>
      <c r="E645" s="7"/>
      <c r="F645" s="17" t="n">
        <v>0</v>
      </c>
    </row>
    <row r="646" customFormat="false" ht="15" hidden="false" customHeight="false" outlineLevel="0" collapsed="false">
      <c r="A646" s="7" t="s">
        <v>268</v>
      </c>
      <c r="B646" s="26" t="n">
        <f aca="false">IF($B$627="food",1,0)</f>
        <v>0</v>
      </c>
      <c r="C646" s="23"/>
      <c r="D646" s="7"/>
      <c r="E646" s="7"/>
      <c r="F646" s="17" t="n">
        <v>0</v>
      </c>
    </row>
    <row r="647" customFormat="false" ht="15" hidden="false" customHeight="false" outlineLevel="0" collapsed="false">
      <c r="A647" s="7" t="s">
        <v>269</v>
      </c>
      <c r="B647" s="26" t="n">
        <f aca="false">IF(OR($B$627="shop",$B$627="market"),1,0)</f>
        <v>1</v>
      </c>
      <c r="C647" s="23"/>
      <c r="D647" s="7"/>
      <c r="E647" s="7"/>
      <c r="F647" s="17" t="n">
        <v>0</v>
      </c>
    </row>
    <row r="648" customFormat="false" ht="15" hidden="false" customHeight="false" outlineLevel="0" collapsed="false">
      <c r="A648" s="7" t="s">
        <v>270</v>
      </c>
      <c r="B648" s="26" t="n">
        <f aca="false">IF($B$627="travel",1,0)</f>
        <v>0</v>
      </c>
      <c r="C648" s="23"/>
      <c r="D648" s="7"/>
      <c r="E648" s="7"/>
      <c r="F648" s="17" t="n">
        <v>0</v>
      </c>
    </row>
    <row r="649" customFormat="false" ht="15" hidden="false" customHeight="false" outlineLevel="0" collapsed="false">
      <c r="A649" s="7" t="s">
        <v>271</v>
      </c>
      <c r="B649" s="17" t="n">
        <f aca="false">IF($B$646+$B$647&gt;0,$B$629,0)</f>
        <v>149000</v>
      </c>
      <c r="C649" s="23" t="s">
        <v>272</v>
      </c>
      <c r="D649" s="7"/>
      <c r="E649" s="7"/>
      <c r="F649" s="17" t="n">
        <v>0</v>
      </c>
    </row>
    <row r="650" customFormat="false" ht="15" hidden="false" customHeight="false" outlineLevel="0" collapsed="false">
      <c r="A650" s="7" t="s">
        <v>273</v>
      </c>
      <c r="B650" s="17" t="n">
        <f aca="false">IF($B$647=1,MAX($B$642,INT(ROUND($B$649*$B$641,6))),0)</f>
        <v>7450</v>
      </c>
      <c r="C650" s="23" t="s">
        <v>274</v>
      </c>
      <c r="D650" s="9" t="n">
        <v>7450</v>
      </c>
      <c r="E650" s="18" t="n">
        <f aca="false">B650-D650</f>
        <v>0</v>
      </c>
      <c r="F650" s="17" t="n">
        <f aca="false">ABS(E650)</f>
        <v>0</v>
      </c>
    </row>
    <row r="651" customFormat="false" ht="15" hidden="false" customHeight="false" outlineLevel="0" collapsed="false">
      <c r="A651" s="7" t="s">
        <v>275</v>
      </c>
      <c r="B651" s="17" t="n">
        <f aca="false">INT(ROUND($B$650*$B$643,6))</f>
        <v>5215</v>
      </c>
      <c r="C651" s="23" t="s">
        <v>276</v>
      </c>
      <c r="D651" s="7"/>
      <c r="E651" s="7"/>
      <c r="F651" s="17" t="n">
        <v>0</v>
      </c>
    </row>
    <row r="652" customFormat="false" ht="15" hidden="false" customHeight="false" outlineLevel="0" collapsed="false">
      <c r="A652" s="7" t="s">
        <v>277</v>
      </c>
      <c r="B652" s="17" t="n">
        <f aca="false">IF($B$648=1,0,MIN($B$630,$B$628+$B$646*$B$649))</f>
        <v>0</v>
      </c>
      <c r="C652" s="23" t="s">
        <v>278</v>
      </c>
      <c r="D652" s="7"/>
      <c r="E652" s="7"/>
      <c r="F652" s="17" t="n">
        <v>0</v>
      </c>
    </row>
    <row r="653" customFormat="false" ht="15" hidden="false" customHeight="false" outlineLevel="0" collapsed="false">
      <c r="A653" s="7" t="s">
        <v>279</v>
      </c>
      <c r="B653" s="17" t="n">
        <f aca="false">IF($B$648=1,0,INT(ROUND($B$628*$B$638,6)))</f>
        <v>0</v>
      </c>
      <c r="C653" s="23" t="s">
        <v>280</v>
      </c>
      <c r="D653" s="7"/>
      <c r="E653" s="7"/>
      <c r="F653" s="17" t="n">
        <v>0</v>
      </c>
    </row>
    <row r="654" customFormat="false" ht="15" hidden="false" customHeight="false" outlineLevel="0" collapsed="false">
      <c r="A654" s="7" t="s">
        <v>281</v>
      </c>
      <c r="B654" s="17" t="n">
        <f aca="false">MIN($B$653,INT(ROUND($B$628*$B$636,6)))</f>
        <v>0</v>
      </c>
      <c r="C654" s="23" t="s">
        <v>282</v>
      </c>
      <c r="D654" s="7"/>
      <c r="E654" s="7"/>
      <c r="F654" s="17" t="n">
        <v>0</v>
      </c>
    </row>
    <row r="655" customFormat="false" ht="15" hidden="false" customHeight="false" outlineLevel="0" collapsed="false">
      <c r="A655" s="7" t="s">
        <v>283</v>
      </c>
      <c r="B655" s="17" t="n">
        <f aca="false">IF($B$646=1,INT(ROUND($B$649*$B$639,6)),IF($B$648=1,INT(ROUND($B$628*$B$639,6)),0))</f>
        <v>0</v>
      </c>
      <c r="C655" s="23" t="s">
        <v>284</v>
      </c>
      <c r="D655" s="7"/>
      <c r="E655" s="7"/>
      <c r="F655" s="17" t="n">
        <v>0</v>
      </c>
    </row>
    <row r="656" customFormat="false" ht="15" hidden="false" customHeight="false" outlineLevel="0" collapsed="false">
      <c r="A656" s="7" t="s">
        <v>285</v>
      </c>
      <c r="B656" s="17" t="n">
        <f aca="false">IF($B$645="merchant",MIN($B$652,MAX(0,$B$649-$B$655)),0)</f>
        <v>0</v>
      </c>
      <c r="C656" s="23" t="s">
        <v>286</v>
      </c>
      <c r="D656" s="7"/>
      <c r="E656" s="7"/>
      <c r="F656" s="17" t="n">
        <v>0</v>
      </c>
    </row>
    <row r="657" customFormat="false" ht="15" hidden="false" customHeight="false" outlineLevel="0" collapsed="false">
      <c r="A657" s="7" t="s">
        <v>287</v>
      </c>
      <c r="B657" s="17" t="n">
        <f aca="false">IF($B$645="sponsor",$B$652,0)</f>
        <v>0</v>
      </c>
      <c r="C657" s="23" t="s">
        <v>288</v>
      </c>
      <c r="D657" s="7"/>
      <c r="E657" s="7"/>
      <c r="F657" s="17" t="n">
        <v>0</v>
      </c>
    </row>
    <row r="658" customFormat="false" ht="15" hidden="false" customHeight="false" outlineLevel="0" collapsed="false">
      <c r="A658" s="7" t="s">
        <v>289</v>
      </c>
      <c r="B658" s="17" t="n">
        <f aca="false">$B$652-$B$656-$B$657</f>
        <v>0</v>
      </c>
      <c r="C658" s="23" t="s">
        <v>290</v>
      </c>
      <c r="D658" s="7"/>
      <c r="E658" s="7"/>
      <c r="F658" s="17" t="n">
        <v>0</v>
      </c>
    </row>
    <row r="659" customFormat="false" ht="15" hidden="false" customHeight="false" outlineLevel="0" collapsed="false">
      <c r="A659" s="7" t="s">
        <v>291</v>
      </c>
      <c r="B659" s="17" t="n">
        <f aca="false">IF($B$648=1,$B$628+$B$640,$B$628+$B$640+$B$649+$B$650+$B$635-$B$652)</f>
        <v>166450</v>
      </c>
      <c r="C659" s="23" t="s">
        <v>292</v>
      </c>
      <c r="D659" s="7"/>
      <c r="E659" s="7"/>
      <c r="F659" s="17" t="n">
        <v>0</v>
      </c>
    </row>
    <row r="660" customFormat="false" ht="15" hidden="false" customHeight="false" outlineLevel="0" collapsed="false">
      <c r="A660" s="7" t="s">
        <v>293</v>
      </c>
      <c r="B660" s="17" t="n">
        <f aca="false">IF(OR($B$648=1,$B$659&lt;=0),0,IFERROR(ROUND($B$659*INDEX('Biaya PG'!$D$7:$D$20,MATCH($B$632,'Biaya PG'!$A$7:$A$20,0)),0)+INDEX('Biaya PG'!$E$7:$E$20,MATCH($B$632,'Biaya PG'!$A$7:$A$20,0)),0))</f>
        <v>0</v>
      </c>
      <c r="C660" s="23" t="s">
        <v>294</v>
      </c>
      <c r="D660" s="7"/>
      <c r="E660" s="7"/>
      <c r="F660" s="17" t="n">
        <v>0</v>
      </c>
    </row>
    <row r="661" customFormat="false" ht="15" hidden="false" customHeight="false" outlineLevel="0" collapsed="false">
      <c r="A661" s="7" t="s">
        <v>295</v>
      </c>
      <c r="B661" s="17" t="n">
        <f aca="false">IF($B$660=0,0,IF(INDEX('Biaya PG'!$F$7:$F$20,MATCH($B$632,'Biaya PG'!$A$7:$A$20,0))="Ya",0,ROUND($B$660*INDEX('Biaya PG'!$G$7:$G$20,MATCH($B$632,'Biaya PG'!$A$7:$A$20,0)),0)))</f>
        <v>0</v>
      </c>
      <c r="C661" s="23" t="s">
        <v>296</v>
      </c>
      <c r="D661" s="7"/>
      <c r="E661" s="7"/>
      <c r="F661" s="17" t="n">
        <v>0</v>
      </c>
    </row>
    <row r="662" customFormat="false" ht="15" hidden="false" customHeight="false" outlineLevel="0" collapsed="false">
      <c r="A662" s="7" t="s">
        <v>297</v>
      </c>
      <c r="B662" s="17" t="n">
        <f aca="false">IF($B$644="customer",$B$660+$B$661,0)</f>
        <v>0</v>
      </c>
      <c r="C662" s="23" t="s">
        <v>298</v>
      </c>
      <c r="D662" s="7"/>
      <c r="E662" s="7"/>
      <c r="F662" s="17" t="n">
        <v>0</v>
      </c>
    </row>
    <row r="663" customFormat="false" ht="15" hidden="false" customHeight="false" outlineLevel="0" collapsed="false">
      <c r="A663" s="6" t="s">
        <v>299</v>
      </c>
      <c r="B663" s="18" t="n">
        <f aca="false">$B$659+$B$662</f>
        <v>166450</v>
      </c>
      <c r="C663" s="23" t="s">
        <v>300</v>
      </c>
      <c r="D663" s="9" t="n">
        <v>166450</v>
      </c>
      <c r="E663" s="18" t="n">
        <f aca="false">B663-D663</f>
        <v>0</v>
      </c>
      <c r="F663" s="17" t="n">
        <f aca="false">ABS(E663)</f>
        <v>0</v>
      </c>
    </row>
    <row r="664" customFormat="false" ht="15" hidden="false" customHeight="false" outlineLevel="0" collapsed="false">
      <c r="A664" s="7" t="s">
        <v>301</v>
      </c>
      <c r="B664" s="17" t="n">
        <f aca="false">IF($B$648=1,0,$B$634)</f>
        <v>0</v>
      </c>
      <c r="C664" s="23"/>
      <c r="D664" s="7"/>
      <c r="E664" s="7"/>
      <c r="F664" s="17" t="n">
        <v>0</v>
      </c>
    </row>
    <row r="665" customFormat="false" ht="15" hidden="false" customHeight="false" outlineLevel="0" collapsed="false">
      <c r="A665" s="7" t="s">
        <v>302</v>
      </c>
      <c r="B665" s="17" t="n">
        <f aca="false">$B$663+$B$664</f>
        <v>166450</v>
      </c>
      <c r="C665" s="23" t="s">
        <v>303</v>
      </c>
      <c r="D665" s="7"/>
      <c r="E665" s="7"/>
      <c r="F665" s="17" t="n">
        <v>0</v>
      </c>
    </row>
    <row r="666" customFormat="false" ht="15" hidden="false" customHeight="false" outlineLevel="0" collapsed="false">
      <c r="A666" s="6" t="s">
        <v>304</v>
      </c>
      <c r="B666" s="18" t="n">
        <f aca="false">IF($B$648=1,0,($B$628-$B$653+$B$654)+$B$664+$B$635+$B$651)</f>
        <v>14215</v>
      </c>
      <c r="C666" s="23" t="s">
        <v>305</v>
      </c>
      <c r="D666" s="9" t="n">
        <v>14215</v>
      </c>
      <c r="E666" s="18" t="n">
        <f aca="false">B666-D666</f>
        <v>0</v>
      </c>
      <c r="F666" s="17" t="n">
        <f aca="false">ABS(E666)</f>
        <v>0</v>
      </c>
    </row>
    <row r="667" customFormat="false" ht="15" hidden="false" customHeight="false" outlineLevel="0" collapsed="false">
      <c r="A667" s="6" t="s">
        <v>211</v>
      </c>
      <c r="B667" s="18" t="n">
        <f aca="false">IF($B$646=1,$B$649-$B$655-$B$656,0)</f>
        <v>0</v>
      </c>
      <c r="C667" s="23" t="s">
        <v>306</v>
      </c>
      <c r="D667" s="9" t="n">
        <v>0</v>
      </c>
      <c r="E667" s="18" t="n">
        <f aca="false">B667-D667</f>
        <v>0</v>
      </c>
      <c r="F667" s="17" t="n">
        <f aca="false">ABS(E667)</f>
        <v>0</v>
      </c>
    </row>
    <row r="668" customFormat="false" ht="15" hidden="false" customHeight="false" outlineLevel="0" collapsed="false">
      <c r="A668" s="7" t="s">
        <v>307</v>
      </c>
      <c r="B668" s="17" t="n">
        <f aca="false">IF($B$647=1,$B$649,0)</f>
        <v>149000</v>
      </c>
      <c r="C668" s="23" t="s">
        <v>308</v>
      </c>
      <c r="D668" s="9" t="n">
        <v>149000</v>
      </c>
      <c r="E668" s="18" t="n">
        <f aca="false">B668-D668</f>
        <v>0</v>
      </c>
      <c r="F668" s="17" t="n">
        <f aca="false">ABS(E668)</f>
        <v>0</v>
      </c>
    </row>
    <row r="669" customFormat="false" ht="15" hidden="false" customHeight="false" outlineLevel="0" collapsed="false">
      <c r="A669" s="7" t="s">
        <v>309</v>
      </c>
      <c r="B669" s="17" t="n">
        <f aca="false">IF($B$648=1,$B$628-$B$655,0)</f>
        <v>0</v>
      </c>
      <c r="C669" s="23" t="s">
        <v>310</v>
      </c>
      <c r="D669" s="7"/>
      <c r="E669" s="7"/>
      <c r="F669" s="17" t="n">
        <v>0</v>
      </c>
    </row>
    <row r="670" customFormat="false" ht="15" hidden="false" customHeight="false" outlineLevel="0" collapsed="false">
      <c r="A670" s="7" t="s">
        <v>311</v>
      </c>
      <c r="B670" s="17" t="n">
        <f aca="false">$B$650-$B$651</f>
        <v>2235</v>
      </c>
      <c r="C670" s="23" t="s">
        <v>312</v>
      </c>
      <c r="D670" s="7"/>
      <c r="E670" s="7"/>
      <c r="F670" s="17" t="n">
        <v>0</v>
      </c>
    </row>
    <row r="671" customFormat="false" ht="15" hidden="false" customHeight="false" outlineLevel="0" collapsed="false">
      <c r="A671" s="6" t="s">
        <v>212</v>
      </c>
      <c r="B671" s="18" t="n">
        <f aca="false">IF($B$648=1,$B$640+$B$655,$B$640+($B$653-$B$654)+$B$655+$B$670-$B$658)</f>
        <v>3235</v>
      </c>
      <c r="C671" s="23" t="s">
        <v>313</v>
      </c>
      <c r="D671" s="9" t="n">
        <v>3235</v>
      </c>
      <c r="E671" s="18" t="n">
        <f aca="false">B671-D671</f>
        <v>0</v>
      </c>
      <c r="F671" s="17" t="n">
        <f aca="false">ABS(E671)</f>
        <v>0</v>
      </c>
    </row>
    <row r="672" customFormat="false" ht="15" hidden="false" customHeight="false" outlineLevel="0" collapsed="false">
      <c r="A672" s="7" t="s">
        <v>314</v>
      </c>
      <c r="B672" s="17" t="n">
        <f aca="false">$B$671+$B$654</f>
        <v>3235</v>
      </c>
      <c r="C672" s="23" t="s">
        <v>315</v>
      </c>
      <c r="D672" s="7"/>
      <c r="E672" s="7"/>
      <c r="F672" s="17" t="n">
        <v>0</v>
      </c>
    </row>
    <row r="673" customFormat="false" ht="15" hidden="false" customHeight="false" outlineLevel="0" collapsed="false">
      <c r="A673" s="7" t="s">
        <v>316</v>
      </c>
      <c r="B673" s="17" t="n">
        <f aca="false">$B$660+$B$661</f>
        <v>0</v>
      </c>
      <c r="C673" s="23" t="s">
        <v>317</v>
      </c>
      <c r="D673" s="7"/>
      <c r="E673" s="7"/>
      <c r="F673" s="17" t="n">
        <v>0</v>
      </c>
    </row>
    <row r="674" customFormat="false" ht="15" hidden="false" customHeight="false" outlineLevel="0" collapsed="false">
      <c r="A674" s="7" t="s">
        <v>318</v>
      </c>
      <c r="B674" s="17" t="n">
        <f aca="false">IF($B$644="platform",$B$673,0)</f>
        <v>0</v>
      </c>
      <c r="C674" s="23" t="s">
        <v>319</v>
      </c>
      <c r="D674" s="7"/>
      <c r="E674" s="7"/>
      <c r="F674" s="17" t="n">
        <v>0</v>
      </c>
    </row>
    <row r="675" customFormat="false" ht="15" hidden="false" customHeight="false" outlineLevel="0" collapsed="false">
      <c r="A675" s="6" t="s">
        <v>320</v>
      </c>
      <c r="B675" s="18" t="n">
        <f aca="false">$B$671-$B$674</f>
        <v>3235</v>
      </c>
      <c r="C675" s="23" t="s">
        <v>321</v>
      </c>
      <c r="D675" s="7"/>
      <c r="E675" s="7"/>
      <c r="F675" s="17" t="n">
        <v>0</v>
      </c>
    </row>
    <row r="676" customFormat="false" ht="15" hidden="false" customHeight="false" outlineLevel="0" collapsed="false">
      <c r="A676" s="6" t="s">
        <v>322</v>
      </c>
      <c r="B676" s="17" t="n">
        <f aca="false">IF($B$632="cash",IF($B$648=1,$B$663-$B$669,$B$663-$B$668-$B$667-($B$666-$B$664)),0)</f>
        <v>3235</v>
      </c>
      <c r="C676" s="23" t="s">
        <v>323</v>
      </c>
      <c r="D676" s="9" t="n">
        <v>3235</v>
      </c>
      <c r="E676" s="18" t="n">
        <f aca="false">B676-D676</f>
        <v>0</v>
      </c>
      <c r="F676" s="17" t="n">
        <f aca="false">ABS(E676)</f>
        <v>0</v>
      </c>
    </row>
    <row r="677" customFormat="false" ht="15" hidden="false" customHeight="false" outlineLevel="0" collapsed="false">
      <c r="A677" s="7" t="s">
        <v>324</v>
      </c>
      <c r="B677" s="7" t="str">
        <f aca="false">IF($B$632="cash","Tunai",IF($B$632="antarpay","Saldo AntarPay","Digital (gateway)"))</f>
        <v>Tunai</v>
      </c>
      <c r="C677" s="23" t="s">
        <v>325</v>
      </c>
      <c r="D677" s="7"/>
      <c r="E677" s="7"/>
      <c r="F677" s="17" t="n">
        <v>0</v>
      </c>
    </row>
    <row r="678" customFormat="false" ht="15" hidden="false" customHeight="false" outlineLevel="0" collapsed="false">
      <c r="A678" s="7" t="s">
        <v>326</v>
      </c>
      <c r="B678" s="26" t="n">
        <f aca="false">IF($B$673=0,0,IFERROR(IF(AND($B$632="bank_transfer",OR($B$633="bsi",$B$633="seabank")),INDEX('Biaya PG'!$I$7:$I$20,MATCH($B$632,'Biaya PG'!$A$7:$A$20,0)),INDEX('Biaya PG'!$H$7:$H$20,MATCH($B$632,'Biaya PG'!$A$7:$A$20,0))),0))</f>
        <v>0</v>
      </c>
      <c r="C678" s="23" t="s">
        <v>327</v>
      </c>
      <c r="D678" s="7"/>
      <c r="E678" s="7"/>
      <c r="F678" s="17" t="n">
        <v>0</v>
      </c>
    </row>
    <row r="679" customFormat="false" ht="15" hidden="false" customHeight="false" outlineLevel="0" collapsed="false">
      <c r="A679" s="7" t="s">
        <v>328</v>
      </c>
      <c r="B679" s="17" t="n">
        <f aca="false">IF($B$648=1,$B$628,$B$649+$B$628)</f>
        <v>158000</v>
      </c>
      <c r="C679" s="23" t="s">
        <v>329</v>
      </c>
      <c r="D679" s="7"/>
      <c r="E679" s="7"/>
      <c r="F679" s="17" t="n">
        <v>0</v>
      </c>
    </row>
    <row r="680" customFormat="false" ht="15" hidden="false" customHeight="false" outlineLevel="0" collapsed="false">
      <c r="A680" s="7" t="s">
        <v>330</v>
      </c>
      <c r="B680" s="20" t="n">
        <f aca="false">IF($B$679&gt;0,$B$672/$B$679,0)</f>
        <v>0.0204746835443038</v>
      </c>
      <c r="C680" s="23" t="s">
        <v>331</v>
      </c>
      <c r="D680" s="7"/>
      <c r="E680" s="7"/>
      <c r="F680" s="17" t="n">
        <v>0</v>
      </c>
    </row>
    <row r="681" customFormat="false" ht="15" hidden="false" customHeight="false" outlineLevel="0" collapsed="false">
      <c r="A681" s="7" t="s">
        <v>207</v>
      </c>
      <c r="B681" s="20" t="n">
        <f aca="false">IF(AND($B$628&gt;0,$B$648=0),($B$628-$B$653+$B$654)/$B$628,0)</f>
        <v>1</v>
      </c>
      <c r="C681" s="23" t="s">
        <v>332</v>
      </c>
      <c r="D681" s="7"/>
      <c r="E681" s="7"/>
      <c r="F681" s="17" t="n">
        <v>0</v>
      </c>
    </row>
    <row r="682" customFormat="false" ht="15" hidden="false" customHeight="false" outlineLevel="0" collapsed="false">
      <c r="A682" s="6" t="s">
        <v>333</v>
      </c>
      <c r="B682" s="17" t="n">
        <f aca="false">$B$665+$B$657-($B$666+$B$667+$B$668+$B$669+$B$671+$B$662)</f>
        <v>0</v>
      </c>
      <c r="C682" s="23" t="s">
        <v>334</v>
      </c>
      <c r="D682" s="7"/>
      <c r="E682" s="7"/>
      <c r="F682" s="17" t="n">
        <v>0</v>
      </c>
    </row>
    <row r="683" customFormat="false" ht="15" hidden="false" customHeight="false" outlineLevel="0" collapsed="false">
      <c r="A683" s="2" t="s">
        <v>353</v>
      </c>
    </row>
    <row r="685" customFormat="false" ht="15" hidden="false" customHeight="false" outlineLevel="0" collapsed="false">
      <c r="A685" s="3" t="s">
        <v>224</v>
      </c>
      <c r="B685" s="4"/>
      <c r="C685" s="4"/>
      <c r="D685" s="4"/>
      <c r="E685" s="4"/>
      <c r="F685" s="4"/>
    </row>
    <row r="686" customFormat="false" ht="15" hidden="false" customHeight="false" outlineLevel="0" collapsed="false">
      <c r="A686" s="5" t="s">
        <v>229</v>
      </c>
      <c r="B686" s="5" t="s">
        <v>52</v>
      </c>
      <c r="C686" s="5" t="s">
        <v>230</v>
      </c>
      <c r="D686" s="5" t="s">
        <v>231</v>
      </c>
      <c r="E686" s="5" t="s">
        <v>232</v>
      </c>
      <c r="F686" s="5" t="s">
        <v>233</v>
      </c>
    </row>
    <row r="687" customFormat="false" ht="15" hidden="false" customHeight="false" outlineLevel="0" collapsed="false">
      <c r="A687" s="7" t="s">
        <v>3</v>
      </c>
      <c r="B687" s="6" t="s">
        <v>22</v>
      </c>
      <c r="C687" s="23" t="s">
        <v>234</v>
      </c>
      <c r="D687" s="7"/>
      <c r="E687" s="7"/>
      <c r="F687" s="17" t="n">
        <v>0</v>
      </c>
    </row>
    <row r="688" customFormat="false" ht="15" hidden="false" customHeight="false" outlineLevel="0" collapsed="false">
      <c r="A688" s="7" t="s">
        <v>235</v>
      </c>
      <c r="B688" s="9" t="n">
        <v>22000</v>
      </c>
      <c r="C688" s="23" t="s">
        <v>236</v>
      </c>
      <c r="D688" s="7"/>
      <c r="E688" s="7"/>
      <c r="F688" s="17" t="n">
        <v>0</v>
      </c>
    </row>
    <row r="689" customFormat="false" ht="15" hidden="false" customHeight="false" outlineLevel="0" collapsed="false">
      <c r="A689" s="7" t="s">
        <v>237</v>
      </c>
      <c r="B689" s="9" t="n">
        <v>0</v>
      </c>
      <c r="C689" s="23" t="s">
        <v>238</v>
      </c>
      <c r="D689" s="7"/>
      <c r="E689" s="7"/>
      <c r="F689" s="17" t="n">
        <v>0</v>
      </c>
    </row>
    <row r="690" customFormat="false" ht="15" hidden="false" customHeight="false" outlineLevel="0" collapsed="false">
      <c r="A690" s="7" t="s">
        <v>239</v>
      </c>
      <c r="B690" s="9" t="n">
        <v>0</v>
      </c>
      <c r="C690" s="23" t="s">
        <v>240</v>
      </c>
      <c r="D690" s="7"/>
      <c r="E690" s="7"/>
      <c r="F690" s="17" t="n">
        <v>0</v>
      </c>
    </row>
    <row r="691" customFormat="false" ht="15" hidden="false" customHeight="false" outlineLevel="0" collapsed="false">
      <c r="A691" s="7" t="s">
        <v>241</v>
      </c>
      <c r="B691" s="10"/>
      <c r="C691" s="23" t="s">
        <v>242</v>
      </c>
      <c r="D691" s="7"/>
      <c r="E691" s="7"/>
      <c r="F691" s="17" t="n">
        <v>0</v>
      </c>
    </row>
    <row r="692" customFormat="false" ht="15" hidden="false" customHeight="false" outlineLevel="0" collapsed="false">
      <c r="A692" s="7" t="s">
        <v>243</v>
      </c>
      <c r="B692" s="10" t="s">
        <v>149</v>
      </c>
      <c r="C692" s="23" t="s">
        <v>244</v>
      </c>
      <c r="D692" s="7"/>
      <c r="E692" s="7"/>
      <c r="F692" s="17" t="n">
        <v>0</v>
      </c>
    </row>
    <row r="693" customFormat="false" ht="15" hidden="false" customHeight="false" outlineLevel="0" collapsed="false">
      <c r="A693" s="7" t="s">
        <v>245</v>
      </c>
      <c r="B693" s="10"/>
      <c r="C693" s="23" t="s">
        <v>246</v>
      </c>
      <c r="D693" s="7"/>
      <c r="E693" s="7"/>
      <c r="F693" s="17" t="n">
        <v>0</v>
      </c>
    </row>
    <row r="694" customFormat="false" ht="15" hidden="false" customHeight="false" outlineLevel="0" collapsed="false">
      <c r="A694" s="7" t="s">
        <v>247</v>
      </c>
      <c r="B694" s="9" t="n">
        <v>0</v>
      </c>
      <c r="C694" s="23" t="s">
        <v>248</v>
      </c>
      <c r="D694" s="7"/>
      <c r="E694" s="7"/>
      <c r="F694" s="17" t="n">
        <v>0</v>
      </c>
    </row>
    <row r="695" customFormat="false" ht="15" hidden="false" customHeight="false" outlineLevel="0" collapsed="false">
      <c r="A695" s="7" t="s">
        <v>249</v>
      </c>
      <c r="B695" s="9" t="n">
        <v>0</v>
      </c>
      <c r="C695" s="23" t="s">
        <v>250</v>
      </c>
      <c r="D695" s="7"/>
      <c r="E695" s="7"/>
      <c r="F695" s="17" t="n">
        <v>0</v>
      </c>
    </row>
    <row r="696" customFormat="false" ht="15" hidden="false" customHeight="false" outlineLevel="0" collapsed="false">
      <c r="A696" s="7" t="s">
        <v>251</v>
      </c>
      <c r="B696" s="8" t="n">
        <v>0</v>
      </c>
      <c r="C696" s="23" t="s">
        <v>252</v>
      </c>
      <c r="D696" s="7"/>
      <c r="E696" s="7"/>
      <c r="F696" s="17" t="n">
        <v>0</v>
      </c>
    </row>
    <row r="697" customFormat="false" ht="15" hidden="false" customHeight="false" outlineLevel="0" collapsed="false">
      <c r="A697" s="7" t="s">
        <v>253</v>
      </c>
      <c r="B697" s="10" t="s">
        <v>354</v>
      </c>
      <c r="C697" s="23" t="s">
        <v>254</v>
      </c>
      <c r="D697" s="7"/>
      <c r="E697" s="7"/>
      <c r="F697" s="17" t="n">
        <v>0</v>
      </c>
    </row>
    <row r="698" customFormat="false" ht="15" hidden="false" customHeight="false" outlineLevel="0" collapsed="false">
      <c r="A698" s="7" t="s">
        <v>255</v>
      </c>
      <c r="B698" s="20" t="n">
        <f aca="false">INDEX(Asumsi!$C$6:$C$13,MATCH($B$687,Asumsi!$A$6:$A$13,0))</f>
        <v>0.15</v>
      </c>
      <c r="C698" s="23" t="s">
        <v>256</v>
      </c>
      <c r="D698" s="7"/>
      <c r="E698" s="7"/>
      <c r="F698" s="17" t="n">
        <v>0</v>
      </c>
    </row>
    <row r="699" customFormat="false" ht="15" hidden="false" customHeight="false" outlineLevel="0" collapsed="false">
      <c r="A699" s="7" t="s">
        <v>6</v>
      </c>
      <c r="B699" s="20" t="n">
        <f aca="false">INDEX(Asumsi!$D$6:$D$13,MATCH($B$687,Asumsi!$A$6:$A$13,0))</f>
        <v>0</v>
      </c>
      <c r="C699" s="23" t="s">
        <v>257</v>
      </c>
      <c r="D699" s="7"/>
      <c r="E699" s="7"/>
      <c r="F699" s="17" t="n">
        <v>0</v>
      </c>
    </row>
    <row r="700" customFormat="false" ht="15" hidden="false" customHeight="false" outlineLevel="0" collapsed="false">
      <c r="A700" s="7" t="s">
        <v>258</v>
      </c>
      <c r="B700" s="17" t="n">
        <f aca="false">INDEX(Asumsi!$E$6:$E$13,MATCH($B$687,Asumsi!$A$6:$A$13,0))</f>
        <v>4000</v>
      </c>
      <c r="C700" s="23" t="s">
        <v>259</v>
      </c>
      <c r="D700" s="7"/>
      <c r="E700" s="7"/>
      <c r="F700" s="17" t="n">
        <v>0</v>
      </c>
    </row>
    <row r="701" customFormat="false" ht="15" hidden="false" customHeight="false" outlineLevel="0" collapsed="false">
      <c r="A701" s="7" t="s">
        <v>8</v>
      </c>
      <c r="B701" s="20" t="n">
        <f aca="false">INDEX(Asumsi!$F$6:$F$13,MATCH($B$687,Asumsi!$A$6:$A$13,0))</f>
        <v>0</v>
      </c>
      <c r="C701" s="23" t="s">
        <v>260</v>
      </c>
      <c r="D701" s="7"/>
      <c r="E701" s="7"/>
      <c r="F701" s="17" t="n">
        <v>0</v>
      </c>
    </row>
    <row r="702" customFormat="false" ht="15" hidden="false" customHeight="false" outlineLevel="0" collapsed="false">
      <c r="A702" s="7" t="s">
        <v>9</v>
      </c>
      <c r="B702" s="17" t="n">
        <f aca="false">INDEX(Asumsi!$G$6:$G$13,MATCH($B$687,Asumsi!$A$6:$A$13,0))</f>
        <v>0</v>
      </c>
      <c r="C702" s="23" t="s">
        <v>261</v>
      </c>
      <c r="D702" s="7"/>
      <c r="E702" s="7"/>
      <c r="F702" s="17" t="n">
        <v>0</v>
      </c>
    </row>
    <row r="703" customFormat="false" ht="15" hidden="false" customHeight="false" outlineLevel="0" collapsed="false">
      <c r="A703" s="7" t="s">
        <v>262</v>
      </c>
      <c r="B703" s="20" t="n">
        <f aca="false">INDEX(Asumsi!$H$6:$H$13,MATCH($B$687,Asumsi!$A$6:$A$13,0))</f>
        <v>0</v>
      </c>
      <c r="C703" s="23" t="s">
        <v>263</v>
      </c>
      <c r="D703" s="7"/>
      <c r="E703" s="7"/>
      <c r="F703" s="17" t="n">
        <v>0</v>
      </c>
    </row>
    <row r="704" customFormat="false" ht="15" hidden="false" customHeight="false" outlineLevel="0" collapsed="false">
      <c r="A704" s="7" t="s">
        <v>264</v>
      </c>
      <c r="B704" s="7" t="str">
        <f aca="false">IF($B$697="",INDEX(Asumsi!$I$6:$I$13,MATCH($B$687,Asumsi!$A$6:$A$13,0)),$B$697)</f>
        <v>customer</v>
      </c>
      <c r="C704" s="23" t="s">
        <v>265</v>
      </c>
      <c r="D704" s="7"/>
      <c r="E704" s="7"/>
      <c r="F704" s="17" t="n">
        <v>0</v>
      </c>
    </row>
    <row r="705" customFormat="false" ht="15" hidden="false" customHeight="false" outlineLevel="0" collapsed="false">
      <c r="A705" s="7" t="s">
        <v>266</v>
      </c>
      <c r="B705" s="7" t="str">
        <f aca="false">IF(AND(IF($B$691="",INDEX(Asumsi!$J$6:$J$13,MATCH($B$687,Asumsi!$A$6:$A$13,0)),$B$691)="merchant",$B$687&lt;&gt;"food"),"platform",IF($B$691="",INDEX(Asumsi!$J$6:$J$13,MATCH($B$687,Asumsi!$A$6:$A$13,0)),$B$691))</f>
        <v>platform</v>
      </c>
      <c r="C705" s="23" t="s">
        <v>267</v>
      </c>
      <c r="D705" s="7"/>
      <c r="E705" s="7"/>
      <c r="F705" s="17" t="n">
        <v>0</v>
      </c>
    </row>
    <row r="706" customFormat="false" ht="15" hidden="false" customHeight="false" outlineLevel="0" collapsed="false">
      <c r="A706" s="7" t="s">
        <v>268</v>
      </c>
      <c r="B706" s="26" t="n">
        <f aca="false">IF($B$687="food",1,0)</f>
        <v>0</v>
      </c>
      <c r="C706" s="23"/>
      <c r="D706" s="7"/>
      <c r="E706" s="7"/>
      <c r="F706" s="17" t="n">
        <v>0</v>
      </c>
    </row>
    <row r="707" customFormat="false" ht="15" hidden="false" customHeight="false" outlineLevel="0" collapsed="false">
      <c r="A707" s="7" t="s">
        <v>269</v>
      </c>
      <c r="B707" s="26" t="n">
        <f aca="false">IF(OR($B$687="shop",$B$687="market"),1,0)</f>
        <v>0</v>
      </c>
      <c r="C707" s="23"/>
      <c r="D707" s="7"/>
      <c r="E707" s="7"/>
      <c r="F707" s="17" t="n">
        <v>0</v>
      </c>
    </row>
    <row r="708" customFormat="false" ht="15" hidden="false" customHeight="false" outlineLevel="0" collapsed="false">
      <c r="A708" s="7" t="s">
        <v>270</v>
      </c>
      <c r="B708" s="26" t="n">
        <f aca="false">IF($B$687="travel",1,0)</f>
        <v>0</v>
      </c>
      <c r="C708" s="23"/>
      <c r="D708" s="7"/>
      <c r="E708" s="7"/>
      <c r="F708" s="17" t="n">
        <v>0</v>
      </c>
    </row>
    <row r="709" customFormat="false" ht="15" hidden="false" customHeight="false" outlineLevel="0" collapsed="false">
      <c r="A709" s="7" t="s">
        <v>271</v>
      </c>
      <c r="B709" s="17" t="n">
        <f aca="false">IF($B$706+$B$707&gt;0,$B$689,0)</f>
        <v>0</v>
      </c>
      <c r="C709" s="23" t="s">
        <v>272</v>
      </c>
      <c r="D709" s="7"/>
      <c r="E709" s="7"/>
      <c r="F709" s="17" t="n">
        <v>0</v>
      </c>
    </row>
    <row r="710" customFormat="false" ht="15" hidden="false" customHeight="false" outlineLevel="0" collapsed="false">
      <c r="A710" s="7" t="s">
        <v>273</v>
      </c>
      <c r="B710" s="17" t="n">
        <f aca="false">IF($B$707=1,MAX($B$702,INT(ROUND($B$709*$B$701,6))),0)</f>
        <v>0</v>
      </c>
      <c r="C710" s="23" t="s">
        <v>274</v>
      </c>
      <c r="D710" s="7"/>
      <c r="E710" s="7"/>
      <c r="F710" s="17" t="n">
        <v>0</v>
      </c>
    </row>
    <row r="711" customFormat="false" ht="15" hidden="false" customHeight="false" outlineLevel="0" collapsed="false">
      <c r="A711" s="7" t="s">
        <v>275</v>
      </c>
      <c r="B711" s="17" t="n">
        <f aca="false">INT(ROUND($B$710*$B$703,6))</f>
        <v>0</v>
      </c>
      <c r="C711" s="23" t="s">
        <v>276</v>
      </c>
      <c r="D711" s="7"/>
      <c r="E711" s="7"/>
      <c r="F711" s="17" t="n">
        <v>0</v>
      </c>
    </row>
    <row r="712" customFormat="false" ht="15" hidden="false" customHeight="false" outlineLevel="0" collapsed="false">
      <c r="A712" s="7" t="s">
        <v>277</v>
      </c>
      <c r="B712" s="17" t="n">
        <f aca="false">IF($B$708=1,0,MIN($B$690,$B$688+$B$706*$B$709))</f>
        <v>0</v>
      </c>
      <c r="C712" s="23" t="s">
        <v>278</v>
      </c>
      <c r="D712" s="7"/>
      <c r="E712" s="7"/>
      <c r="F712" s="17" t="n">
        <v>0</v>
      </c>
    </row>
    <row r="713" customFormat="false" ht="15" hidden="false" customHeight="false" outlineLevel="0" collapsed="false">
      <c r="A713" s="7" t="s">
        <v>279</v>
      </c>
      <c r="B713" s="17" t="n">
        <f aca="false">IF($B$708=1,0,INT(ROUND($B$688*$B$698,6)))</f>
        <v>3300</v>
      </c>
      <c r="C713" s="23" t="s">
        <v>280</v>
      </c>
      <c r="D713" s="7"/>
      <c r="E713" s="7"/>
      <c r="F713" s="17" t="n">
        <v>0</v>
      </c>
    </row>
    <row r="714" customFormat="false" ht="15" hidden="false" customHeight="false" outlineLevel="0" collapsed="false">
      <c r="A714" s="7" t="s">
        <v>281</v>
      </c>
      <c r="B714" s="17" t="n">
        <f aca="false">MIN($B$713,INT(ROUND($B$688*$B$696,6)))</f>
        <v>0</v>
      </c>
      <c r="C714" s="23" t="s">
        <v>282</v>
      </c>
      <c r="D714" s="7"/>
      <c r="E714" s="7"/>
      <c r="F714" s="17" t="n">
        <v>0</v>
      </c>
    </row>
    <row r="715" customFormat="false" ht="15" hidden="false" customHeight="false" outlineLevel="0" collapsed="false">
      <c r="A715" s="7" t="s">
        <v>283</v>
      </c>
      <c r="B715" s="17" t="n">
        <f aca="false">IF($B$706=1,INT(ROUND($B$709*$B$699,6)),IF($B$708=1,INT(ROUND($B$688*$B$699,6)),0))</f>
        <v>0</v>
      </c>
      <c r="C715" s="23" t="s">
        <v>284</v>
      </c>
      <c r="D715" s="7"/>
      <c r="E715" s="7"/>
      <c r="F715" s="17" t="n">
        <v>0</v>
      </c>
    </row>
    <row r="716" customFormat="false" ht="15" hidden="false" customHeight="false" outlineLevel="0" collapsed="false">
      <c r="A716" s="7" t="s">
        <v>285</v>
      </c>
      <c r="B716" s="17" t="n">
        <f aca="false">IF($B$705="merchant",MIN($B$712,MAX(0,$B$709-$B$715)),0)</f>
        <v>0</v>
      </c>
      <c r="C716" s="23" t="s">
        <v>286</v>
      </c>
      <c r="D716" s="7"/>
      <c r="E716" s="7"/>
      <c r="F716" s="17" t="n">
        <v>0</v>
      </c>
    </row>
    <row r="717" customFormat="false" ht="15" hidden="false" customHeight="false" outlineLevel="0" collapsed="false">
      <c r="A717" s="7" t="s">
        <v>287</v>
      </c>
      <c r="B717" s="17" t="n">
        <f aca="false">IF($B$705="sponsor",$B$712,0)</f>
        <v>0</v>
      </c>
      <c r="C717" s="23" t="s">
        <v>288</v>
      </c>
      <c r="D717" s="7"/>
      <c r="E717" s="7"/>
      <c r="F717" s="17" t="n">
        <v>0</v>
      </c>
    </row>
    <row r="718" customFormat="false" ht="15" hidden="false" customHeight="false" outlineLevel="0" collapsed="false">
      <c r="A718" s="7" t="s">
        <v>289</v>
      </c>
      <c r="B718" s="17" t="n">
        <f aca="false">$B$712-$B$716-$B$717</f>
        <v>0</v>
      </c>
      <c r="C718" s="23" t="s">
        <v>290</v>
      </c>
      <c r="D718" s="7"/>
      <c r="E718" s="7"/>
      <c r="F718" s="17" t="n">
        <v>0</v>
      </c>
    </row>
    <row r="719" customFormat="false" ht="15" hidden="false" customHeight="false" outlineLevel="0" collapsed="false">
      <c r="A719" s="7" t="s">
        <v>291</v>
      </c>
      <c r="B719" s="17" t="n">
        <f aca="false">IF($B$708=1,$B$688+$B$700,$B$688+$B$700+$B$709+$B$710+$B$695-$B$712)</f>
        <v>26000</v>
      </c>
      <c r="C719" s="23" t="s">
        <v>292</v>
      </c>
      <c r="D719" s="7"/>
      <c r="E719" s="7"/>
      <c r="F719" s="17" t="n">
        <v>0</v>
      </c>
    </row>
    <row r="720" customFormat="false" ht="15" hidden="false" customHeight="false" outlineLevel="0" collapsed="false">
      <c r="A720" s="7" t="s">
        <v>293</v>
      </c>
      <c r="B720" s="17" t="n">
        <f aca="false">IF(OR($B$708=1,$B$719&lt;=0),0,IFERROR(ROUND($B$719*INDEX('Biaya PG'!$D$7:$D$20,MATCH($B$692,'Biaya PG'!$A$7:$A$20,0)),0)+INDEX('Biaya PG'!$E$7:$E$20,MATCH($B$692,'Biaya PG'!$A$7:$A$20,0)),0))</f>
        <v>2754</v>
      </c>
      <c r="C720" s="23" t="s">
        <v>294</v>
      </c>
      <c r="D720" s="9" t="n">
        <v>2754</v>
      </c>
      <c r="E720" s="18" t="n">
        <f aca="false">B720-D720</f>
        <v>0</v>
      </c>
      <c r="F720" s="17" t="n">
        <f aca="false">ABS(E720)</f>
        <v>0</v>
      </c>
    </row>
    <row r="721" customFormat="false" ht="15" hidden="false" customHeight="false" outlineLevel="0" collapsed="false">
      <c r="A721" s="7" t="s">
        <v>295</v>
      </c>
      <c r="B721" s="17" t="n">
        <f aca="false">IF($B$720=0,0,IF(INDEX('Biaya PG'!$F$7:$F$20,MATCH($B$692,'Biaya PG'!$A$7:$A$20,0))="Ya",0,ROUND($B$720*INDEX('Biaya PG'!$G$7:$G$20,MATCH($B$692,'Biaya PG'!$A$7:$A$20,0)),0)))</f>
        <v>303</v>
      </c>
      <c r="C721" s="23" t="s">
        <v>296</v>
      </c>
      <c r="D721" s="9" t="n">
        <v>303</v>
      </c>
      <c r="E721" s="18" t="n">
        <f aca="false">B721-D721</f>
        <v>0</v>
      </c>
      <c r="F721" s="17" t="n">
        <f aca="false">ABS(E721)</f>
        <v>0</v>
      </c>
    </row>
    <row r="722" customFormat="false" ht="15" hidden="false" customHeight="false" outlineLevel="0" collapsed="false">
      <c r="A722" s="7" t="s">
        <v>297</v>
      </c>
      <c r="B722" s="17" t="n">
        <f aca="false">IF($B$704="customer",$B$720+$B$721,0)</f>
        <v>3057</v>
      </c>
      <c r="C722" s="23" t="s">
        <v>298</v>
      </c>
      <c r="D722" s="9" t="n">
        <v>3057</v>
      </c>
      <c r="E722" s="18" t="n">
        <f aca="false">B722-D722</f>
        <v>0</v>
      </c>
      <c r="F722" s="17" t="n">
        <f aca="false">ABS(E722)</f>
        <v>0</v>
      </c>
    </row>
    <row r="723" customFormat="false" ht="15" hidden="false" customHeight="false" outlineLevel="0" collapsed="false">
      <c r="A723" s="6" t="s">
        <v>299</v>
      </c>
      <c r="B723" s="18" t="n">
        <f aca="false">$B$719+$B$722</f>
        <v>29057</v>
      </c>
      <c r="C723" s="23" t="s">
        <v>300</v>
      </c>
      <c r="D723" s="9" t="n">
        <v>29057</v>
      </c>
      <c r="E723" s="18" t="n">
        <f aca="false">B723-D723</f>
        <v>0</v>
      </c>
      <c r="F723" s="17" t="n">
        <f aca="false">ABS(E723)</f>
        <v>0</v>
      </c>
    </row>
    <row r="724" customFormat="false" ht="15" hidden="false" customHeight="false" outlineLevel="0" collapsed="false">
      <c r="A724" s="7" t="s">
        <v>301</v>
      </c>
      <c r="B724" s="17" t="n">
        <f aca="false">IF($B$708=1,0,$B$694)</f>
        <v>0</v>
      </c>
      <c r="C724" s="23"/>
      <c r="D724" s="7"/>
      <c r="E724" s="7"/>
      <c r="F724" s="17" t="n">
        <v>0</v>
      </c>
    </row>
    <row r="725" customFormat="false" ht="15" hidden="false" customHeight="false" outlineLevel="0" collapsed="false">
      <c r="A725" s="7" t="s">
        <v>302</v>
      </c>
      <c r="B725" s="17" t="n">
        <f aca="false">$B$723+$B$724</f>
        <v>29057</v>
      </c>
      <c r="C725" s="23" t="s">
        <v>303</v>
      </c>
      <c r="D725" s="7"/>
      <c r="E725" s="7"/>
      <c r="F725" s="17" t="n">
        <v>0</v>
      </c>
    </row>
    <row r="726" customFormat="false" ht="15" hidden="false" customHeight="false" outlineLevel="0" collapsed="false">
      <c r="A726" s="6" t="s">
        <v>304</v>
      </c>
      <c r="B726" s="18" t="n">
        <f aca="false">IF($B$708=1,0,($B$688-$B$713+$B$714)+$B$724+$B$695+$B$711)</f>
        <v>18700</v>
      </c>
      <c r="C726" s="23" t="s">
        <v>305</v>
      </c>
      <c r="D726" s="7"/>
      <c r="E726" s="7"/>
      <c r="F726" s="17" t="n">
        <v>0</v>
      </c>
    </row>
    <row r="727" customFormat="false" ht="15" hidden="false" customHeight="false" outlineLevel="0" collapsed="false">
      <c r="A727" s="6" t="s">
        <v>211</v>
      </c>
      <c r="B727" s="18" t="n">
        <f aca="false">IF($B$706=1,$B$709-$B$715-$B$716,0)</f>
        <v>0</v>
      </c>
      <c r="C727" s="23" t="s">
        <v>306</v>
      </c>
      <c r="D727" s="7"/>
      <c r="E727" s="7"/>
      <c r="F727" s="17" t="n">
        <v>0</v>
      </c>
    </row>
    <row r="728" customFormat="false" ht="15" hidden="false" customHeight="false" outlineLevel="0" collapsed="false">
      <c r="A728" s="7" t="s">
        <v>307</v>
      </c>
      <c r="B728" s="17" t="n">
        <f aca="false">IF($B$707=1,$B$709,0)</f>
        <v>0</v>
      </c>
      <c r="C728" s="23" t="s">
        <v>308</v>
      </c>
      <c r="D728" s="7"/>
      <c r="E728" s="7"/>
      <c r="F728" s="17" t="n">
        <v>0</v>
      </c>
    </row>
    <row r="729" customFormat="false" ht="15" hidden="false" customHeight="false" outlineLevel="0" collapsed="false">
      <c r="A729" s="7" t="s">
        <v>309</v>
      </c>
      <c r="B729" s="17" t="n">
        <f aca="false">IF($B$708=1,$B$688-$B$715,0)</f>
        <v>0</v>
      </c>
      <c r="C729" s="23" t="s">
        <v>310</v>
      </c>
      <c r="D729" s="7"/>
      <c r="E729" s="7"/>
      <c r="F729" s="17" t="n">
        <v>0</v>
      </c>
    </row>
    <row r="730" customFormat="false" ht="15" hidden="false" customHeight="false" outlineLevel="0" collapsed="false">
      <c r="A730" s="7" t="s">
        <v>311</v>
      </c>
      <c r="B730" s="17" t="n">
        <f aca="false">$B$710-$B$711</f>
        <v>0</v>
      </c>
      <c r="C730" s="23" t="s">
        <v>312</v>
      </c>
      <c r="D730" s="7"/>
      <c r="E730" s="7"/>
      <c r="F730" s="17" t="n">
        <v>0</v>
      </c>
    </row>
    <row r="731" customFormat="false" ht="15" hidden="false" customHeight="false" outlineLevel="0" collapsed="false">
      <c r="A731" s="6" t="s">
        <v>212</v>
      </c>
      <c r="B731" s="18" t="n">
        <f aca="false">IF($B$708=1,$B$700+$B$715,$B$700+($B$713-$B$714)+$B$715+$B$730-$B$718)</f>
        <v>7300</v>
      </c>
      <c r="C731" s="23" t="s">
        <v>313</v>
      </c>
      <c r="D731" s="9" t="n">
        <v>7300</v>
      </c>
      <c r="E731" s="18" t="n">
        <f aca="false">B731-D731</f>
        <v>0</v>
      </c>
      <c r="F731" s="17" t="n">
        <f aca="false">ABS(E731)</f>
        <v>0</v>
      </c>
    </row>
    <row r="732" customFormat="false" ht="15" hidden="false" customHeight="false" outlineLevel="0" collapsed="false">
      <c r="A732" s="7" t="s">
        <v>314</v>
      </c>
      <c r="B732" s="17" t="n">
        <f aca="false">$B$731+$B$714</f>
        <v>7300</v>
      </c>
      <c r="C732" s="23" t="s">
        <v>315</v>
      </c>
      <c r="D732" s="7"/>
      <c r="E732" s="7"/>
      <c r="F732" s="17" t="n">
        <v>0</v>
      </c>
    </row>
    <row r="733" customFormat="false" ht="15" hidden="false" customHeight="false" outlineLevel="0" collapsed="false">
      <c r="A733" s="7" t="s">
        <v>316</v>
      </c>
      <c r="B733" s="17" t="n">
        <f aca="false">$B$720+$B$721</f>
        <v>3057</v>
      </c>
      <c r="C733" s="23" t="s">
        <v>317</v>
      </c>
      <c r="D733" s="7"/>
      <c r="E733" s="7"/>
      <c r="F733" s="17" t="n">
        <v>0</v>
      </c>
    </row>
    <row r="734" customFormat="false" ht="15" hidden="false" customHeight="false" outlineLevel="0" collapsed="false">
      <c r="A734" s="7" t="s">
        <v>318</v>
      </c>
      <c r="B734" s="17" t="n">
        <f aca="false">IF($B$704="platform",$B$733,0)</f>
        <v>0</v>
      </c>
      <c r="C734" s="23" t="s">
        <v>319</v>
      </c>
      <c r="D734" s="7"/>
      <c r="E734" s="7"/>
      <c r="F734" s="17" t="n">
        <v>0</v>
      </c>
    </row>
    <row r="735" customFormat="false" ht="15" hidden="false" customHeight="false" outlineLevel="0" collapsed="false">
      <c r="A735" s="6" t="s">
        <v>320</v>
      </c>
      <c r="B735" s="18" t="n">
        <f aca="false">$B$731-$B$734</f>
        <v>7300</v>
      </c>
      <c r="C735" s="23" t="s">
        <v>321</v>
      </c>
      <c r="D735" s="7"/>
      <c r="E735" s="7"/>
      <c r="F735" s="17" t="n">
        <v>0</v>
      </c>
    </row>
    <row r="736" customFormat="false" ht="15" hidden="false" customHeight="false" outlineLevel="0" collapsed="false">
      <c r="A736" s="6" t="s">
        <v>322</v>
      </c>
      <c r="B736" s="17" t="n">
        <f aca="false">IF($B$692="cash",IF($B$708=1,$B$723-$B$729,$B$723-$B$728-$B$727-($B$726-$B$724)),0)</f>
        <v>0</v>
      </c>
      <c r="C736" s="23" t="s">
        <v>323</v>
      </c>
      <c r="D736" s="7"/>
      <c r="E736" s="7"/>
      <c r="F736" s="17" t="n">
        <v>0</v>
      </c>
    </row>
    <row r="737" customFormat="false" ht="15" hidden="false" customHeight="false" outlineLevel="0" collapsed="false">
      <c r="A737" s="7" t="s">
        <v>324</v>
      </c>
      <c r="B737" s="7" t="str">
        <f aca="false">IF($B$692="cash","Tunai",IF($B$692="antarpay","Saldo AntarPay","Digital (gateway)"))</f>
        <v>Digital (gateway)</v>
      </c>
      <c r="C737" s="23" t="s">
        <v>325</v>
      </c>
      <c r="D737" s="7"/>
      <c r="E737" s="7"/>
      <c r="F737" s="17" t="n">
        <v>0</v>
      </c>
    </row>
    <row r="738" customFormat="false" ht="15" hidden="false" customHeight="false" outlineLevel="0" collapsed="false">
      <c r="A738" s="7" t="s">
        <v>326</v>
      </c>
      <c r="B738" s="26" t="n">
        <f aca="false">IF($B$733=0,0,IFERROR(IF(AND($B$692="bank_transfer",OR($B$693="bsi",$B$693="seabank")),INDEX('Biaya PG'!$I$7:$I$20,MATCH($B$692,'Biaya PG'!$A$7:$A$20,0)),INDEX('Biaya PG'!$H$7:$H$20,MATCH($B$692,'Biaya PG'!$A$7:$A$20,0))),0))</f>
        <v>3</v>
      </c>
      <c r="C738" s="23" t="s">
        <v>327</v>
      </c>
      <c r="D738" s="7"/>
      <c r="E738" s="7"/>
      <c r="F738" s="17" t="n">
        <v>0</v>
      </c>
    </row>
    <row r="739" customFormat="false" ht="15" hidden="false" customHeight="false" outlineLevel="0" collapsed="false">
      <c r="A739" s="7" t="s">
        <v>328</v>
      </c>
      <c r="B739" s="17" t="n">
        <f aca="false">IF($B$708=1,$B$688,$B$709+$B$688)</f>
        <v>22000</v>
      </c>
      <c r="C739" s="23" t="s">
        <v>329</v>
      </c>
      <c r="D739" s="7"/>
      <c r="E739" s="7"/>
      <c r="F739" s="17" t="n">
        <v>0</v>
      </c>
    </row>
    <row r="740" customFormat="false" ht="15" hidden="false" customHeight="false" outlineLevel="0" collapsed="false">
      <c r="A740" s="7" t="s">
        <v>330</v>
      </c>
      <c r="B740" s="20" t="n">
        <f aca="false">IF($B$739&gt;0,$B$732/$B$739,0)</f>
        <v>0.331818181818182</v>
      </c>
      <c r="C740" s="23" t="s">
        <v>331</v>
      </c>
      <c r="D740" s="7"/>
      <c r="E740" s="7"/>
      <c r="F740" s="17" t="n">
        <v>0</v>
      </c>
    </row>
    <row r="741" customFormat="false" ht="15" hidden="false" customHeight="false" outlineLevel="0" collapsed="false">
      <c r="A741" s="7" t="s">
        <v>207</v>
      </c>
      <c r="B741" s="20" t="n">
        <f aca="false">IF(AND($B$688&gt;0,$B$708=0),($B$688-$B$713+$B$714)/$B$688,0)</f>
        <v>0.85</v>
      </c>
      <c r="C741" s="23" t="s">
        <v>332</v>
      </c>
      <c r="D741" s="7"/>
      <c r="E741" s="7"/>
      <c r="F741" s="17" t="n">
        <v>0</v>
      </c>
    </row>
    <row r="742" customFormat="false" ht="15" hidden="false" customHeight="false" outlineLevel="0" collapsed="false">
      <c r="A742" s="6" t="s">
        <v>333</v>
      </c>
      <c r="B742" s="17" t="n">
        <f aca="false">$B$725+$B$717-($B$726+$B$727+$B$728+$B$729+$B$731+$B$722)</f>
        <v>0</v>
      </c>
      <c r="C742" s="23" t="s">
        <v>334</v>
      </c>
      <c r="D742" s="7"/>
      <c r="E742" s="7"/>
      <c r="F742" s="17" t="n">
        <v>0</v>
      </c>
    </row>
    <row r="743" customFormat="false" ht="15" hidden="false" customHeight="false" outlineLevel="0" collapsed="false">
      <c r="A743" s="2" t="s">
        <v>355</v>
      </c>
    </row>
    <row r="745" customFormat="false" ht="15" hidden="false" customHeight="false" outlineLevel="0" collapsed="false">
      <c r="A745" s="3" t="s">
        <v>225</v>
      </c>
      <c r="B745" s="4"/>
      <c r="C745" s="4"/>
      <c r="D745" s="4"/>
      <c r="E745" s="4"/>
      <c r="F745" s="4"/>
    </row>
    <row r="746" customFormat="false" ht="15" hidden="false" customHeight="false" outlineLevel="0" collapsed="false">
      <c r="A746" s="5" t="s">
        <v>229</v>
      </c>
      <c r="B746" s="5" t="s">
        <v>52</v>
      </c>
      <c r="C746" s="5" t="s">
        <v>230</v>
      </c>
      <c r="D746" s="5" t="s">
        <v>231</v>
      </c>
      <c r="E746" s="5" t="s">
        <v>232</v>
      </c>
      <c r="F746" s="5" t="s">
        <v>233</v>
      </c>
    </row>
    <row r="747" customFormat="false" ht="15" hidden="false" customHeight="false" outlineLevel="0" collapsed="false">
      <c r="A747" s="7" t="s">
        <v>3</v>
      </c>
      <c r="B747" s="6" t="s">
        <v>30</v>
      </c>
      <c r="C747" s="23" t="s">
        <v>234</v>
      </c>
      <c r="D747" s="7"/>
      <c r="E747" s="7"/>
      <c r="F747" s="17" t="n">
        <v>0</v>
      </c>
    </row>
    <row r="748" customFormat="false" ht="15" hidden="false" customHeight="false" outlineLevel="0" collapsed="false">
      <c r="A748" s="7" t="s">
        <v>235</v>
      </c>
      <c r="B748" s="9" t="n">
        <v>8000</v>
      </c>
      <c r="C748" s="23" t="s">
        <v>236</v>
      </c>
      <c r="D748" s="7"/>
      <c r="E748" s="7"/>
      <c r="F748" s="17" t="n">
        <v>0</v>
      </c>
    </row>
    <row r="749" customFormat="false" ht="15" hidden="false" customHeight="false" outlineLevel="0" collapsed="false">
      <c r="A749" s="7" t="s">
        <v>237</v>
      </c>
      <c r="B749" s="9" t="n">
        <v>0</v>
      </c>
      <c r="C749" s="23" t="s">
        <v>238</v>
      </c>
      <c r="D749" s="7"/>
      <c r="E749" s="7"/>
      <c r="F749" s="17" t="n">
        <v>0</v>
      </c>
    </row>
    <row r="750" customFormat="false" ht="15" hidden="false" customHeight="false" outlineLevel="0" collapsed="false">
      <c r="A750" s="7" t="s">
        <v>239</v>
      </c>
      <c r="B750" s="9" t="n">
        <v>0</v>
      </c>
      <c r="C750" s="23" t="s">
        <v>240</v>
      </c>
      <c r="D750" s="7"/>
      <c r="E750" s="7"/>
      <c r="F750" s="17" t="n">
        <v>0</v>
      </c>
    </row>
    <row r="751" customFormat="false" ht="15" hidden="false" customHeight="false" outlineLevel="0" collapsed="false">
      <c r="A751" s="7" t="s">
        <v>241</v>
      </c>
      <c r="B751" s="10"/>
      <c r="C751" s="23" t="s">
        <v>242</v>
      </c>
      <c r="D751" s="7"/>
      <c r="E751" s="7"/>
      <c r="F751" s="17" t="n">
        <v>0</v>
      </c>
    </row>
    <row r="752" customFormat="false" ht="15" hidden="false" customHeight="false" outlineLevel="0" collapsed="false">
      <c r="A752" s="7" t="s">
        <v>243</v>
      </c>
      <c r="B752" s="10" t="s">
        <v>143</v>
      </c>
      <c r="C752" s="23" t="s">
        <v>244</v>
      </c>
      <c r="D752" s="7"/>
      <c r="E752" s="7"/>
      <c r="F752" s="17" t="n">
        <v>0</v>
      </c>
    </row>
    <row r="753" customFormat="false" ht="15" hidden="false" customHeight="false" outlineLevel="0" collapsed="false">
      <c r="A753" s="7" t="s">
        <v>245</v>
      </c>
      <c r="B753" s="10" t="s">
        <v>356</v>
      </c>
      <c r="C753" s="23" t="s">
        <v>246</v>
      </c>
      <c r="D753" s="7"/>
      <c r="E753" s="7"/>
      <c r="F753" s="17" t="n">
        <v>0</v>
      </c>
    </row>
    <row r="754" customFormat="false" ht="15" hidden="false" customHeight="false" outlineLevel="0" collapsed="false">
      <c r="A754" s="7" t="s">
        <v>247</v>
      </c>
      <c r="B754" s="9" t="n">
        <v>0</v>
      </c>
      <c r="C754" s="23" t="s">
        <v>248</v>
      </c>
      <c r="D754" s="7"/>
      <c r="E754" s="7"/>
      <c r="F754" s="17" t="n">
        <v>0</v>
      </c>
    </row>
    <row r="755" customFormat="false" ht="15" hidden="false" customHeight="false" outlineLevel="0" collapsed="false">
      <c r="A755" s="7" t="s">
        <v>249</v>
      </c>
      <c r="B755" s="9" t="n">
        <v>0</v>
      </c>
      <c r="C755" s="23" t="s">
        <v>250</v>
      </c>
      <c r="D755" s="7"/>
      <c r="E755" s="7"/>
      <c r="F755" s="17" t="n">
        <v>0</v>
      </c>
    </row>
    <row r="756" customFormat="false" ht="15" hidden="false" customHeight="false" outlineLevel="0" collapsed="false">
      <c r="A756" s="7" t="s">
        <v>251</v>
      </c>
      <c r="B756" s="8" t="n">
        <v>0</v>
      </c>
      <c r="C756" s="23" t="s">
        <v>252</v>
      </c>
      <c r="D756" s="7"/>
      <c r="E756" s="7"/>
      <c r="F756" s="17" t="n">
        <v>0</v>
      </c>
    </row>
    <row r="757" customFormat="false" ht="15" hidden="false" customHeight="false" outlineLevel="0" collapsed="false">
      <c r="A757" s="7" t="s">
        <v>253</v>
      </c>
      <c r="B757" s="10"/>
      <c r="C757" s="23" t="s">
        <v>254</v>
      </c>
      <c r="D757" s="7"/>
      <c r="E757" s="7"/>
      <c r="F757" s="17" t="n">
        <v>0</v>
      </c>
    </row>
    <row r="758" customFormat="false" ht="15" hidden="false" customHeight="false" outlineLevel="0" collapsed="false">
      <c r="A758" s="7" t="s">
        <v>255</v>
      </c>
      <c r="B758" s="20" t="n">
        <f aca="false">INDEX(Asumsi!$C$6:$C$13,MATCH($B$747,Asumsi!$A$6:$A$13,0))</f>
        <v>0</v>
      </c>
      <c r="C758" s="23" t="s">
        <v>256</v>
      </c>
      <c r="D758" s="7"/>
      <c r="E758" s="7"/>
      <c r="F758" s="17" t="n">
        <v>0</v>
      </c>
    </row>
    <row r="759" customFormat="false" ht="15" hidden="false" customHeight="false" outlineLevel="0" collapsed="false">
      <c r="A759" s="7" t="s">
        <v>6</v>
      </c>
      <c r="B759" s="20" t="n">
        <f aca="false">INDEX(Asumsi!$D$6:$D$13,MATCH($B$747,Asumsi!$A$6:$A$13,0))</f>
        <v>0</v>
      </c>
      <c r="C759" s="23" t="s">
        <v>257</v>
      </c>
      <c r="D759" s="7"/>
      <c r="E759" s="7"/>
      <c r="F759" s="17" t="n">
        <v>0</v>
      </c>
    </row>
    <row r="760" customFormat="false" ht="15" hidden="false" customHeight="false" outlineLevel="0" collapsed="false">
      <c r="A760" s="7" t="s">
        <v>258</v>
      </c>
      <c r="B760" s="17" t="n">
        <f aca="false">INDEX(Asumsi!$E$6:$E$13,MATCH($B$747,Asumsi!$A$6:$A$13,0))</f>
        <v>3000</v>
      </c>
      <c r="C760" s="23" t="s">
        <v>259</v>
      </c>
      <c r="D760" s="7"/>
      <c r="E760" s="7"/>
      <c r="F760" s="17" t="n">
        <v>0</v>
      </c>
    </row>
    <row r="761" customFormat="false" ht="15" hidden="false" customHeight="false" outlineLevel="0" collapsed="false">
      <c r="A761" s="7" t="s">
        <v>8</v>
      </c>
      <c r="B761" s="20" t="n">
        <f aca="false">INDEX(Asumsi!$F$6:$F$13,MATCH($B$747,Asumsi!$A$6:$A$13,0))</f>
        <v>0</v>
      </c>
      <c r="C761" s="23" t="s">
        <v>260</v>
      </c>
      <c r="D761" s="7"/>
      <c r="E761" s="7"/>
      <c r="F761" s="17" t="n">
        <v>0</v>
      </c>
    </row>
    <row r="762" customFormat="false" ht="15" hidden="false" customHeight="false" outlineLevel="0" collapsed="false">
      <c r="A762" s="7" t="s">
        <v>9</v>
      </c>
      <c r="B762" s="17" t="n">
        <f aca="false">INDEX(Asumsi!$G$6:$G$13,MATCH($B$747,Asumsi!$A$6:$A$13,0))</f>
        <v>0</v>
      </c>
      <c r="C762" s="23" t="s">
        <v>261</v>
      </c>
      <c r="D762" s="7"/>
      <c r="E762" s="7"/>
      <c r="F762" s="17" t="n">
        <v>0</v>
      </c>
    </row>
    <row r="763" customFormat="false" ht="15" hidden="false" customHeight="false" outlineLevel="0" collapsed="false">
      <c r="A763" s="7" t="s">
        <v>262</v>
      </c>
      <c r="B763" s="20" t="n">
        <f aca="false">INDEX(Asumsi!$H$6:$H$13,MATCH($B$747,Asumsi!$A$6:$A$13,0))</f>
        <v>0</v>
      </c>
      <c r="C763" s="23" t="s">
        <v>263</v>
      </c>
      <c r="D763" s="7"/>
      <c r="E763" s="7"/>
      <c r="F763" s="17" t="n">
        <v>0</v>
      </c>
    </row>
    <row r="764" customFormat="false" ht="15" hidden="false" customHeight="false" outlineLevel="0" collapsed="false">
      <c r="A764" s="7" t="s">
        <v>264</v>
      </c>
      <c r="B764" s="7" t="str">
        <f aca="false">IF($B$757="",INDEX(Asumsi!$I$6:$I$13,MATCH($B$747,Asumsi!$A$6:$A$13,0)),$B$757)</f>
        <v>platform</v>
      </c>
      <c r="C764" s="23" t="s">
        <v>265</v>
      </c>
      <c r="D764" s="7"/>
      <c r="E764" s="7"/>
      <c r="F764" s="17" t="n">
        <v>0</v>
      </c>
    </row>
    <row r="765" customFormat="false" ht="15" hidden="false" customHeight="false" outlineLevel="0" collapsed="false">
      <c r="A765" s="7" t="s">
        <v>266</v>
      </c>
      <c r="B765" s="7" t="str">
        <f aca="false">IF(AND(IF($B$751="",INDEX(Asumsi!$J$6:$J$13,MATCH($B$747,Asumsi!$A$6:$A$13,0)),$B$751)="merchant",$B$747&lt;&gt;"food"),"platform",IF($B$751="",INDEX(Asumsi!$J$6:$J$13,MATCH($B$747,Asumsi!$A$6:$A$13,0)),$B$751))</f>
        <v>platform</v>
      </c>
      <c r="C765" s="23" t="s">
        <v>267</v>
      </c>
      <c r="D765" s="7"/>
      <c r="E765" s="7"/>
      <c r="F765" s="17" t="n">
        <v>0</v>
      </c>
    </row>
    <row r="766" customFormat="false" ht="15" hidden="false" customHeight="false" outlineLevel="0" collapsed="false">
      <c r="A766" s="7" t="s">
        <v>268</v>
      </c>
      <c r="B766" s="26" t="n">
        <f aca="false">IF($B$747="food",1,0)</f>
        <v>0</v>
      </c>
      <c r="C766" s="23"/>
      <c r="D766" s="7"/>
      <c r="E766" s="7"/>
      <c r="F766" s="17" t="n">
        <v>0</v>
      </c>
    </row>
    <row r="767" customFormat="false" ht="15" hidden="false" customHeight="false" outlineLevel="0" collapsed="false">
      <c r="A767" s="7" t="s">
        <v>269</v>
      </c>
      <c r="B767" s="26" t="n">
        <f aca="false">IF(OR($B$747="shop",$B$747="market"),1,0)</f>
        <v>0</v>
      </c>
      <c r="C767" s="23"/>
      <c r="D767" s="7"/>
      <c r="E767" s="7"/>
      <c r="F767" s="17" t="n">
        <v>0</v>
      </c>
    </row>
    <row r="768" customFormat="false" ht="15" hidden="false" customHeight="false" outlineLevel="0" collapsed="false">
      <c r="A768" s="7" t="s">
        <v>270</v>
      </c>
      <c r="B768" s="26" t="n">
        <f aca="false">IF($B$747="travel",1,0)</f>
        <v>0</v>
      </c>
      <c r="C768" s="23"/>
      <c r="D768" s="7"/>
      <c r="E768" s="7"/>
      <c r="F768" s="17" t="n">
        <v>0</v>
      </c>
    </row>
    <row r="769" customFormat="false" ht="15" hidden="false" customHeight="false" outlineLevel="0" collapsed="false">
      <c r="A769" s="7" t="s">
        <v>271</v>
      </c>
      <c r="B769" s="17" t="n">
        <f aca="false">IF($B$766+$B$767&gt;0,$B$749,0)</f>
        <v>0</v>
      </c>
      <c r="C769" s="23" t="s">
        <v>272</v>
      </c>
      <c r="D769" s="7"/>
      <c r="E769" s="7"/>
      <c r="F769" s="17" t="n">
        <v>0</v>
      </c>
    </row>
    <row r="770" customFormat="false" ht="15" hidden="false" customHeight="false" outlineLevel="0" collapsed="false">
      <c r="A770" s="7" t="s">
        <v>273</v>
      </c>
      <c r="B770" s="17" t="n">
        <f aca="false">IF($B$767=1,MAX($B$762,INT(ROUND($B$769*$B$761,6))),0)</f>
        <v>0</v>
      </c>
      <c r="C770" s="23" t="s">
        <v>274</v>
      </c>
      <c r="D770" s="7"/>
      <c r="E770" s="7"/>
      <c r="F770" s="17" t="n">
        <v>0</v>
      </c>
    </row>
    <row r="771" customFormat="false" ht="15" hidden="false" customHeight="false" outlineLevel="0" collapsed="false">
      <c r="A771" s="7" t="s">
        <v>275</v>
      </c>
      <c r="B771" s="17" t="n">
        <f aca="false">INT(ROUND($B$770*$B$763,6))</f>
        <v>0</v>
      </c>
      <c r="C771" s="23" t="s">
        <v>276</v>
      </c>
      <c r="D771" s="7"/>
      <c r="E771" s="7"/>
      <c r="F771" s="17" t="n">
        <v>0</v>
      </c>
    </row>
    <row r="772" customFormat="false" ht="15" hidden="false" customHeight="false" outlineLevel="0" collapsed="false">
      <c r="A772" s="7" t="s">
        <v>277</v>
      </c>
      <c r="B772" s="17" t="n">
        <f aca="false">IF($B$768=1,0,MIN($B$750,$B$748+$B$766*$B$769))</f>
        <v>0</v>
      </c>
      <c r="C772" s="23" t="s">
        <v>278</v>
      </c>
      <c r="D772" s="7"/>
      <c r="E772" s="7"/>
      <c r="F772" s="17" t="n">
        <v>0</v>
      </c>
    </row>
    <row r="773" customFormat="false" ht="15" hidden="false" customHeight="false" outlineLevel="0" collapsed="false">
      <c r="A773" s="7" t="s">
        <v>279</v>
      </c>
      <c r="B773" s="17" t="n">
        <f aca="false">IF($B$768=1,0,INT(ROUND($B$748*$B$758,6)))</f>
        <v>0</v>
      </c>
      <c r="C773" s="23" t="s">
        <v>280</v>
      </c>
      <c r="D773" s="7"/>
      <c r="E773" s="7"/>
      <c r="F773" s="17" t="n">
        <v>0</v>
      </c>
    </row>
    <row r="774" customFormat="false" ht="15" hidden="false" customHeight="false" outlineLevel="0" collapsed="false">
      <c r="A774" s="7" t="s">
        <v>281</v>
      </c>
      <c r="B774" s="17" t="n">
        <f aca="false">MIN($B$773,INT(ROUND($B$748*$B$756,6)))</f>
        <v>0</v>
      </c>
      <c r="C774" s="23" t="s">
        <v>282</v>
      </c>
      <c r="D774" s="7"/>
      <c r="E774" s="7"/>
      <c r="F774" s="17" t="n">
        <v>0</v>
      </c>
    </row>
    <row r="775" customFormat="false" ht="15" hidden="false" customHeight="false" outlineLevel="0" collapsed="false">
      <c r="A775" s="7" t="s">
        <v>283</v>
      </c>
      <c r="B775" s="17" t="n">
        <f aca="false">IF($B$766=1,INT(ROUND($B$769*$B$759,6)),IF($B$768=1,INT(ROUND($B$748*$B$759,6)),0))</f>
        <v>0</v>
      </c>
      <c r="C775" s="23" t="s">
        <v>284</v>
      </c>
      <c r="D775" s="7"/>
      <c r="E775" s="7"/>
      <c r="F775" s="17" t="n">
        <v>0</v>
      </c>
    </row>
    <row r="776" customFormat="false" ht="15" hidden="false" customHeight="false" outlineLevel="0" collapsed="false">
      <c r="A776" s="7" t="s">
        <v>285</v>
      </c>
      <c r="B776" s="17" t="n">
        <f aca="false">IF($B$765="merchant",MIN($B$772,MAX(0,$B$769-$B$775)),0)</f>
        <v>0</v>
      </c>
      <c r="C776" s="23" t="s">
        <v>286</v>
      </c>
      <c r="D776" s="7"/>
      <c r="E776" s="7"/>
      <c r="F776" s="17" t="n">
        <v>0</v>
      </c>
    </row>
    <row r="777" customFormat="false" ht="15" hidden="false" customHeight="false" outlineLevel="0" collapsed="false">
      <c r="A777" s="7" t="s">
        <v>287</v>
      </c>
      <c r="B777" s="17" t="n">
        <f aca="false">IF($B$765="sponsor",$B$772,0)</f>
        <v>0</v>
      </c>
      <c r="C777" s="23" t="s">
        <v>288</v>
      </c>
      <c r="D777" s="7"/>
      <c r="E777" s="7"/>
      <c r="F777" s="17" t="n">
        <v>0</v>
      </c>
    </row>
    <row r="778" customFormat="false" ht="15" hidden="false" customHeight="false" outlineLevel="0" collapsed="false">
      <c r="A778" s="7" t="s">
        <v>289</v>
      </c>
      <c r="B778" s="17" t="n">
        <f aca="false">$B$772-$B$776-$B$777</f>
        <v>0</v>
      </c>
      <c r="C778" s="23" t="s">
        <v>290</v>
      </c>
      <c r="D778" s="7"/>
      <c r="E778" s="7"/>
      <c r="F778" s="17" t="n">
        <v>0</v>
      </c>
    </row>
    <row r="779" customFormat="false" ht="15" hidden="false" customHeight="false" outlineLevel="0" collapsed="false">
      <c r="A779" s="7" t="s">
        <v>291</v>
      </c>
      <c r="B779" s="17" t="n">
        <f aca="false">IF($B$768=1,$B$748+$B$760,$B$748+$B$760+$B$769+$B$770+$B$755-$B$772)</f>
        <v>11000</v>
      </c>
      <c r="C779" s="23" t="s">
        <v>292</v>
      </c>
      <c r="D779" s="7"/>
      <c r="E779" s="7"/>
      <c r="F779" s="17" t="n">
        <v>0</v>
      </c>
    </row>
    <row r="780" customFormat="false" ht="15" hidden="false" customHeight="false" outlineLevel="0" collapsed="false">
      <c r="A780" s="7" t="s">
        <v>293</v>
      </c>
      <c r="B780" s="17" t="n">
        <f aca="false">IF(OR($B$768=1,$B$779&lt;=0),0,IFERROR(ROUND($B$779*INDEX('Biaya PG'!$D$7:$D$20,MATCH($B$752,'Biaya PG'!$A$7:$A$20,0)),0)+INDEX('Biaya PG'!$E$7:$E$20,MATCH($B$752,'Biaya PG'!$A$7:$A$20,0)),0))</f>
        <v>4000</v>
      </c>
      <c r="C780" s="23" t="s">
        <v>294</v>
      </c>
      <c r="D780" s="9" t="n">
        <v>4000</v>
      </c>
      <c r="E780" s="18" t="n">
        <f aca="false">B780-D780</f>
        <v>0</v>
      </c>
      <c r="F780" s="17" t="n">
        <f aca="false">ABS(E780)</f>
        <v>0</v>
      </c>
    </row>
    <row r="781" customFormat="false" ht="15" hidden="false" customHeight="false" outlineLevel="0" collapsed="false">
      <c r="A781" s="7" t="s">
        <v>295</v>
      </c>
      <c r="B781" s="17" t="n">
        <f aca="false">IF($B$780=0,0,IF(INDEX('Biaya PG'!$F$7:$F$20,MATCH($B$752,'Biaya PG'!$A$7:$A$20,0))="Ya",0,ROUND($B$780*INDEX('Biaya PG'!$G$7:$G$20,MATCH($B$752,'Biaya PG'!$A$7:$A$20,0)),0)))</f>
        <v>440</v>
      </c>
      <c r="C781" s="23" t="s">
        <v>296</v>
      </c>
      <c r="D781" s="9" t="n">
        <v>440</v>
      </c>
      <c r="E781" s="18" t="n">
        <f aca="false">B781-D781</f>
        <v>0</v>
      </c>
      <c r="F781" s="17" t="n">
        <f aca="false">ABS(E781)</f>
        <v>0</v>
      </c>
    </row>
    <row r="782" customFormat="false" ht="15" hidden="false" customHeight="false" outlineLevel="0" collapsed="false">
      <c r="A782" s="7" t="s">
        <v>297</v>
      </c>
      <c r="B782" s="17" t="n">
        <f aca="false">IF($B$764="customer",$B$780+$B$781,0)</f>
        <v>0</v>
      </c>
      <c r="C782" s="23" t="s">
        <v>298</v>
      </c>
      <c r="D782" s="7"/>
      <c r="E782" s="7"/>
      <c r="F782" s="17" t="n">
        <v>0</v>
      </c>
    </row>
    <row r="783" customFormat="false" ht="15" hidden="false" customHeight="false" outlineLevel="0" collapsed="false">
      <c r="A783" s="6" t="s">
        <v>299</v>
      </c>
      <c r="B783" s="18" t="n">
        <f aca="false">$B$779+$B$782</f>
        <v>11000</v>
      </c>
      <c r="C783" s="23" t="s">
        <v>300</v>
      </c>
      <c r="D783" s="7"/>
      <c r="E783" s="7"/>
      <c r="F783" s="17" t="n">
        <v>0</v>
      </c>
    </row>
    <row r="784" customFormat="false" ht="15" hidden="false" customHeight="false" outlineLevel="0" collapsed="false">
      <c r="A784" s="7" t="s">
        <v>301</v>
      </c>
      <c r="B784" s="17" t="n">
        <f aca="false">IF($B$768=1,0,$B$754)</f>
        <v>0</v>
      </c>
      <c r="C784" s="23"/>
      <c r="D784" s="7"/>
      <c r="E784" s="7"/>
      <c r="F784" s="17" t="n">
        <v>0</v>
      </c>
    </row>
    <row r="785" customFormat="false" ht="15" hidden="false" customHeight="false" outlineLevel="0" collapsed="false">
      <c r="A785" s="7" t="s">
        <v>302</v>
      </c>
      <c r="B785" s="17" t="n">
        <f aca="false">$B$783+$B$784</f>
        <v>11000</v>
      </c>
      <c r="C785" s="23" t="s">
        <v>303</v>
      </c>
      <c r="D785" s="7"/>
      <c r="E785" s="7"/>
      <c r="F785" s="17" t="n">
        <v>0</v>
      </c>
    </row>
    <row r="786" customFormat="false" ht="15" hidden="false" customHeight="false" outlineLevel="0" collapsed="false">
      <c r="A786" s="6" t="s">
        <v>304</v>
      </c>
      <c r="B786" s="18" t="n">
        <f aca="false">IF($B$768=1,0,($B$748-$B$773+$B$774)+$B$784+$B$755+$B$771)</f>
        <v>8000</v>
      </c>
      <c r="C786" s="23" t="s">
        <v>305</v>
      </c>
      <c r="D786" s="7"/>
      <c r="E786" s="7"/>
      <c r="F786" s="17" t="n">
        <v>0</v>
      </c>
    </row>
    <row r="787" customFormat="false" ht="15" hidden="false" customHeight="false" outlineLevel="0" collapsed="false">
      <c r="A787" s="6" t="s">
        <v>211</v>
      </c>
      <c r="B787" s="18" t="n">
        <f aca="false">IF($B$766=1,$B$769-$B$775-$B$776,0)</f>
        <v>0</v>
      </c>
      <c r="C787" s="23" t="s">
        <v>306</v>
      </c>
      <c r="D787" s="7"/>
      <c r="E787" s="7"/>
      <c r="F787" s="17" t="n">
        <v>0</v>
      </c>
    </row>
    <row r="788" customFormat="false" ht="15" hidden="false" customHeight="false" outlineLevel="0" collapsed="false">
      <c r="A788" s="7" t="s">
        <v>307</v>
      </c>
      <c r="B788" s="17" t="n">
        <f aca="false">IF($B$767=1,$B$769,0)</f>
        <v>0</v>
      </c>
      <c r="C788" s="23" t="s">
        <v>308</v>
      </c>
      <c r="D788" s="7"/>
      <c r="E788" s="7"/>
      <c r="F788" s="17" t="n">
        <v>0</v>
      </c>
    </row>
    <row r="789" customFormat="false" ht="15" hidden="false" customHeight="false" outlineLevel="0" collapsed="false">
      <c r="A789" s="7" t="s">
        <v>309</v>
      </c>
      <c r="B789" s="17" t="n">
        <f aca="false">IF($B$768=1,$B$748-$B$775,0)</f>
        <v>0</v>
      </c>
      <c r="C789" s="23" t="s">
        <v>310</v>
      </c>
      <c r="D789" s="7"/>
      <c r="E789" s="7"/>
      <c r="F789" s="17" t="n">
        <v>0</v>
      </c>
    </row>
    <row r="790" customFormat="false" ht="15" hidden="false" customHeight="false" outlineLevel="0" collapsed="false">
      <c r="A790" s="7" t="s">
        <v>311</v>
      </c>
      <c r="B790" s="17" t="n">
        <f aca="false">$B$770-$B$771</f>
        <v>0</v>
      </c>
      <c r="C790" s="23" t="s">
        <v>312</v>
      </c>
      <c r="D790" s="7"/>
      <c r="E790" s="7"/>
      <c r="F790" s="17" t="n">
        <v>0</v>
      </c>
    </row>
    <row r="791" customFormat="false" ht="15" hidden="false" customHeight="false" outlineLevel="0" collapsed="false">
      <c r="A791" s="6" t="s">
        <v>212</v>
      </c>
      <c r="B791" s="18" t="n">
        <f aca="false">IF($B$768=1,$B$760+$B$775,$B$760+($B$773-$B$774)+$B$775+$B$790-$B$778)</f>
        <v>3000</v>
      </c>
      <c r="C791" s="23" t="s">
        <v>313</v>
      </c>
      <c r="D791" s="9" t="n">
        <v>3000</v>
      </c>
      <c r="E791" s="18" t="n">
        <f aca="false">B791-D791</f>
        <v>0</v>
      </c>
      <c r="F791" s="17" t="n">
        <f aca="false">ABS(E791)</f>
        <v>0</v>
      </c>
    </row>
    <row r="792" customFormat="false" ht="15" hidden="false" customHeight="false" outlineLevel="0" collapsed="false">
      <c r="A792" s="7" t="s">
        <v>314</v>
      </c>
      <c r="B792" s="17" t="n">
        <f aca="false">$B$791+$B$774</f>
        <v>3000</v>
      </c>
      <c r="C792" s="23" t="s">
        <v>315</v>
      </c>
      <c r="D792" s="7"/>
      <c r="E792" s="7"/>
      <c r="F792" s="17" t="n">
        <v>0</v>
      </c>
    </row>
    <row r="793" customFormat="false" ht="15" hidden="false" customHeight="false" outlineLevel="0" collapsed="false">
      <c r="A793" s="7" t="s">
        <v>316</v>
      </c>
      <c r="B793" s="17" t="n">
        <f aca="false">$B$780+$B$781</f>
        <v>4440</v>
      </c>
      <c r="C793" s="23" t="s">
        <v>317</v>
      </c>
      <c r="D793" s="7"/>
      <c r="E793" s="7"/>
      <c r="F793" s="17" t="n">
        <v>0</v>
      </c>
    </row>
    <row r="794" customFormat="false" ht="15" hidden="false" customHeight="false" outlineLevel="0" collapsed="false">
      <c r="A794" s="7" t="s">
        <v>318</v>
      </c>
      <c r="B794" s="17" t="n">
        <f aca="false">IF($B$764="platform",$B$793,0)</f>
        <v>4440</v>
      </c>
      <c r="C794" s="23" t="s">
        <v>319</v>
      </c>
      <c r="D794" s="7"/>
      <c r="E794" s="7"/>
      <c r="F794" s="17" t="n">
        <v>0</v>
      </c>
    </row>
    <row r="795" customFormat="false" ht="15" hidden="false" customHeight="false" outlineLevel="0" collapsed="false">
      <c r="A795" s="6" t="s">
        <v>320</v>
      </c>
      <c r="B795" s="18" t="n">
        <f aca="false">$B$791-$B$794</f>
        <v>-1440</v>
      </c>
      <c r="C795" s="23" t="s">
        <v>321</v>
      </c>
      <c r="D795" s="9" t="n">
        <v>-1440</v>
      </c>
      <c r="E795" s="18" t="n">
        <f aca="false">B795-D795</f>
        <v>0</v>
      </c>
      <c r="F795" s="17" t="n">
        <f aca="false">ABS(E795)</f>
        <v>0</v>
      </c>
    </row>
    <row r="796" customFormat="false" ht="15" hidden="false" customHeight="false" outlineLevel="0" collapsed="false">
      <c r="A796" s="6" t="s">
        <v>322</v>
      </c>
      <c r="B796" s="17" t="n">
        <f aca="false">IF($B$752="cash",IF($B$768=1,$B$783-$B$789,$B$783-$B$788-$B$787-($B$786-$B$784)),0)</f>
        <v>0</v>
      </c>
      <c r="C796" s="23" t="s">
        <v>323</v>
      </c>
      <c r="D796" s="7"/>
      <c r="E796" s="7"/>
      <c r="F796" s="17" t="n">
        <v>0</v>
      </c>
    </row>
    <row r="797" customFormat="false" ht="15" hidden="false" customHeight="false" outlineLevel="0" collapsed="false">
      <c r="A797" s="7" t="s">
        <v>324</v>
      </c>
      <c r="B797" s="7" t="str">
        <f aca="false">IF($B$752="cash","Tunai",IF($B$752="antarpay","Saldo AntarPay","Digital (gateway)"))</f>
        <v>Digital (gateway)</v>
      </c>
      <c r="C797" s="23" t="s">
        <v>325</v>
      </c>
      <c r="D797" s="7"/>
      <c r="E797" s="7"/>
      <c r="F797" s="17" t="n">
        <v>0</v>
      </c>
    </row>
    <row r="798" customFormat="false" ht="15" hidden="false" customHeight="false" outlineLevel="0" collapsed="false">
      <c r="A798" s="7" t="s">
        <v>326</v>
      </c>
      <c r="B798" s="26" t="n">
        <f aca="false">IF($B$793=0,0,IFERROR(IF(AND($B$752="bank_transfer",OR($B$753="bsi",$B$753="seabank")),INDEX('Biaya PG'!$I$7:$I$20,MATCH($B$752,'Biaya PG'!$A$7:$A$20,0)),INDEX('Biaya PG'!$H$7:$H$20,MATCH($B$752,'Biaya PG'!$A$7:$A$20,0))),0))</f>
        <v>2</v>
      </c>
      <c r="C798" s="23" t="s">
        <v>327</v>
      </c>
      <c r="D798" s="12" t="n">
        <v>2</v>
      </c>
      <c r="E798" s="18" t="n">
        <f aca="false">B798-D798</f>
        <v>0</v>
      </c>
      <c r="F798" s="17" t="n">
        <f aca="false">ABS(E798)</f>
        <v>0</v>
      </c>
    </row>
    <row r="799" customFormat="false" ht="15" hidden="false" customHeight="false" outlineLevel="0" collapsed="false">
      <c r="A799" s="7" t="s">
        <v>328</v>
      </c>
      <c r="B799" s="17" t="n">
        <f aca="false">IF($B$768=1,$B$748,$B$769+$B$748)</f>
        <v>8000</v>
      </c>
      <c r="C799" s="23" t="s">
        <v>329</v>
      </c>
      <c r="D799" s="7"/>
      <c r="E799" s="7"/>
      <c r="F799" s="17" t="n">
        <v>0</v>
      </c>
    </row>
    <row r="800" customFormat="false" ht="15" hidden="false" customHeight="false" outlineLevel="0" collapsed="false">
      <c r="A800" s="7" t="s">
        <v>330</v>
      </c>
      <c r="B800" s="20" t="n">
        <f aca="false">IF($B$799&gt;0,$B$792/$B$799,0)</f>
        <v>0.375</v>
      </c>
      <c r="C800" s="23" t="s">
        <v>331</v>
      </c>
      <c r="D800" s="7"/>
      <c r="E800" s="7"/>
      <c r="F800" s="17" t="n">
        <v>0</v>
      </c>
    </row>
    <row r="801" customFormat="false" ht="15" hidden="false" customHeight="false" outlineLevel="0" collapsed="false">
      <c r="A801" s="7" t="s">
        <v>207</v>
      </c>
      <c r="B801" s="20" t="n">
        <f aca="false">IF(AND($B$748&gt;0,$B$768=0),($B$748-$B$773+$B$774)/$B$748,0)</f>
        <v>1</v>
      </c>
      <c r="C801" s="23" t="s">
        <v>332</v>
      </c>
      <c r="D801" s="7"/>
      <c r="E801" s="7"/>
      <c r="F801" s="17" t="n">
        <v>0</v>
      </c>
    </row>
    <row r="802" customFormat="false" ht="15" hidden="false" customHeight="false" outlineLevel="0" collapsed="false">
      <c r="A802" s="6" t="s">
        <v>333</v>
      </c>
      <c r="B802" s="17" t="n">
        <f aca="false">$B$785+$B$777-($B$786+$B$787+$B$788+$B$789+$B$791+$B$782)</f>
        <v>0</v>
      </c>
      <c r="C802" s="23" t="s">
        <v>334</v>
      </c>
      <c r="D802" s="7"/>
      <c r="E802" s="7"/>
      <c r="F802" s="17" t="n">
        <v>0</v>
      </c>
    </row>
    <row r="803" customFormat="false" ht="15" hidden="false" customHeight="false" outlineLevel="0" collapsed="false">
      <c r="A803" s="2" t="s">
        <v>357</v>
      </c>
    </row>
    <row r="805" customFormat="false" ht="15" hidden="false" customHeight="false" outlineLevel="0" collapsed="false">
      <c r="A805" s="3" t="s">
        <v>226</v>
      </c>
      <c r="B805" s="4"/>
      <c r="C805" s="4"/>
      <c r="D805" s="4"/>
      <c r="E805" s="4"/>
      <c r="F805" s="4"/>
    </row>
    <row r="806" customFormat="false" ht="15" hidden="false" customHeight="false" outlineLevel="0" collapsed="false">
      <c r="A806" s="5" t="s">
        <v>229</v>
      </c>
      <c r="B806" s="5" t="s">
        <v>52</v>
      </c>
      <c r="C806" s="5" t="s">
        <v>230</v>
      </c>
      <c r="D806" s="5" t="s">
        <v>231</v>
      </c>
      <c r="E806" s="5" t="s">
        <v>232</v>
      </c>
      <c r="F806" s="5" t="s">
        <v>233</v>
      </c>
    </row>
    <row r="807" customFormat="false" ht="15" hidden="false" customHeight="false" outlineLevel="0" collapsed="false">
      <c r="A807" s="7" t="s">
        <v>3</v>
      </c>
      <c r="B807" s="6" t="s">
        <v>45</v>
      </c>
      <c r="C807" s="23" t="s">
        <v>234</v>
      </c>
      <c r="D807" s="7"/>
      <c r="E807" s="7"/>
      <c r="F807" s="17" t="n">
        <v>0</v>
      </c>
    </row>
    <row r="808" customFormat="false" ht="15" hidden="false" customHeight="false" outlineLevel="0" collapsed="false">
      <c r="A808" s="7" t="s">
        <v>235</v>
      </c>
      <c r="B808" s="9" t="n">
        <v>300000</v>
      </c>
      <c r="C808" s="23" t="s">
        <v>236</v>
      </c>
      <c r="D808" s="7"/>
      <c r="E808" s="7"/>
      <c r="F808" s="17" t="n">
        <v>0</v>
      </c>
    </row>
    <row r="809" customFormat="false" ht="15" hidden="false" customHeight="false" outlineLevel="0" collapsed="false">
      <c r="A809" s="7" t="s">
        <v>237</v>
      </c>
      <c r="B809" s="9" t="n">
        <v>0</v>
      </c>
      <c r="C809" s="23" t="s">
        <v>238</v>
      </c>
      <c r="D809" s="7"/>
      <c r="E809" s="7"/>
      <c r="F809" s="17" t="n">
        <v>0</v>
      </c>
    </row>
    <row r="810" customFormat="false" ht="15" hidden="false" customHeight="false" outlineLevel="0" collapsed="false">
      <c r="A810" s="7" t="s">
        <v>239</v>
      </c>
      <c r="B810" s="9" t="n">
        <v>0</v>
      </c>
      <c r="C810" s="23" t="s">
        <v>240</v>
      </c>
      <c r="D810" s="7"/>
      <c r="E810" s="7"/>
      <c r="F810" s="17" t="n">
        <v>0</v>
      </c>
    </row>
    <row r="811" customFormat="false" ht="15" hidden="false" customHeight="false" outlineLevel="0" collapsed="false">
      <c r="A811" s="7" t="s">
        <v>241</v>
      </c>
      <c r="B811" s="10"/>
      <c r="C811" s="23" t="s">
        <v>242</v>
      </c>
      <c r="D811" s="7"/>
      <c r="E811" s="7"/>
      <c r="F811" s="17" t="n">
        <v>0</v>
      </c>
    </row>
    <row r="812" customFormat="false" ht="15" hidden="false" customHeight="false" outlineLevel="0" collapsed="false">
      <c r="A812" s="7" t="s">
        <v>243</v>
      </c>
      <c r="B812" s="10" t="s">
        <v>192</v>
      </c>
      <c r="C812" s="23" t="s">
        <v>244</v>
      </c>
      <c r="D812" s="7"/>
      <c r="E812" s="7"/>
      <c r="F812" s="17" t="n">
        <v>0</v>
      </c>
    </row>
    <row r="813" customFormat="false" ht="15" hidden="false" customHeight="false" outlineLevel="0" collapsed="false">
      <c r="A813" s="7" t="s">
        <v>245</v>
      </c>
      <c r="B813" s="10"/>
      <c r="C813" s="23" t="s">
        <v>246</v>
      </c>
      <c r="D813" s="7"/>
      <c r="E813" s="7"/>
      <c r="F813" s="17" t="n">
        <v>0</v>
      </c>
    </row>
    <row r="814" customFormat="false" ht="15" hidden="false" customHeight="false" outlineLevel="0" collapsed="false">
      <c r="A814" s="7" t="s">
        <v>247</v>
      </c>
      <c r="B814" s="9" t="n">
        <v>0</v>
      </c>
      <c r="C814" s="23" t="s">
        <v>248</v>
      </c>
      <c r="D814" s="7"/>
      <c r="E814" s="7"/>
      <c r="F814" s="17" t="n">
        <v>0</v>
      </c>
    </row>
    <row r="815" customFormat="false" ht="15" hidden="false" customHeight="false" outlineLevel="0" collapsed="false">
      <c r="A815" s="7" t="s">
        <v>249</v>
      </c>
      <c r="B815" s="9" t="n">
        <v>0</v>
      </c>
      <c r="C815" s="23" t="s">
        <v>250</v>
      </c>
      <c r="D815" s="7"/>
      <c r="E815" s="7"/>
      <c r="F815" s="17" t="n">
        <v>0</v>
      </c>
    </row>
    <row r="816" customFormat="false" ht="15" hidden="false" customHeight="false" outlineLevel="0" collapsed="false">
      <c r="A816" s="7" t="s">
        <v>251</v>
      </c>
      <c r="B816" s="8" t="n">
        <v>0</v>
      </c>
      <c r="C816" s="23" t="s">
        <v>252</v>
      </c>
      <c r="D816" s="7"/>
      <c r="E816" s="7"/>
      <c r="F816" s="17" t="n">
        <v>0</v>
      </c>
    </row>
    <row r="817" customFormat="false" ht="15" hidden="false" customHeight="false" outlineLevel="0" collapsed="false">
      <c r="A817" s="7" t="s">
        <v>253</v>
      </c>
      <c r="B817" s="10"/>
      <c r="C817" s="23" t="s">
        <v>254</v>
      </c>
      <c r="D817" s="7"/>
      <c r="E817" s="7"/>
      <c r="F817" s="17" t="n">
        <v>0</v>
      </c>
    </row>
    <row r="818" customFormat="false" ht="15" hidden="false" customHeight="false" outlineLevel="0" collapsed="false">
      <c r="A818" s="7" t="s">
        <v>255</v>
      </c>
      <c r="B818" s="20" t="n">
        <f aca="false">INDEX(Asumsi!$C$6:$C$13,MATCH($B$807,Asumsi!$A$6:$A$13,0))</f>
        <v>0</v>
      </c>
      <c r="C818" s="23" t="s">
        <v>256</v>
      </c>
      <c r="D818" s="7"/>
      <c r="E818" s="7"/>
      <c r="F818" s="17" t="n">
        <v>0</v>
      </c>
    </row>
    <row r="819" customFormat="false" ht="15" hidden="false" customHeight="false" outlineLevel="0" collapsed="false">
      <c r="A819" s="7" t="s">
        <v>6</v>
      </c>
      <c r="B819" s="20" t="n">
        <f aca="false">INDEX(Asumsi!$D$6:$D$13,MATCH($B$807,Asumsi!$A$6:$A$13,0))</f>
        <v>0.1</v>
      </c>
      <c r="C819" s="23" t="s">
        <v>257</v>
      </c>
      <c r="D819" s="7"/>
      <c r="E819" s="7"/>
      <c r="F819" s="17" t="n">
        <v>0</v>
      </c>
    </row>
    <row r="820" customFormat="false" ht="15" hidden="false" customHeight="false" outlineLevel="0" collapsed="false">
      <c r="A820" s="7" t="s">
        <v>258</v>
      </c>
      <c r="B820" s="17" t="n">
        <f aca="false">INDEX(Asumsi!$E$6:$E$13,MATCH($B$807,Asumsi!$A$6:$A$13,0))</f>
        <v>5000</v>
      </c>
      <c r="C820" s="23" t="s">
        <v>259</v>
      </c>
      <c r="D820" s="7"/>
      <c r="E820" s="7"/>
      <c r="F820" s="17" t="n">
        <v>0</v>
      </c>
    </row>
    <row r="821" customFormat="false" ht="15" hidden="false" customHeight="false" outlineLevel="0" collapsed="false">
      <c r="A821" s="7" t="s">
        <v>8</v>
      </c>
      <c r="B821" s="20" t="n">
        <f aca="false">INDEX(Asumsi!$F$6:$F$13,MATCH($B$807,Asumsi!$A$6:$A$13,0))</f>
        <v>0</v>
      </c>
      <c r="C821" s="23" t="s">
        <v>260</v>
      </c>
      <c r="D821" s="7"/>
      <c r="E821" s="7"/>
      <c r="F821" s="17" t="n">
        <v>0</v>
      </c>
    </row>
    <row r="822" customFormat="false" ht="15" hidden="false" customHeight="false" outlineLevel="0" collapsed="false">
      <c r="A822" s="7" t="s">
        <v>9</v>
      </c>
      <c r="B822" s="17" t="n">
        <f aca="false">INDEX(Asumsi!$G$6:$G$13,MATCH($B$807,Asumsi!$A$6:$A$13,0))</f>
        <v>0</v>
      </c>
      <c r="C822" s="23" t="s">
        <v>261</v>
      </c>
      <c r="D822" s="7"/>
      <c r="E822" s="7"/>
      <c r="F822" s="17" t="n">
        <v>0</v>
      </c>
    </row>
    <row r="823" customFormat="false" ht="15" hidden="false" customHeight="false" outlineLevel="0" collapsed="false">
      <c r="A823" s="7" t="s">
        <v>262</v>
      </c>
      <c r="B823" s="20" t="n">
        <f aca="false">INDEX(Asumsi!$H$6:$H$13,MATCH($B$807,Asumsi!$A$6:$A$13,0))</f>
        <v>0</v>
      </c>
      <c r="C823" s="23" t="s">
        <v>263</v>
      </c>
      <c r="D823" s="7"/>
      <c r="E823" s="7"/>
      <c r="F823" s="17" t="n">
        <v>0</v>
      </c>
    </row>
    <row r="824" customFormat="false" ht="15" hidden="false" customHeight="false" outlineLevel="0" collapsed="false">
      <c r="A824" s="7" t="s">
        <v>264</v>
      </c>
      <c r="B824" s="7" t="str">
        <f aca="false">IF($B$817="",INDEX(Asumsi!$I$6:$I$13,MATCH($B$807,Asumsi!$A$6:$A$13,0)),$B$817)</f>
        <v>platform</v>
      </c>
      <c r="C824" s="23" t="s">
        <v>265</v>
      </c>
      <c r="D824" s="7"/>
      <c r="E824" s="7"/>
      <c r="F824" s="17" t="n">
        <v>0</v>
      </c>
    </row>
    <row r="825" customFormat="false" ht="15" hidden="false" customHeight="false" outlineLevel="0" collapsed="false">
      <c r="A825" s="7" t="s">
        <v>266</v>
      </c>
      <c r="B825" s="7" t="str">
        <f aca="false">IF(AND(IF($B$811="",INDEX(Asumsi!$J$6:$J$13,MATCH($B$807,Asumsi!$A$6:$A$13,0)),$B$811)="merchant",$B$807&lt;&gt;"food"),"platform",IF($B$811="",INDEX(Asumsi!$J$6:$J$13,MATCH($B$807,Asumsi!$A$6:$A$13,0)),$B$811))</f>
        <v>platform</v>
      </c>
      <c r="C825" s="23" t="s">
        <v>267</v>
      </c>
      <c r="D825" s="7"/>
      <c r="E825" s="7"/>
      <c r="F825" s="17" t="n">
        <v>0</v>
      </c>
    </row>
    <row r="826" customFormat="false" ht="15" hidden="false" customHeight="false" outlineLevel="0" collapsed="false">
      <c r="A826" s="7" t="s">
        <v>268</v>
      </c>
      <c r="B826" s="26" t="n">
        <f aca="false">IF($B$807="food",1,0)</f>
        <v>0</v>
      </c>
      <c r="C826" s="23"/>
      <c r="D826" s="7"/>
      <c r="E826" s="7"/>
      <c r="F826" s="17" t="n">
        <v>0</v>
      </c>
    </row>
    <row r="827" customFormat="false" ht="15" hidden="false" customHeight="false" outlineLevel="0" collapsed="false">
      <c r="A827" s="7" t="s">
        <v>269</v>
      </c>
      <c r="B827" s="26" t="n">
        <f aca="false">IF(OR($B$807="shop",$B$807="market"),1,0)</f>
        <v>0</v>
      </c>
      <c r="C827" s="23"/>
      <c r="D827" s="7"/>
      <c r="E827" s="7"/>
      <c r="F827" s="17" t="n">
        <v>0</v>
      </c>
    </row>
    <row r="828" customFormat="false" ht="15" hidden="false" customHeight="false" outlineLevel="0" collapsed="false">
      <c r="A828" s="7" t="s">
        <v>270</v>
      </c>
      <c r="B828" s="26" t="n">
        <f aca="false">IF($B$807="travel",1,0)</f>
        <v>1</v>
      </c>
      <c r="C828" s="23"/>
      <c r="D828" s="7"/>
      <c r="E828" s="7"/>
      <c r="F828" s="17" t="n">
        <v>0</v>
      </c>
    </row>
    <row r="829" customFormat="false" ht="15" hidden="false" customHeight="false" outlineLevel="0" collapsed="false">
      <c r="A829" s="7" t="s">
        <v>271</v>
      </c>
      <c r="B829" s="17" t="n">
        <f aca="false">IF($B$826+$B$827&gt;0,$B$809,0)</f>
        <v>0</v>
      </c>
      <c r="C829" s="23" t="s">
        <v>272</v>
      </c>
      <c r="D829" s="7"/>
      <c r="E829" s="7"/>
      <c r="F829" s="17" t="n">
        <v>0</v>
      </c>
    </row>
    <row r="830" customFormat="false" ht="15" hidden="false" customHeight="false" outlineLevel="0" collapsed="false">
      <c r="A830" s="7" t="s">
        <v>273</v>
      </c>
      <c r="B830" s="17" t="n">
        <f aca="false">IF($B$827=1,MAX($B$822,INT(ROUND($B$829*$B$821,6))),0)</f>
        <v>0</v>
      </c>
      <c r="C830" s="23" t="s">
        <v>274</v>
      </c>
      <c r="D830" s="7"/>
      <c r="E830" s="7"/>
      <c r="F830" s="17" t="n">
        <v>0</v>
      </c>
    </row>
    <row r="831" customFormat="false" ht="15" hidden="false" customHeight="false" outlineLevel="0" collapsed="false">
      <c r="A831" s="7" t="s">
        <v>275</v>
      </c>
      <c r="B831" s="17" t="n">
        <f aca="false">INT(ROUND($B$830*$B$823,6))</f>
        <v>0</v>
      </c>
      <c r="C831" s="23" t="s">
        <v>276</v>
      </c>
      <c r="D831" s="7"/>
      <c r="E831" s="7"/>
      <c r="F831" s="17" t="n">
        <v>0</v>
      </c>
    </row>
    <row r="832" customFormat="false" ht="15" hidden="false" customHeight="false" outlineLevel="0" collapsed="false">
      <c r="A832" s="7" t="s">
        <v>277</v>
      </c>
      <c r="B832" s="17" t="n">
        <f aca="false">IF($B$828=1,0,MIN($B$810,$B$808+$B$826*$B$829))</f>
        <v>0</v>
      </c>
      <c r="C832" s="23" t="s">
        <v>278</v>
      </c>
      <c r="D832" s="7"/>
      <c r="E832" s="7"/>
      <c r="F832" s="17" t="n">
        <v>0</v>
      </c>
    </row>
    <row r="833" customFormat="false" ht="15" hidden="false" customHeight="false" outlineLevel="0" collapsed="false">
      <c r="A833" s="7" t="s">
        <v>279</v>
      </c>
      <c r="B833" s="17" t="n">
        <f aca="false">IF($B$828=1,0,INT(ROUND($B$808*$B$818,6)))</f>
        <v>0</v>
      </c>
      <c r="C833" s="23" t="s">
        <v>280</v>
      </c>
      <c r="D833" s="7"/>
      <c r="E833" s="7"/>
      <c r="F833" s="17" t="n">
        <v>0</v>
      </c>
    </row>
    <row r="834" customFormat="false" ht="15" hidden="false" customHeight="false" outlineLevel="0" collapsed="false">
      <c r="A834" s="7" t="s">
        <v>281</v>
      </c>
      <c r="B834" s="17" t="n">
        <f aca="false">MIN($B$833,INT(ROUND($B$808*$B$816,6)))</f>
        <v>0</v>
      </c>
      <c r="C834" s="23" t="s">
        <v>282</v>
      </c>
      <c r="D834" s="7"/>
      <c r="E834" s="7"/>
      <c r="F834" s="17" t="n">
        <v>0</v>
      </c>
    </row>
    <row r="835" customFormat="false" ht="15" hidden="false" customHeight="false" outlineLevel="0" collapsed="false">
      <c r="A835" s="7" t="s">
        <v>283</v>
      </c>
      <c r="B835" s="17" t="n">
        <f aca="false">IF($B$826=1,INT(ROUND($B$829*$B$819,6)),IF($B$828=1,INT(ROUND($B$808*$B$819,6)),0))</f>
        <v>30000</v>
      </c>
      <c r="C835" s="23" t="s">
        <v>284</v>
      </c>
      <c r="D835" s="9" t="n">
        <v>30000</v>
      </c>
      <c r="E835" s="18" t="n">
        <f aca="false">B835-D835</f>
        <v>0</v>
      </c>
      <c r="F835" s="17" t="n">
        <f aca="false">ABS(E835)</f>
        <v>0</v>
      </c>
    </row>
    <row r="836" customFormat="false" ht="15" hidden="false" customHeight="false" outlineLevel="0" collapsed="false">
      <c r="A836" s="7" t="s">
        <v>285</v>
      </c>
      <c r="B836" s="17" t="n">
        <f aca="false">IF($B$825="merchant",MIN($B$832,MAX(0,$B$829-$B$835)),0)</f>
        <v>0</v>
      </c>
      <c r="C836" s="23" t="s">
        <v>286</v>
      </c>
      <c r="D836" s="7"/>
      <c r="E836" s="7"/>
      <c r="F836" s="17" t="n">
        <v>0</v>
      </c>
    </row>
    <row r="837" customFormat="false" ht="15" hidden="false" customHeight="false" outlineLevel="0" collapsed="false">
      <c r="A837" s="7" t="s">
        <v>287</v>
      </c>
      <c r="B837" s="17" t="n">
        <f aca="false">IF($B$825="sponsor",$B$832,0)</f>
        <v>0</v>
      </c>
      <c r="C837" s="23" t="s">
        <v>288</v>
      </c>
      <c r="D837" s="7"/>
      <c r="E837" s="7"/>
      <c r="F837" s="17" t="n">
        <v>0</v>
      </c>
    </row>
    <row r="838" customFormat="false" ht="15" hidden="false" customHeight="false" outlineLevel="0" collapsed="false">
      <c r="A838" s="7" t="s">
        <v>289</v>
      </c>
      <c r="B838" s="17" t="n">
        <f aca="false">$B$832-$B$836-$B$837</f>
        <v>0</v>
      </c>
      <c r="C838" s="23" t="s">
        <v>290</v>
      </c>
      <c r="D838" s="7"/>
      <c r="E838" s="7"/>
      <c r="F838" s="17" t="n">
        <v>0</v>
      </c>
    </row>
    <row r="839" customFormat="false" ht="15" hidden="false" customHeight="false" outlineLevel="0" collapsed="false">
      <c r="A839" s="7" t="s">
        <v>291</v>
      </c>
      <c r="B839" s="17" t="n">
        <f aca="false">IF($B$828=1,$B$808+$B$820,$B$808+$B$820+$B$829+$B$830+$B$815-$B$832)</f>
        <v>305000</v>
      </c>
      <c r="C839" s="23" t="s">
        <v>292</v>
      </c>
      <c r="D839" s="7"/>
      <c r="E839" s="7"/>
      <c r="F839" s="17" t="n">
        <v>0</v>
      </c>
    </row>
    <row r="840" customFormat="false" ht="15" hidden="false" customHeight="false" outlineLevel="0" collapsed="false">
      <c r="A840" s="7" t="s">
        <v>293</v>
      </c>
      <c r="B840" s="17" t="n">
        <f aca="false">IF(OR($B$828=1,$B$839&lt;=0),0,IFERROR(ROUND($B$839*INDEX('Biaya PG'!$D$7:$D$20,MATCH($B$812,'Biaya PG'!$A$7:$A$20,0)),0)+INDEX('Biaya PG'!$E$7:$E$20,MATCH($B$812,'Biaya PG'!$A$7:$A$20,0)),0))</f>
        <v>0</v>
      </c>
      <c r="C840" s="23" t="s">
        <v>294</v>
      </c>
      <c r="D840" s="7"/>
      <c r="E840" s="7"/>
      <c r="F840" s="17" t="n">
        <v>0</v>
      </c>
    </row>
    <row r="841" customFormat="false" ht="15" hidden="false" customHeight="false" outlineLevel="0" collapsed="false">
      <c r="A841" s="7" t="s">
        <v>295</v>
      </c>
      <c r="B841" s="17" t="n">
        <f aca="false">IF($B$840=0,0,IF(INDEX('Biaya PG'!$F$7:$F$20,MATCH($B$812,'Biaya PG'!$A$7:$A$20,0))="Ya",0,ROUND($B$840*INDEX('Biaya PG'!$G$7:$G$20,MATCH($B$812,'Biaya PG'!$A$7:$A$20,0)),0)))</f>
        <v>0</v>
      </c>
      <c r="C841" s="23" t="s">
        <v>296</v>
      </c>
      <c r="D841" s="7"/>
      <c r="E841" s="7"/>
      <c r="F841" s="17" t="n">
        <v>0</v>
      </c>
    </row>
    <row r="842" customFormat="false" ht="15" hidden="false" customHeight="false" outlineLevel="0" collapsed="false">
      <c r="A842" s="7" t="s">
        <v>297</v>
      </c>
      <c r="B842" s="17" t="n">
        <f aca="false">IF($B$824="customer",$B$840+$B$841,0)</f>
        <v>0</v>
      </c>
      <c r="C842" s="23" t="s">
        <v>298</v>
      </c>
      <c r="D842" s="7"/>
      <c r="E842" s="7"/>
      <c r="F842" s="17" t="n">
        <v>0</v>
      </c>
    </row>
    <row r="843" customFormat="false" ht="15" hidden="false" customHeight="false" outlineLevel="0" collapsed="false">
      <c r="A843" s="6" t="s">
        <v>299</v>
      </c>
      <c r="B843" s="18" t="n">
        <f aca="false">$B$839+$B$842</f>
        <v>305000</v>
      </c>
      <c r="C843" s="23" t="s">
        <v>300</v>
      </c>
      <c r="D843" s="7"/>
      <c r="E843" s="7"/>
      <c r="F843" s="17" t="n">
        <v>0</v>
      </c>
    </row>
    <row r="844" customFormat="false" ht="15" hidden="false" customHeight="false" outlineLevel="0" collapsed="false">
      <c r="A844" s="7" t="s">
        <v>301</v>
      </c>
      <c r="B844" s="17" t="n">
        <f aca="false">IF($B$828=1,0,$B$814)</f>
        <v>0</v>
      </c>
      <c r="C844" s="23"/>
      <c r="D844" s="7"/>
      <c r="E844" s="7"/>
      <c r="F844" s="17" t="n">
        <v>0</v>
      </c>
    </row>
    <row r="845" customFormat="false" ht="15" hidden="false" customHeight="false" outlineLevel="0" collapsed="false">
      <c r="A845" s="7" t="s">
        <v>302</v>
      </c>
      <c r="B845" s="17" t="n">
        <f aca="false">$B$843+$B$844</f>
        <v>305000</v>
      </c>
      <c r="C845" s="23" t="s">
        <v>303</v>
      </c>
      <c r="D845" s="9" t="n">
        <v>305000</v>
      </c>
      <c r="E845" s="18" t="n">
        <f aca="false">B845-D845</f>
        <v>0</v>
      </c>
      <c r="F845" s="17" t="n">
        <f aca="false">ABS(E845)</f>
        <v>0</v>
      </c>
    </row>
    <row r="846" customFormat="false" ht="15" hidden="false" customHeight="false" outlineLevel="0" collapsed="false">
      <c r="A846" s="6" t="s">
        <v>304</v>
      </c>
      <c r="B846" s="18" t="n">
        <f aca="false">IF($B$828=1,0,($B$808-$B$833+$B$834)+$B$844+$B$815+$B$831)</f>
        <v>0</v>
      </c>
      <c r="C846" s="23" t="s">
        <v>305</v>
      </c>
      <c r="D846" s="7"/>
      <c r="E846" s="7"/>
      <c r="F846" s="17" t="n">
        <v>0</v>
      </c>
    </row>
    <row r="847" customFormat="false" ht="15" hidden="false" customHeight="false" outlineLevel="0" collapsed="false">
      <c r="A847" s="6" t="s">
        <v>211</v>
      </c>
      <c r="B847" s="18" t="n">
        <f aca="false">IF($B$826=1,$B$829-$B$835-$B$836,0)</f>
        <v>0</v>
      </c>
      <c r="C847" s="23" t="s">
        <v>306</v>
      </c>
      <c r="D847" s="7"/>
      <c r="E847" s="7"/>
      <c r="F847" s="17" t="n">
        <v>0</v>
      </c>
    </row>
    <row r="848" customFormat="false" ht="15" hidden="false" customHeight="false" outlineLevel="0" collapsed="false">
      <c r="A848" s="7" t="s">
        <v>307</v>
      </c>
      <c r="B848" s="17" t="n">
        <f aca="false">IF($B$827=1,$B$829,0)</f>
        <v>0</v>
      </c>
      <c r="C848" s="23" t="s">
        <v>308</v>
      </c>
      <c r="D848" s="7"/>
      <c r="E848" s="7"/>
      <c r="F848" s="17" t="n">
        <v>0</v>
      </c>
    </row>
    <row r="849" customFormat="false" ht="15" hidden="false" customHeight="false" outlineLevel="0" collapsed="false">
      <c r="A849" s="7" t="s">
        <v>309</v>
      </c>
      <c r="B849" s="17" t="n">
        <f aca="false">IF($B$828=1,$B$808-$B$835,0)</f>
        <v>270000</v>
      </c>
      <c r="C849" s="23" t="s">
        <v>310</v>
      </c>
      <c r="D849" s="9" t="n">
        <v>270000</v>
      </c>
      <c r="E849" s="18" t="n">
        <f aca="false">B849-D849</f>
        <v>0</v>
      </c>
      <c r="F849" s="17" t="n">
        <f aca="false">ABS(E849)</f>
        <v>0</v>
      </c>
    </row>
    <row r="850" customFormat="false" ht="15" hidden="false" customHeight="false" outlineLevel="0" collapsed="false">
      <c r="A850" s="7" t="s">
        <v>311</v>
      </c>
      <c r="B850" s="17" t="n">
        <f aca="false">$B$830-$B$831</f>
        <v>0</v>
      </c>
      <c r="C850" s="23" t="s">
        <v>312</v>
      </c>
      <c r="D850" s="7"/>
      <c r="E850" s="7"/>
      <c r="F850" s="17" t="n">
        <v>0</v>
      </c>
    </row>
    <row r="851" customFormat="false" ht="15" hidden="false" customHeight="false" outlineLevel="0" collapsed="false">
      <c r="A851" s="6" t="s">
        <v>212</v>
      </c>
      <c r="B851" s="18" t="n">
        <f aca="false">IF($B$828=1,$B$820+$B$835,$B$820+($B$833-$B$834)+$B$835+$B$850-$B$838)</f>
        <v>35000</v>
      </c>
      <c r="C851" s="23" t="s">
        <v>313</v>
      </c>
      <c r="D851" s="9" t="n">
        <v>35000</v>
      </c>
      <c r="E851" s="18" t="n">
        <f aca="false">B851-D851</f>
        <v>0</v>
      </c>
      <c r="F851" s="17" t="n">
        <f aca="false">ABS(E851)</f>
        <v>0</v>
      </c>
    </row>
    <row r="852" customFormat="false" ht="15" hidden="false" customHeight="false" outlineLevel="0" collapsed="false">
      <c r="A852" s="7" t="s">
        <v>314</v>
      </c>
      <c r="B852" s="17" t="n">
        <f aca="false">$B$851+$B$834</f>
        <v>35000</v>
      </c>
      <c r="C852" s="23" t="s">
        <v>315</v>
      </c>
      <c r="D852" s="7"/>
      <c r="E852" s="7"/>
      <c r="F852" s="17" t="n">
        <v>0</v>
      </c>
    </row>
    <row r="853" customFormat="false" ht="15" hidden="false" customHeight="false" outlineLevel="0" collapsed="false">
      <c r="A853" s="7" t="s">
        <v>316</v>
      </c>
      <c r="B853" s="17" t="n">
        <f aca="false">$B$840+$B$841</f>
        <v>0</v>
      </c>
      <c r="C853" s="23" t="s">
        <v>317</v>
      </c>
      <c r="D853" s="7"/>
      <c r="E853" s="7"/>
      <c r="F853" s="17" t="n">
        <v>0</v>
      </c>
    </row>
    <row r="854" customFormat="false" ht="15" hidden="false" customHeight="false" outlineLevel="0" collapsed="false">
      <c r="A854" s="7" t="s">
        <v>318</v>
      </c>
      <c r="B854" s="17" t="n">
        <f aca="false">IF($B$824="platform",$B$853,0)</f>
        <v>0</v>
      </c>
      <c r="C854" s="23" t="s">
        <v>319</v>
      </c>
      <c r="D854" s="7"/>
      <c r="E854" s="7"/>
      <c r="F854" s="17" t="n">
        <v>0</v>
      </c>
    </row>
    <row r="855" customFormat="false" ht="15" hidden="false" customHeight="false" outlineLevel="0" collapsed="false">
      <c r="A855" s="6" t="s">
        <v>320</v>
      </c>
      <c r="B855" s="18" t="n">
        <f aca="false">$B$851-$B$854</f>
        <v>35000</v>
      </c>
      <c r="C855" s="23" t="s">
        <v>321</v>
      </c>
      <c r="D855" s="7"/>
      <c r="E855" s="7"/>
      <c r="F855" s="17" t="n">
        <v>0</v>
      </c>
    </row>
    <row r="856" customFormat="false" ht="15" hidden="false" customHeight="false" outlineLevel="0" collapsed="false">
      <c r="A856" s="6" t="s">
        <v>322</v>
      </c>
      <c r="B856" s="17" t="n">
        <f aca="false">IF($B$812="cash",IF($B$828=1,$B$843-$B$849,$B$843-$B$848-$B$847-($B$846-$B$844)),0)</f>
        <v>0</v>
      </c>
      <c r="C856" s="23" t="s">
        <v>323</v>
      </c>
      <c r="D856" s="7"/>
      <c r="E856" s="7"/>
      <c r="F856" s="17" t="n">
        <v>0</v>
      </c>
    </row>
    <row r="857" customFormat="false" ht="15" hidden="false" customHeight="false" outlineLevel="0" collapsed="false">
      <c r="A857" s="7" t="s">
        <v>324</v>
      </c>
      <c r="B857" s="7" t="str">
        <f aca="false">IF($B$812="cash","Tunai",IF($B$812="antarpay","Saldo AntarPay","Digital (gateway)"))</f>
        <v>Saldo AntarPay</v>
      </c>
      <c r="C857" s="23" t="s">
        <v>325</v>
      </c>
      <c r="D857" s="7"/>
      <c r="E857" s="7"/>
      <c r="F857" s="17" t="n">
        <v>0</v>
      </c>
    </row>
    <row r="858" customFormat="false" ht="15" hidden="false" customHeight="false" outlineLevel="0" collapsed="false">
      <c r="A858" s="7" t="s">
        <v>326</v>
      </c>
      <c r="B858" s="26" t="n">
        <f aca="false">IF($B$853=0,0,IFERROR(IF(AND($B$812="bank_transfer",OR($B$813="bsi",$B$813="seabank")),INDEX('Biaya PG'!$I$7:$I$20,MATCH($B$812,'Biaya PG'!$A$7:$A$20,0)),INDEX('Biaya PG'!$H$7:$H$20,MATCH($B$812,'Biaya PG'!$A$7:$A$20,0))),0))</f>
        <v>0</v>
      </c>
      <c r="C858" s="23" t="s">
        <v>327</v>
      </c>
      <c r="D858" s="7"/>
      <c r="E858" s="7"/>
      <c r="F858" s="17" t="n">
        <v>0</v>
      </c>
    </row>
    <row r="859" customFormat="false" ht="15" hidden="false" customHeight="false" outlineLevel="0" collapsed="false">
      <c r="A859" s="7" t="s">
        <v>328</v>
      </c>
      <c r="B859" s="17" t="n">
        <f aca="false">IF($B$828=1,$B$808,$B$829+$B$808)</f>
        <v>300000</v>
      </c>
      <c r="C859" s="23" t="s">
        <v>329</v>
      </c>
      <c r="D859" s="7"/>
      <c r="E859" s="7"/>
      <c r="F859" s="17" t="n">
        <v>0</v>
      </c>
    </row>
    <row r="860" customFormat="false" ht="15" hidden="false" customHeight="false" outlineLevel="0" collapsed="false">
      <c r="A860" s="7" t="s">
        <v>330</v>
      </c>
      <c r="B860" s="20" t="n">
        <f aca="false">IF($B$859&gt;0,$B$852/$B$859,0)</f>
        <v>0.116666666666667</v>
      </c>
      <c r="C860" s="23" t="s">
        <v>331</v>
      </c>
      <c r="D860" s="7"/>
      <c r="E860" s="7"/>
      <c r="F860" s="17" t="n">
        <v>0</v>
      </c>
    </row>
    <row r="861" customFormat="false" ht="15" hidden="false" customHeight="false" outlineLevel="0" collapsed="false">
      <c r="A861" s="7" t="s">
        <v>207</v>
      </c>
      <c r="B861" s="20" t="n">
        <f aca="false">IF(AND($B$808&gt;0,$B$828=0),($B$808-$B$833+$B$834)/$B$808,0)</f>
        <v>0</v>
      </c>
      <c r="C861" s="23" t="s">
        <v>332</v>
      </c>
      <c r="D861" s="7"/>
      <c r="E861" s="7"/>
      <c r="F861" s="17" t="n">
        <v>0</v>
      </c>
    </row>
    <row r="862" customFormat="false" ht="15" hidden="false" customHeight="false" outlineLevel="0" collapsed="false">
      <c r="A862" s="6" t="s">
        <v>333</v>
      </c>
      <c r="B862" s="17" t="n">
        <f aca="false">$B$845+$B$837-($B$846+$B$847+$B$848+$B$849+$B$851+$B$842)</f>
        <v>0</v>
      </c>
      <c r="C862" s="23" t="s">
        <v>334</v>
      </c>
      <c r="D862" s="7"/>
      <c r="E862" s="7"/>
      <c r="F862" s="17" t="n">
        <v>0</v>
      </c>
    </row>
    <row r="863" customFormat="false" ht="15" hidden="false" customHeight="false" outlineLevel="0" collapsed="false">
      <c r="A863" s="2" t="s">
        <v>358</v>
      </c>
    </row>
    <row r="865" customFormat="false" ht="15" hidden="false" customHeight="false" outlineLevel="0" collapsed="false">
      <c r="A865" s="2" t="s">
        <v>123</v>
      </c>
    </row>
  </sheetData>
  <dataValidations count="3">
    <dataValidation allowBlank="false" errorStyle="stop" operator="between" showDropDown="false" showErrorMessage="false" showInputMessage="false" sqref="B32 B92 B152 B212 B272 B332 B392 B452 B512 B572 B632 B692 B752 B812" type="list">
      <formula1>'Biaya PG'!$A$7:$A$20</formula1>
      <formula2>0</formula2>
    </dataValidation>
    <dataValidation allowBlank="true" errorStyle="stop" operator="between" showDropDown="false" showErrorMessage="false" showInputMessage="false" sqref="B31 B91 B151 B211 B271 B331 B391 B451 B511 B571 B631 B691 B751 B811" type="list">
      <formula1>"platform,merchant,sponsor"</formula1>
      <formula2>0</formula2>
    </dataValidation>
    <dataValidation allowBlank="true" errorStyle="stop" operator="between" showDropDown="false" showErrorMessage="false" showInputMessage="false" sqref="B37 B97 B157 B217 B277 B337 B397 B457 B517 B577 B637 B697 B757 B817" type="list">
      <formula1>"platform,customer"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9" min="7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3" min="12" style="0" width="14"/>
  </cols>
  <sheetData>
    <row r="1" customFormat="false" ht="15" hidden="false" customHeight="false" outlineLevel="0" collapsed="false">
      <c r="A1" s="1" t="s">
        <v>359</v>
      </c>
    </row>
    <row r="2" customFormat="false" ht="15" hidden="false" customHeight="false" outlineLevel="0" collapsed="false">
      <c r="A2" s="2" t="s">
        <v>360</v>
      </c>
    </row>
    <row r="4" customFormat="false" ht="15" hidden="false" customHeight="false" outlineLevel="0" collapsed="false">
      <c r="A4" s="6" t="s">
        <v>361</v>
      </c>
      <c r="C4" s="24" t="s">
        <v>162</v>
      </c>
    </row>
    <row r="6" customFormat="false" ht="15" hidden="false" customHeight="false" outlineLevel="0" collapsed="false">
      <c r="A6" s="3" t="s">
        <v>362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35.05" hidden="false" customHeight="false" outlineLevel="0" collapsed="false">
      <c r="A7" s="5" t="s">
        <v>4</v>
      </c>
      <c r="B7" s="5" t="s">
        <v>363</v>
      </c>
      <c r="C7" s="5" t="s">
        <v>364</v>
      </c>
      <c r="D7" s="5" t="s">
        <v>365</v>
      </c>
      <c r="E7" s="5" t="s">
        <v>366</v>
      </c>
      <c r="F7" s="5" t="s">
        <v>367</v>
      </c>
      <c r="G7" s="5" t="s">
        <v>368</v>
      </c>
      <c r="H7" s="5" t="s">
        <v>369</v>
      </c>
      <c r="I7" s="5" t="s">
        <v>370</v>
      </c>
      <c r="J7" s="5" t="s">
        <v>371</v>
      </c>
      <c r="K7" s="5" t="s">
        <v>372</v>
      </c>
      <c r="L7" s="5" t="s">
        <v>373</v>
      </c>
      <c r="M7" s="5" t="s">
        <v>374</v>
      </c>
    </row>
    <row r="8" customFormat="false" ht="15" hidden="false" customHeight="false" outlineLevel="0" collapsed="false">
      <c r="A8" s="6" t="s">
        <v>17</v>
      </c>
      <c r="B8" s="27" t="n">
        <f aca="false">'Per Layanan'!$B$79</f>
        <v>7000</v>
      </c>
      <c r="C8" s="27" t="n">
        <f aca="false">'Per Layanan'!$B$40</f>
        <v>1000</v>
      </c>
      <c r="D8" s="27" t="n">
        <f aca="false">'Per Layanan'!$B$53</f>
        <v>560</v>
      </c>
      <c r="E8" s="27" t="n">
        <f aca="false">'Per Layanan'!$B$54</f>
        <v>0</v>
      </c>
      <c r="F8" s="27" t="n">
        <f aca="false">'Per Layanan'!$B$55</f>
        <v>0</v>
      </c>
      <c r="G8" s="27" t="n">
        <f aca="false">'Per Layanan'!$B$70</f>
        <v>0</v>
      </c>
      <c r="H8" s="27" t="n">
        <f aca="false">'Per Layanan'!$B$58</f>
        <v>0</v>
      </c>
      <c r="I8" s="27" t="n">
        <f aca="false">'Per Layanan'!$B$59</f>
        <v>8000</v>
      </c>
      <c r="J8" s="28" t="str">
        <f aca="false">'Per Layanan'!$B$44</f>
        <v>platform</v>
      </c>
      <c r="K8" s="17" t="n">
        <f aca="false">IF(OR(J8&lt;&gt;"platform",A8="travel",I8&lt;=0),0,IFERROR(ROUND(I8*INDEX('Biaya PG'!$D$7:$D$20,MATCH($C$4,'Biaya PG'!$A$7:$A$20,0)),0)+INDEX('Biaya PG'!$E$7:$E$20,MATCH($C$4,'Biaya PG'!$A$7:$A$20,0)),0)+IF(INDEX('Biaya PG'!$F$7:$F$20,MATCH($C$4,'Biaya PG'!$A$7:$A$20,0))="Ya",0,ROUND(IFERROR(ROUND(I8*INDEX('Biaya PG'!$D$7:$D$20,MATCH($C$4,'Biaya PG'!$A$7:$A$20,0)),0)+INDEX('Biaya PG'!$E$7:$E$20,MATCH($C$4,'Biaya PG'!$A$7:$A$20,0)),0)*INDEX('Biaya PG'!$G$7:$G$20,MATCH($C$4,'Biaya PG'!$A$7:$A$20,0)),0)))</f>
        <v>56</v>
      </c>
      <c r="L8" s="27" t="n">
        <f aca="false">'Per Layanan'!$B$66</f>
        <v>6440</v>
      </c>
      <c r="M8" s="27" t="n">
        <f aca="false">'Per Layanan'!$B$72</f>
        <v>1560</v>
      </c>
    </row>
    <row r="9" customFormat="false" ht="15" hidden="false" customHeight="false" outlineLevel="0" collapsed="false">
      <c r="A9" s="6" t="s">
        <v>22</v>
      </c>
      <c r="B9" s="27" t="n">
        <f aca="false">'Per Layanan'!$B$139</f>
        <v>22000</v>
      </c>
      <c r="C9" s="27" t="n">
        <f aca="false">'Per Layanan'!$B$100</f>
        <v>4000</v>
      </c>
      <c r="D9" s="27" t="n">
        <f aca="false">'Per Layanan'!$B$113</f>
        <v>3300</v>
      </c>
      <c r="E9" s="27" t="n">
        <f aca="false">'Per Layanan'!$B$114</f>
        <v>0</v>
      </c>
      <c r="F9" s="27" t="n">
        <f aca="false">'Per Layanan'!$B$115</f>
        <v>0</v>
      </c>
      <c r="G9" s="27" t="n">
        <f aca="false">'Per Layanan'!$B$130</f>
        <v>0</v>
      </c>
      <c r="H9" s="27" t="n">
        <f aca="false">'Per Layanan'!$B$118</f>
        <v>0</v>
      </c>
      <c r="I9" s="27" t="n">
        <f aca="false">'Per Layanan'!$B$119</f>
        <v>26000</v>
      </c>
      <c r="J9" s="28" t="str">
        <f aca="false">'Per Layanan'!$B$104</f>
        <v>platform</v>
      </c>
      <c r="K9" s="17" t="n">
        <f aca="false">IF(OR(J9&lt;&gt;"platform",A9="travel",I9&lt;=0),0,IFERROR(ROUND(I9*INDEX('Biaya PG'!$D$7:$D$20,MATCH($C$4,'Biaya PG'!$A$7:$A$20,0)),0)+INDEX('Biaya PG'!$E$7:$E$20,MATCH($C$4,'Biaya PG'!$A$7:$A$20,0)),0)+IF(INDEX('Biaya PG'!$F$7:$F$20,MATCH($C$4,'Biaya PG'!$A$7:$A$20,0))="Ya",0,ROUND(IFERROR(ROUND(I9*INDEX('Biaya PG'!$D$7:$D$20,MATCH($C$4,'Biaya PG'!$A$7:$A$20,0)),0)+INDEX('Biaya PG'!$E$7:$E$20,MATCH($C$4,'Biaya PG'!$A$7:$A$20,0)),0)*INDEX('Biaya PG'!$G$7:$G$20,MATCH($C$4,'Biaya PG'!$A$7:$A$20,0)),0)))</f>
        <v>182</v>
      </c>
      <c r="L9" s="27" t="n">
        <f aca="false">'Per Layanan'!$B$126</f>
        <v>18700</v>
      </c>
      <c r="M9" s="27" t="n">
        <f aca="false">'Per Layanan'!$B$132</f>
        <v>7300</v>
      </c>
    </row>
    <row r="10" customFormat="false" ht="15" hidden="false" customHeight="false" outlineLevel="0" collapsed="false">
      <c r="A10" s="6" t="s">
        <v>26</v>
      </c>
      <c r="B10" s="27" t="n">
        <f aca="false">'Per Layanan'!$B$199</f>
        <v>68000</v>
      </c>
      <c r="C10" s="27" t="n">
        <f aca="false">'Per Layanan'!$B$160</f>
        <v>2000</v>
      </c>
      <c r="D10" s="27" t="n">
        <f aca="false">'Per Layanan'!$B$173</f>
        <v>0</v>
      </c>
      <c r="E10" s="27" t="n">
        <f aca="false">'Per Layanan'!$B$174</f>
        <v>0</v>
      </c>
      <c r="F10" s="27" t="n">
        <f aca="false">'Per Layanan'!$B$175</f>
        <v>9000</v>
      </c>
      <c r="G10" s="27" t="n">
        <f aca="false">'Per Layanan'!$B$190</f>
        <v>0</v>
      </c>
      <c r="H10" s="27" t="n">
        <f aca="false">'Per Layanan'!$B$178</f>
        <v>0</v>
      </c>
      <c r="I10" s="27" t="n">
        <f aca="false">'Per Layanan'!$B$179</f>
        <v>70000</v>
      </c>
      <c r="J10" s="28" t="str">
        <f aca="false">'Per Layanan'!$B$164</f>
        <v>platform</v>
      </c>
      <c r="K10" s="17" t="n">
        <f aca="false">IF(OR(J10&lt;&gt;"platform",A10="travel",I10&lt;=0),0,IFERROR(ROUND(I10*INDEX('Biaya PG'!$D$7:$D$20,MATCH($C$4,'Biaya PG'!$A$7:$A$20,0)),0)+INDEX('Biaya PG'!$E$7:$E$20,MATCH($C$4,'Biaya PG'!$A$7:$A$20,0)),0)+IF(INDEX('Biaya PG'!$F$7:$F$20,MATCH($C$4,'Biaya PG'!$A$7:$A$20,0))="Ya",0,ROUND(IFERROR(ROUND(I10*INDEX('Biaya PG'!$D$7:$D$20,MATCH($C$4,'Biaya PG'!$A$7:$A$20,0)),0)+INDEX('Biaya PG'!$E$7:$E$20,MATCH($C$4,'Biaya PG'!$A$7:$A$20,0)),0)*INDEX('Biaya PG'!$G$7:$G$20,MATCH($C$4,'Biaya PG'!$A$7:$A$20,0)),0)))</f>
        <v>490</v>
      </c>
      <c r="L10" s="27" t="n">
        <f aca="false">'Per Layanan'!$B$186</f>
        <v>8000</v>
      </c>
      <c r="M10" s="27" t="n">
        <f aca="false">'Per Layanan'!$B$192</f>
        <v>11000</v>
      </c>
    </row>
    <row r="11" customFormat="false" ht="15" hidden="false" customHeight="false" outlineLevel="0" collapsed="false">
      <c r="A11" s="6" t="s">
        <v>30</v>
      </c>
      <c r="B11" s="27" t="n">
        <f aca="false">'Per Layanan'!$B$259</f>
        <v>8000</v>
      </c>
      <c r="C11" s="27" t="n">
        <f aca="false">'Per Layanan'!$B$220</f>
        <v>3000</v>
      </c>
      <c r="D11" s="27" t="n">
        <f aca="false">'Per Layanan'!$B$233</f>
        <v>0</v>
      </c>
      <c r="E11" s="27" t="n">
        <f aca="false">'Per Layanan'!$B$234</f>
        <v>0</v>
      </c>
      <c r="F11" s="27" t="n">
        <f aca="false">'Per Layanan'!$B$235</f>
        <v>0</v>
      </c>
      <c r="G11" s="27" t="n">
        <f aca="false">'Per Layanan'!$B$250</f>
        <v>0</v>
      </c>
      <c r="H11" s="27" t="n">
        <f aca="false">'Per Layanan'!$B$238</f>
        <v>0</v>
      </c>
      <c r="I11" s="27" t="n">
        <f aca="false">'Per Layanan'!$B$239</f>
        <v>11000</v>
      </c>
      <c r="J11" s="28" t="str">
        <f aca="false">'Per Layanan'!$B$224</f>
        <v>platform</v>
      </c>
      <c r="K11" s="17" t="n">
        <f aca="false">IF(OR(J11&lt;&gt;"platform",A11="travel",I11&lt;=0),0,IFERROR(ROUND(I11*INDEX('Biaya PG'!$D$7:$D$20,MATCH($C$4,'Biaya PG'!$A$7:$A$20,0)),0)+INDEX('Biaya PG'!$E$7:$E$20,MATCH($C$4,'Biaya PG'!$A$7:$A$20,0)),0)+IF(INDEX('Biaya PG'!$F$7:$F$20,MATCH($C$4,'Biaya PG'!$A$7:$A$20,0))="Ya",0,ROUND(IFERROR(ROUND(I11*INDEX('Biaya PG'!$D$7:$D$20,MATCH($C$4,'Biaya PG'!$A$7:$A$20,0)),0)+INDEX('Biaya PG'!$E$7:$E$20,MATCH($C$4,'Biaya PG'!$A$7:$A$20,0)),0)*INDEX('Biaya PG'!$G$7:$G$20,MATCH($C$4,'Biaya PG'!$A$7:$A$20,0)),0)))</f>
        <v>77</v>
      </c>
      <c r="L11" s="27" t="n">
        <f aca="false">'Per Layanan'!$B$246</f>
        <v>8000</v>
      </c>
      <c r="M11" s="27" t="n">
        <f aca="false">'Per Layanan'!$B$252</f>
        <v>3000</v>
      </c>
    </row>
    <row r="12" customFormat="false" ht="15" hidden="false" customHeight="false" outlineLevel="0" collapsed="false">
      <c r="A12" s="6" t="s">
        <v>34</v>
      </c>
      <c r="B12" s="27" t="n">
        <f aca="false">'Per Layanan'!$B$319</f>
        <v>158000</v>
      </c>
      <c r="C12" s="27" t="n">
        <f aca="false">'Per Layanan'!$B$280</f>
        <v>1000</v>
      </c>
      <c r="D12" s="27" t="n">
        <f aca="false">'Per Layanan'!$B$293</f>
        <v>0</v>
      </c>
      <c r="E12" s="27" t="n">
        <f aca="false">'Per Layanan'!$B$294</f>
        <v>0</v>
      </c>
      <c r="F12" s="27" t="n">
        <f aca="false">'Per Layanan'!$B$295</f>
        <v>0</v>
      </c>
      <c r="G12" s="27" t="n">
        <f aca="false">'Per Layanan'!$B$310</f>
        <v>2235</v>
      </c>
      <c r="H12" s="27" t="n">
        <f aca="false">'Per Layanan'!$B$298</f>
        <v>0</v>
      </c>
      <c r="I12" s="27" t="n">
        <f aca="false">'Per Layanan'!$B$299</f>
        <v>166450</v>
      </c>
      <c r="J12" s="28" t="str">
        <f aca="false">'Per Layanan'!$B$284</f>
        <v>platform</v>
      </c>
      <c r="K12" s="17" t="n">
        <f aca="false">IF(OR(J12&lt;&gt;"platform",A12="travel",I12&lt;=0),0,IFERROR(ROUND(I12*INDEX('Biaya PG'!$D$7:$D$20,MATCH($C$4,'Biaya PG'!$A$7:$A$20,0)),0)+INDEX('Biaya PG'!$E$7:$E$20,MATCH($C$4,'Biaya PG'!$A$7:$A$20,0)),0)+IF(INDEX('Biaya PG'!$F$7:$F$20,MATCH($C$4,'Biaya PG'!$A$7:$A$20,0))="Ya",0,ROUND(IFERROR(ROUND(I12*INDEX('Biaya PG'!$D$7:$D$20,MATCH($C$4,'Biaya PG'!$A$7:$A$20,0)),0)+INDEX('Biaya PG'!$E$7:$E$20,MATCH($C$4,'Biaya PG'!$A$7:$A$20,0)),0)*INDEX('Biaya PG'!$G$7:$G$20,MATCH($C$4,'Biaya PG'!$A$7:$A$20,0)),0)))</f>
        <v>1165</v>
      </c>
      <c r="L12" s="27" t="n">
        <f aca="false">'Per Layanan'!$B$306</f>
        <v>14215</v>
      </c>
      <c r="M12" s="27" t="n">
        <f aca="false">'Per Layanan'!$B$312</f>
        <v>3235</v>
      </c>
    </row>
    <row r="13" customFormat="false" ht="15" hidden="false" customHeight="false" outlineLevel="0" collapsed="false">
      <c r="A13" s="6" t="s">
        <v>38</v>
      </c>
      <c r="B13" s="27" t="n">
        <f aca="false">'Per Layanan'!$B$379</f>
        <v>40000</v>
      </c>
      <c r="C13" s="27" t="n">
        <f aca="false">'Per Layanan'!$B$340</f>
        <v>1000</v>
      </c>
      <c r="D13" s="27" t="n">
        <f aca="false">'Per Layanan'!$B$353</f>
        <v>0</v>
      </c>
      <c r="E13" s="27" t="n">
        <f aca="false">'Per Layanan'!$B$354</f>
        <v>0</v>
      </c>
      <c r="F13" s="27" t="n">
        <f aca="false">'Per Layanan'!$B$355</f>
        <v>0</v>
      </c>
      <c r="G13" s="27" t="n">
        <f aca="false">'Per Layanan'!$B$370</f>
        <v>2400</v>
      </c>
      <c r="H13" s="27" t="n">
        <f aca="false">'Per Layanan'!$B$358</f>
        <v>0</v>
      </c>
      <c r="I13" s="27" t="n">
        <f aca="false">'Per Layanan'!$B$359</f>
        <v>49000</v>
      </c>
      <c r="J13" s="28" t="str">
        <f aca="false">'Per Layanan'!$B$344</f>
        <v>platform</v>
      </c>
      <c r="K13" s="17" t="n">
        <f aca="false">IF(OR(J13&lt;&gt;"platform",A13="travel",I13&lt;=0),0,IFERROR(ROUND(I13*INDEX('Biaya PG'!$D$7:$D$20,MATCH($C$4,'Biaya PG'!$A$7:$A$20,0)),0)+INDEX('Biaya PG'!$E$7:$E$20,MATCH($C$4,'Biaya PG'!$A$7:$A$20,0)),0)+IF(INDEX('Biaya PG'!$F$7:$F$20,MATCH($C$4,'Biaya PG'!$A$7:$A$20,0))="Ya",0,ROUND(IFERROR(ROUND(I13*INDEX('Biaya PG'!$D$7:$D$20,MATCH($C$4,'Biaya PG'!$A$7:$A$20,0)),0)+INDEX('Biaya PG'!$E$7:$E$20,MATCH($C$4,'Biaya PG'!$A$7:$A$20,0)),0)*INDEX('Biaya PG'!$G$7:$G$20,MATCH($C$4,'Biaya PG'!$A$7:$A$20,0)),0)))</f>
        <v>343</v>
      </c>
      <c r="L13" s="27" t="n">
        <f aca="false">'Per Layanan'!$B$366</f>
        <v>16600</v>
      </c>
      <c r="M13" s="27" t="n">
        <f aca="false">'Per Layanan'!$B$372</f>
        <v>3400</v>
      </c>
    </row>
    <row r="14" customFormat="false" ht="15" hidden="false" customHeight="false" outlineLevel="0" collapsed="false">
      <c r="A14" s="6" t="s">
        <v>42</v>
      </c>
      <c r="B14" s="27" t="n">
        <f aca="false">'Per Layanan'!$B$439</f>
        <v>113000</v>
      </c>
      <c r="C14" s="27" t="n">
        <f aca="false">'Per Layanan'!$B$400</f>
        <v>2000</v>
      </c>
      <c r="D14" s="27" t="n">
        <f aca="false">'Per Layanan'!$B$413</f>
        <v>11300</v>
      </c>
      <c r="E14" s="27" t="n">
        <f aca="false">'Per Layanan'!$B$414</f>
        <v>0</v>
      </c>
      <c r="F14" s="27" t="n">
        <f aca="false">'Per Layanan'!$B$415</f>
        <v>0</v>
      </c>
      <c r="G14" s="27" t="n">
        <f aca="false">'Per Layanan'!$B$430</f>
        <v>0</v>
      </c>
      <c r="H14" s="27" t="n">
        <f aca="false">'Per Layanan'!$B$418</f>
        <v>0</v>
      </c>
      <c r="I14" s="27" t="n">
        <f aca="false">'Per Layanan'!$B$419</f>
        <v>115000</v>
      </c>
      <c r="J14" s="28" t="str">
        <f aca="false">'Per Layanan'!$B$404</f>
        <v>platform</v>
      </c>
      <c r="K14" s="17" t="n">
        <f aca="false">IF(OR(J14&lt;&gt;"platform",A14="travel",I14&lt;=0),0,IFERROR(ROUND(I14*INDEX('Biaya PG'!$D$7:$D$20,MATCH($C$4,'Biaya PG'!$A$7:$A$20,0)),0)+INDEX('Biaya PG'!$E$7:$E$20,MATCH($C$4,'Biaya PG'!$A$7:$A$20,0)),0)+IF(INDEX('Biaya PG'!$F$7:$F$20,MATCH($C$4,'Biaya PG'!$A$7:$A$20,0))="Ya",0,ROUND(IFERROR(ROUND(I14*INDEX('Biaya PG'!$D$7:$D$20,MATCH($C$4,'Biaya PG'!$A$7:$A$20,0)),0)+INDEX('Biaya PG'!$E$7:$E$20,MATCH($C$4,'Biaya PG'!$A$7:$A$20,0)),0)*INDEX('Biaya PG'!$G$7:$G$20,MATCH($C$4,'Biaya PG'!$A$7:$A$20,0)),0)))</f>
        <v>805</v>
      </c>
      <c r="L14" s="27" t="n">
        <f aca="false">'Per Layanan'!$B$426</f>
        <v>101700</v>
      </c>
      <c r="M14" s="27" t="n">
        <f aca="false">'Per Layanan'!$B$432</f>
        <v>13300</v>
      </c>
    </row>
    <row r="15" customFormat="false" ht="15" hidden="false" customHeight="false" outlineLevel="0" collapsed="false">
      <c r="A15" s="6" t="s">
        <v>45</v>
      </c>
      <c r="B15" s="27" t="n">
        <f aca="false">'Per Layanan'!$B$499</f>
        <v>300000</v>
      </c>
      <c r="C15" s="27" t="n">
        <f aca="false">'Per Layanan'!$B$460</f>
        <v>5000</v>
      </c>
      <c r="D15" s="27" t="n">
        <f aca="false">'Per Layanan'!$B$473</f>
        <v>0</v>
      </c>
      <c r="E15" s="27" t="n">
        <f aca="false">'Per Layanan'!$B$474</f>
        <v>0</v>
      </c>
      <c r="F15" s="27" t="n">
        <f aca="false">'Per Layanan'!$B$475</f>
        <v>30000</v>
      </c>
      <c r="G15" s="27" t="n">
        <f aca="false">'Per Layanan'!$B$490</f>
        <v>0</v>
      </c>
      <c r="H15" s="27" t="n">
        <f aca="false">'Per Layanan'!$B$478</f>
        <v>0</v>
      </c>
      <c r="I15" s="27" t="n">
        <f aca="false">'Per Layanan'!$B$479</f>
        <v>305000</v>
      </c>
      <c r="J15" s="28" t="str">
        <f aca="false">'Per Layanan'!$B$464</f>
        <v>platform</v>
      </c>
      <c r="K15" s="17" t="n">
        <f aca="false">IF(OR(J15&lt;&gt;"platform",A15="travel",I15&lt;=0),0,IFERROR(ROUND(I15*INDEX('Biaya PG'!$D$7:$D$20,MATCH($C$4,'Biaya PG'!$A$7:$A$20,0)),0)+INDEX('Biaya PG'!$E$7:$E$20,MATCH($C$4,'Biaya PG'!$A$7:$A$20,0)),0)+IF(INDEX('Biaya PG'!$F$7:$F$20,MATCH($C$4,'Biaya PG'!$A$7:$A$20,0))="Ya",0,ROUND(IFERROR(ROUND(I15*INDEX('Biaya PG'!$D$7:$D$20,MATCH($C$4,'Biaya PG'!$A$7:$A$20,0)),0)+INDEX('Biaya PG'!$E$7:$E$20,MATCH($C$4,'Biaya PG'!$A$7:$A$20,0)),0)*INDEX('Biaya PG'!$G$7:$G$20,MATCH($C$4,'Biaya PG'!$A$7:$A$20,0)),0)))</f>
        <v>0</v>
      </c>
      <c r="L15" s="27" t="n">
        <f aca="false">'Per Layanan'!$B$486</f>
        <v>0</v>
      </c>
      <c r="M15" s="27" t="n">
        <f aca="false">'Per Layanan'!$B$492</f>
        <v>35000</v>
      </c>
    </row>
    <row r="17" customFormat="false" ht="15" hidden="false" customHeight="false" outlineLevel="0" collapsed="false">
      <c r="A17" s="3" t="s">
        <v>375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15" hidden="false" customHeight="false" outlineLevel="0" collapsed="false">
      <c r="A18" s="5" t="s">
        <v>376</v>
      </c>
      <c r="B18" s="5" t="s">
        <v>53</v>
      </c>
      <c r="C18" s="5" t="s">
        <v>377</v>
      </c>
      <c r="D18" s="5" t="s">
        <v>378</v>
      </c>
      <c r="E18" s="5" t="s">
        <v>15</v>
      </c>
    </row>
    <row r="19" customFormat="false" ht="15" hidden="false" customHeight="false" outlineLevel="0" collapsed="false">
      <c r="A19" s="6" t="s">
        <v>379</v>
      </c>
      <c r="C19" s="24" t="s">
        <v>380</v>
      </c>
      <c r="D19" s="24" t="s">
        <v>381</v>
      </c>
    </row>
    <row r="20" customFormat="false" ht="15" hidden="false" customHeight="false" outlineLevel="0" collapsed="false">
      <c r="A20" s="7" t="s">
        <v>382</v>
      </c>
      <c r="B20" s="7" t="s">
        <v>383</v>
      </c>
      <c r="C20" s="29" t="n">
        <v>0</v>
      </c>
      <c r="D20" s="29" t="n">
        <v>0</v>
      </c>
      <c r="E20" s="7" t="s">
        <v>384</v>
      </c>
    </row>
    <row r="21" customFormat="false" ht="15" hidden="false" customHeight="false" outlineLevel="0" collapsed="false">
      <c r="A21" s="7" t="s">
        <v>385</v>
      </c>
      <c r="B21" s="7" t="s">
        <v>383</v>
      </c>
      <c r="C21" s="29" t="n">
        <v>0</v>
      </c>
      <c r="D21" s="29" t="n">
        <v>0</v>
      </c>
      <c r="E21" s="7" t="s">
        <v>384</v>
      </c>
    </row>
    <row r="22" customFormat="false" ht="15" hidden="false" customHeight="false" outlineLevel="0" collapsed="false">
      <c r="A22" s="7" t="s">
        <v>386</v>
      </c>
      <c r="B22" s="7" t="s">
        <v>383</v>
      </c>
      <c r="C22" s="29" t="n">
        <v>2400</v>
      </c>
      <c r="D22" s="29" t="n">
        <v>0</v>
      </c>
      <c r="E22" s="7" t="s">
        <v>384</v>
      </c>
    </row>
    <row r="23" customFormat="false" ht="15" hidden="false" customHeight="false" outlineLevel="0" collapsed="false">
      <c r="A23" s="7" t="s">
        <v>387</v>
      </c>
      <c r="B23" s="7" t="s">
        <v>383</v>
      </c>
      <c r="C23" s="29" t="n">
        <v>3000</v>
      </c>
      <c r="D23" s="29" t="n">
        <v>0</v>
      </c>
      <c r="E23" s="7" t="s">
        <v>384</v>
      </c>
    </row>
    <row r="24" customFormat="false" ht="15" hidden="false" customHeight="false" outlineLevel="0" collapsed="false">
      <c r="A24" s="7" t="s">
        <v>388</v>
      </c>
      <c r="B24" s="7" t="s">
        <v>383</v>
      </c>
      <c r="C24" s="29" t="n">
        <v>0</v>
      </c>
      <c r="D24" s="29" t="n">
        <v>0</v>
      </c>
      <c r="E24" s="7" t="s">
        <v>384</v>
      </c>
    </row>
    <row r="25" customFormat="false" ht="15" hidden="false" customHeight="false" outlineLevel="0" collapsed="false">
      <c r="A25" s="7" t="s">
        <v>389</v>
      </c>
      <c r="B25" s="7" t="s">
        <v>383</v>
      </c>
      <c r="C25" s="29" t="n">
        <v>0</v>
      </c>
      <c r="D25" s="29" t="n">
        <v>0</v>
      </c>
      <c r="E25" s="7" t="s">
        <v>384</v>
      </c>
    </row>
    <row r="26" customFormat="false" ht="15" hidden="false" customHeight="false" outlineLevel="0" collapsed="false">
      <c r="A26" s="7" t="s">
        <v>390</v>
      </c>
      <c r="B26" s="7" t="s">
        <v>383</v>
      </c>
      <c r="C26" s="29" t="n">
        <v>0</v>
      </c>
      <c r="D26" s="29" t="n">
        <v>0</v>
      </c>
      <c r="E26" s="7" t="s">
        <v>384</v>
      </c>
    </row>
    <row r="27" customFormat="false" ht="15" hidden="false" customHeight="false" outlineLevel="0" collapsed="false">
      <c r="A27" s="7" t="s">
        <v>391</v>
      </c>
      <c r="B27" s="7" t="s">
        <v>383</v>
      </c>
      <c r="C27" s="29" t="n">
        <v>0</v>
      </c>
      <c r="D27" s="29" t="n">
        <v>0</v>
      </c>
      <c r="E27" s="7" t="s">
        <v>384</v>
      </c>
    </row>
    <row r="28" customFormat="false" ht="15" hidden="false" customHeight="false" outlineLevel="0" collapsed="false">
      <c r="A28" s="7" t="s">
        <v>392</v>
      </c>
      <c r="B28" s="7" t="s">
        <v>57</v>
      </c>
      <c r="C28" s="25" t="n">
        <v>0.3</v>
      </c>
      <c r="D28" s="25" t="n">
        <v>0</v>
      </c>
      <c r="E28" s="7" t="s">
        <v>393</v>
      </c>
    </row>
    <row r="29" customFormat="false" ht="15" hidden="false" customHeight="false" outlineLevel="0" collapsed="false">
      <c r="A29" s="7" t="s">
        <v>394</v>
      </c>
      <c r="B29" s="7" t="s">
        <v>395</v>
      </c>
      <c r="C29" s="29" t="n">
        <v>60</v>
      </c>
      <c r="D29" s="29" t="n">
        <v>0</v>
      </c>
      <c r="E29" s="7" t="s">
        <v>396</v>
      </c>
    </row>
    <row r="30" customFormat="false" ht="15" hidden="false" customHeight="false" outlineLevel="0" collapsed="false">
      <c r="A30" s="7" t="s">
        <v>397</v>
      </c>
      <c r="B30" s="7" t="s">
        <v>395</v>
      </c>
      <c r="C30" s="29" t="n">
        <v>30</v>
      </c>
      <c r="D30" s="29" t="n">
        <v>0</v>
      </c>
      <c r="E30" s="7" t="s">
        <v>398</v>
      </c>
    </row>
    <row r="31" customFormat="false" ht="15" hidden="false" customHeight="false" outlineLevel="0" collapsed="false">
      <c r="A31" s="7" t="s">
        <v>399</v>
      </c>
      <c r="B31" s="7" t="s">
        <v>78</v>
      </c>
      <c r="C31" s="29" t="n">
        <v>4</v>
      </c>
      <c r="D31" s="29" t="n">
        <v>0</v>
      </c>
      <c r="E31" s="7" t="s">
        <v>398</v>
      </c>
    </row>
    <row r="32" customFormat="false" ht="15" hidden="false" customHeight="false" outlineLevel="0" collapsed="false">
      <c r="A32" s="7" t="s">
        <v>400</v>
      </c>
      <c r="B32" s="7" t="s">
        <v>401</v>
      </c>
      <c r="C32" s="29" t="n">
        <v>300</v>
      </c>
      <c r="D32" s="29" t="n">
        <v>0</v>
      </c>
      <c r="E32" s="7" t="s">
        <v>398</v>
      </c>
    </row>
    <row r="33" customFormat="false" ht="15" hidden="false" customHeight="false" outlineLevel="0" collapsed="false">
      <c r="A33" s="7" t="s">
        <v>402</v>
      </c>
      <c r="B33" s="7" t="s">
        <v>67</v>
      </c>
      <c r="C33" s="14" t="n">
        <v>1500000</v>
      </c>
      <c r="D33" s="14" t="n">
        <v>0</v>
      </c>
      <c r="E33" s="7" t="s">
        <v>403</v>
      </c>
    </row>
    <row r="34" customFormat="false" ht="15" hidden="false" customHeight="false" outlineLevel="0" collapsed="false">
      <c r="A34" s="7" t="s">
        <v>404</v>
      </c>
      <c r="B34" s="7" t="s">
        <v>67</v>
      </c>
      <c r="C34" s="14" t="n">
        <v>15000000</v>
      </c>
      <c r="D34" s="14" t="n">
        <v>0</v>
      </c>
      <c r="E34" s="7" t="s">
        <v>405</v>
      </c>
    </row>
    <row r="35" customFormat="false" ht="15" hidden="false" customHeight="false" outlineLevel="0" collapsed="false">
      <c r="A35" s="7" t="s">
        <v>406</v>
      </c>
      <c r="B35" s="7" t="s">
        <v>67</v>
      </c>
      <c r="C35" s="14" t="n">
        <v>5000000</v>
      </c>
      <c r="D35" s="14" t="n">
        <v>0</v>
      </c>
      <c r="E35" s="7" t="s">
        <v>398</v>
      </c>
    </row>
    <row r="36" customFormat="false" ht="15" hidden="false" customHeight="false" outlineLevel="0" collapsed="false">
      <c r="A36" s="7" t="s">
        <v>407</v>
      </c>
      <c r="B36" s="7" t="s">
        <v>67</v>
      </c>
      <c r="C36" s="14" t="n">
        <v>2000000</v>
      </c>
      <c r="D36" s="14" t="n">
        <v>0</v>
      </c>
      <c r="E36" s="7" t="s">
        <v>398</v>
      </c>
    </row>
    <row r="37" customFormat="false" ht="15" hidden="false" customHeight="false" outlineLevel="0" collapsed="false">
      <c r="A37" s="7" t="s">
        <v>408</v>
      </c>
      <c r="B37" s="7" t="s">
        <v>67</v>
      </c>
      <c r="C37" s="14" t="n">
        <v>1500000</v>
      </c>
      <c r="D37" s="14" t="n">
        <v>0</v>
      </c>
      <c r="E37" s="7" t="s">
        <v>398</v>
      </c>
    </row>
    <row r="38" customFormat="false" ht="15" hidden="false" customHeight="false" outlineLevel="0" collapsed="false">
      <c r="A38" s="7" t="s">
        <v>409</v>
      </c>
      <c r="B38" s="7" t="s">
        <v>67</v>
      </c>
      <c r="C38" s="14" t="n">
        <v>3000000</v>
      </c>
      <c r="D38" s="14" t="n">
        <v>0</v>
      </c>
      <c r="E38" s="7" t="s">
        <v>398</v>
      </c>
    </row>
    <row r="39" customFormat="false" ht="15" hidden="false" customHeight="false" outlineLevel="0" collapsed="false">
      <c r="A39" s="7" t="s">
        <v>410</v>
      </c>
      <c r="B39" s="7" t="s">
        <v>67</v>
      </c>
      <c r="C39" s="14" t="n">
        <v>1000000</v>
      </c>
      <c r="D39" s="14" t="n">
        <v>0</v>
      </c>
      <c r="E39" s="7" t="s">
        <v>398</v>
      </c>
    </row>
    <row r="41" customFormat="false" ht="15" hidden="false" customHeight="false" outlineLevel="0" collapsed="false">
      <c r="A41" s="3" t="s">
        <v>411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15" hidden="false" customHeight="false" outlineLevel="0" collapsed="false">
      <c r="A42" s="5" t="s">
        <v>229</v>
      </c>
      <c r="B42" s="5" t="s">
        <v>412</v>
      </c>
      <c r="C42" s="5" t="s">
        <v>377</v>
      </c>
      <c r="D42" s="5" t="s">
        <v>381</v>
      </c>
      <c r="E42" s="5" t="s">
        <v>413</v>
      </c>
    </row>
    <row r="43" customFormat="false" ht="15" hidden="false" customHeight="false" outlineLevel="0" collapsed="false">
      <c r="A43" s="7" t="s">
        <v>414</v>
      </c>
      <c r="B43" s="23" t="s">
        <v>415</v>
      </c>
      <c r="C43" s="26" t="n">
        <f aca="false">SUM(C$20:C$27)</f>
        <v>5400</v>
      </c>
      <c r="D43" s="26" t="n">
        <f aca="false">SUM(D$20:D$27)</f>
        <v>0</v>
      </c>
      <c r="E43" s="26" t="n">
        <f aca="false">C43+D43</f>
        <v>5400</v>
      </c>
    </row>
    <row r="44" customFormat="false" ht="15" hidden="false" customHeight="false" outlineLevel="0" collapsed="false">
      <c r="A44" s="7" t="s">
        <v>416</v>
      </c>
      <c r="B44" s="23" t="s">
        <v>417</v>
      </c>
      <c r="C44" s="17" t="n">
        <f aca="false">SUMPRODUCT(C$20:C$27,$B$8:$B$15)</f>
        <v>187200000</v>
      </c>
      <c r="D44" s="17" t="n">
        <f aca="false">SUMPRODUCT(D$20:D$27,$B$8:$B$15)</f>
        <v>0</v>
      </c>
      <c r="E44" s="17" t="n">
        <f aca="false">C44+D44</f>
        <v>187200000</v>
      </c>
    </row>
    <row r="45" customFormat="false" ht="15" hidden="false" customHeight="false" outlineLevel="0" collapsed="false">
      <c r="A45" s="7" t="s">
        <v>418</v>
      </c>
      <c r="B45" s="23" t="s">
        <v>419</v>
      </c>
      <c r="C45" s="17" t="n">
        <f aca="false">SUMPRODUCT(C$20:C$27,$F$8:$F$15)</f>
        <v>21600000</v>
      </c>
      <c r="D45" s="17" t="n">
        <f aca="false">SUMPRODUCT(D$20:D$27,$F$8:$F$15)</f>
        <v>0</v>
      </c>
      <c r="E45" s="17" t="n">
        <f aca="false">C45+D45</f>
        <v>21600000</v>
      </c>
    </row>
    <row r="46" customFormat="false" ht="15" hidden="false" customHeight="false" outlineLevel="0" collapsed="false">
      <c r="A46" s="7" t="s">
        <v>420</v>
      </c>
      <c r="B46" s="23" t="s">
        <v>421</v>
      </c>
      <c r="C46" s="17" t="n">
        <f aca="false">SUMPRODUCT(C$20:C$27,$C$8:$C$15)</f>
        <v>13800000</v>
      </c>
      <c r="D46" s="17" t="n">
        <f aca="false">SUMPRODUCT(D$20:D$27,$C$8:$C$15)</f>
        <v>0</v>
      </c>
      <c r="E46" s="17" t="n">
        <f aca="false">C46+D46</f>
        <v>13800000</v>
      </c>
    </row>
    <row r="47" customFormat="false" ht="15" hidden="false" customHeight="false" outlineLevel="0" collapsed="false">
      <c r="A47" s="7" t="s">
        <v>422</v>
      </c>
      <c r="B47" s="23" t="s">
        <v>423</v>
      </c>
      <c r="C47" s="17" t="n">
        <f aca="false">SUMPRODUCT(C$20:C$27,$D$8:$D$15)</f>
        <v>0</v>
      </c>
      <c r="D47" s="17" t="n">
        <f aca="false">SUMPRODUCT(D$20:D$27,$D$8:$D$15)</f>
        <v>0</v>
      </c>
      <c r="E47" s="17" t="n">
        <f aca="false">C47+D47</f>
        <v>0</v>
      </c>
    </row>
    <row r="48" customFormat="false" ht="15" hidden="false" customHeight="false" outlineLevel="0" collapsed="false">
      <c r="A48" s="7" t="s">
        <v>424</v>
      </c>
      <c r="B48" s="23" t="s">
        <v>425</v>
      </c>
      <c r="C48" s="17" t="n">
        <f aca="false">SUMPRODUCT(C$20:C$27,$G$8:$G$15)</f>
        <v>0</v>
      </c>
      <c r="D48" s="17" t="n">
        <f aca="false">SUMPRODUCT(D$20:D$27,$G$8:$G$15)</f>
        <v>0</v>
      </c>
      <c r="E48" s="17" t="n">
        <f aca="false">C48+D48</f>
        <v>0</v>
      </c>
    </row>
    <row r="49" customFormat="false" ht="15" hidden="false" customHeight="false" outlineLevel="0" collapsed="false">
      <c r="A49" s="7" t="s">
        <v>426</v>
      </c>
      <c r="B49" s="23" t="s">
        <v>427</v>
      </c>
      <c r="C49" s="17" t="n">
        <f aca="false">C29*Asumsi!$C$35+C30*Asumsi!$C$34+C31*Asumsi!$C$36</f>
        <v>1850000</v>
      </c>
      <c r="D49" s="17" t="n">
        <f aca="false">D29*Asumsi!$C$35+D30*Asumsi!$C$34+D31*Asumsi!$C$36</f>
        <v>0</v>
      </c>
      <c r="E49" s="17" t="n">
        <f aca="false">C49+D49</f>
        <v>1850000</v>
      </c>
    </row>
    <row r="50" customFormat="false" ht="15" hidden="false" customHeight="false" outlineLevel="0" collapsed="false">
      <c r="A50" s="7" t="s">
        <v>428</v>
      </c>
      <c r="B50" s="23" t="s">
        <v>429</v>
      </c>
      <c r="C50" s="17" t="n">
        <f aca="false">SUMPRODUCT(C$20:C$27,$H$8:$H$15)</f>
        <v>0</v>
      </c>
      <c r="D50" s="17" t="n">
        <f aca="false">SUMPRODUCT(D$20:D$27,$H$8:$H$15)</f>
        <v>0</v>
      </c>
      <c r="E50" s="17" t="n">
        <f aca="false">C50+D50</f>
        <v>0</v>
      </c>
    </row>
    <row r="51" customFormat="false" ht="15" hidden="false" customHeight="false" outlineLevel="0" collapsed="false">
      <c r="A51" s="6" t="s">
        <v>430</v>
      </c>
      <c r="B51" s="23" t="s">
        <v>431</v>
      </c>
      <c r="C51" s="17" t="n">
        <f aca="false">C45+C46+C47+C48+C49-C50</f>
        <v>37250000</v>
      </c>
      <c r="D51" s="17" t="n">
        <f aca="false">D45+D46+D47+D48+D49-D50</f>
        <v>0</v>
      </c>
      <c r="E51" s="17" t="n">
        <f aca="false">C51+D51</f>
        <v>37250000</v>
      </c>
    </row>
    <row r="52" customFormat="false" ht="15" hidden="false" customHeight="false" outlineLevel="0" collapsed="false">
      <c r="A52" s="6" t="s">
        <v>432</v>
      </c>
      <c r="B52" s="23" t="s">
        <v>433</v>
      </c>
      <c r="C52" s="30" t="n">
        <f aca="false">IF(C44&gt;0,C51/C44,0)</f>
        <v>0.198985042735043</v>
      </c>
      <c r="D52" s="30" t="n">
        <f aca="false">IF(D44&gt;0,D51/D44,0)</f>
        <v>0</v>
      </c>
      <c r="E52" s="30" t="n">
        <f aca="false">IF(E44&gt;0,E51/E44,0)</f>
        <v>0.198985042735043</v>
      </c>
    </row>
    <row r="53" customFormat="false" ht="15" hidden="false" customHeight="false" outlineLevel="0" collapsed="false">
      <c r="A53" s="7" t="s">
        <v>434</v>
      </c>
      <c r="B53" s="23" t="s">
        <v>435</v>
      </c>
      <c r="C53" s="16" t="n">
        <f aca="false">Asumsi!$C$23</f>
        <v>0.25</v>
      </c>
      <c r="D53" s="16" t="n">
        <f aca="false">Asumsi!$C$23</f>
        <v>0.25</v>
      </c>
      <c r="E53" s="16" t="n">
        <f aca="false">Asumsi!$C$23</f>
        <v>0.25</v>
      </c>
    </row>
    <row r="54" customFormat="false" ht="15" hidden="false" customHeight="false" outlineLevel="0" collapsed="false">
      <c r="A54" s="7" t="s">
        <v>436</v>
      </c>
      <c r="B54" s="23" t="s">
        <v>437</v>
      </c>
      <c r="C54" s="17" t="n">
        <f aca="false">SUMPRODUCT(C$20:C$27,$E$8:$E$15)</f>
        <v>0</v>
      </c>
      <c r="D54" s="17" t="n">
        <f aca="false">SUMPRODUCT(D$20:D$27,$E$8:$E$15)</f>
        <v>0</v>
      </c>
      <c r="E54" s="17" t="n">
        <f aca="false">C54+D54</f>
        <v>0</v>
      </c>
    </row>
    <row r="55" customFormat="false" ht="15" hidden="false" customHeight="false" outlineLevel="0" collapsed="false">
      <c r="A55" s="7" t="s">
        <v>438</v>
      </c>
      <c r="B55" s="23" t="s">
        <v>439</v>
      </c>
      <c r="C55" s="17" t="n">
        <f aca="false">SUMPRODUCT(C$20:C$27,$K$8:$K$15)*C28</f>
        <v>422100</v>
      </c>
      <c r="D55" s="17" t="n">
        <f aca="false">SUMPRODUCT(D$20:D$27,$K$8:$K$15)*D28</f>
        <v>0</v>
      </c>
      <c r="E55" s="17" t="n">
        <f aca="false">C55+D55</f>
        <v>422100</v>
      </c>
    </row>
    <row r="56" customFormat="false" ht="15" hidden="false" customHeight="false" outlineLevel="0" collapsed="false">
      <c r="A56" s="7" t="s">
        <v>440</v>
      </c>
      <c r="B56" s="23" t="s">
        <v>441</v>
      </c>
      <c r="C56" s="17" t="n">
        <f aca="false">C32*Asumsi!$C$31</f>
        <v>0</v>
      </c>
      <c r="D56" s="17" t="n">
        <f aca="false">D32*Asumsi!$C$31</f>
        <v>0</v>
      </c>
      <c r="E56" s="17" t="n">
        <f aca="false">C56+D56</f>
        <v>0</v>
      </c>
    </row>
    <row r="57" customFormat="false" ht="15" hidden="false" customHeight="false" outlineLevel="0" collapsed="false">
      <c r="A57" s="7" t="s">
        <v>442</v>
      </c>
      <c r="B57" s="23" t="s">
        <v>443</v>
      </c>
      <c r="C57" s="17" t="n">
        <f aca="false">C33</f>
        <v>1500000</v>
      </c>
      <c r="D57" s="17" t="n">
        <f aca="false">D33</f>
        <v>0</v>
      </c>
      <c r="E57" s="17" t="n">
        <f aca="false">C57+D57</f>
        <v>1500000</v>
      </c>
    </row>
    <row r="58" customFormat="false" ht="15" hidden="false" customHeight="false" outlineLevel="0" collapsed="false">
      <c r="A58" s="6" t="s">
        <v>444</v>
      </c>
      <c r="B58" s="23" t="s">
        <v>445</v>
      </c>
      <c r="C58" s="18" t="n">
        <f aca="false">C51-C54-C55-C56-C57</f>
        <v>35327900</v>
      </c>
      <c r="D58" s="18" t="n">
        <f aca="false">D51-D54-D55-D56-D57</f>
        <v>0</v>
      </c>
      <c r="E58" s="17" t="n">
        <f aca="false">C58+D58</f>
        <v>35327900</v>
      </c>
    </row>
    <row r="59" customFormat="false" ht="15" hidden="false" customHeight="false" outlineLevel="0" collapsed="false">
      <c r="A59" s="7" t="s">
        <v>446</v>
      </c>
      <c r="B59" s="23" t="s">
        <v>447</v>
      </c>
      <c r="C59" s="17" t="n">
        <f aca="false">IF(C43&gt;0,C58/C43,0)</f>
        <v>6542.2037037037</v>
      </c>
      <c r="D59" s="17" t="n">
        <f aca="false">IF(D43&gt;0,D58/D43,0)</f>
        <v>0</v>
      </c>
      <c r="E59" s="17" t="n">
        <f aca="false">IF(E43&gt;0,E58/E43,0)</f>
        <v>6542.2037037037</v>
      </c>
    </row>
    <row r="60" customFormat="false" ht="15" hidden="false" customHeight="false" outlineLevel="0" collapsed="false">
      <c r="A60" s="7" t="s">
        <v>448</v>
      </c>
      <c r="B60" s="23" t="s">
        <v>449</v>
      </c>
      <c r="C60" s="17" t="n">
        <f aca="false">SUM(C34:C39)</f>
        <v>27500000</v>
      </c>
      <c r="D60" s="17" t="n">
        <f aca="false">SUM(D34:D39)</f>
        <v>0</v>
      </c>
      <c r="E60" s="17" t="n">
        <f aca="false">C60+D60</f>
        <v>27500000</v>
      </c>
    </row>
    <row r="61" customFormat="false" ht="15" hidden="false" customHeight="false" outlineLevel="0" collapsed="false">
      <c r="A61" s="6" t="s">
        <v>450</v>
      </c>
      <c r="B61" s="23" t="s">
        <v>451</v>
      </c>
      <c r="C61" s="18" t="n">
        <f aca="false">C58-C60</f>
        <v>7827900</v>
      </c>
      <c r="D61" s="18" t="n">
        <f aca="false">D58-D60</f>
        <v>0</v>
      </c>
      <c r="E61" s="17" t="n">
        <f aca="false">C61+D61</f>
        <v>7827900</v>
      </c>
    </row>
    <row r="62" customFormat="false" ht="15" hidden="false" customHeight="false" outlineLevel="0" collapsed="false">
      <c r="A62" s="7" t="s">
        <v>452</v>
      </c>
      <c r="B62" s="23" t="s">
        <v>453</v>
      </c>
      <c r="C62" s="17" t="n">
        <f aca="false">SUMPRODUCT(C$20:C$27,$L$8:$L$15)</f>
        <v>43200000</v>
      </c>
      <c r="D62" s="17" t="n">
        <f aca="false">SUMPRODUCT(D$20:D$27,$L$8:$L$15)</f>
        <v>0</v>
      </c>
      <c r="E62" s="17" t="n">
        <f aca="false">C62+D62</f>
        <v>43200000</v>
      </c>
    </row>
    <row r="63" customFormat="false" ht="15" hidden="false" customHeight="false" outlineLevel="0" collapsed="false">
      <c r="A63" s="7" t="s">
        <v>454</v>
      </c>
      <c r="B63" s="23" t="s">
        <v>455</v>
      </c>
      <c r="C63" s="26" t="n">
        <f aca="false">IF(AND(C43&gt;0,C59&gt;0),ROUNDUP(C60/C59,0),0)</f>
        <v>4204</v>
      </c>
      <c r="D63" s="26" t="n">
        <f aca="false">IF(AND(D43&gt;0,D59&gt;0),ROUNDUP(D60/D59,0),0)</f>
        <v>0</v>
      </c>
      <c r="E63" s="26" t="n">
        <f aca="false">IF(AND(E43&gt;0,E59&gt;0),ROUNDUP(E60/E59,0),0)</f>
        <v>4204</v>
      </c>
    </row>
    <row r="65" customFormat="false" ht="15" hidden="false" customHeight="false" outlineLevel="0" collapsed="false">
      <c r="A65" s="3" t="s">
        <v>456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Format="false" ht="15" hidden="false" customHeight="false" outlineLevel="0" collapsed="false">
      <c r="A66" s="5" t="s">
        <v>457</v>
      </c>
      <c r="B66" s="5" t="s">
        <v>458</v>
      </c>
      <c r="C66" s="5" t="s">
        <v>459</v>
      </c>
      <c r="D66" s="5" t="s">
        <v>220</v>
      </c>
      <c r="E66" s="5" t="s">
        <v>460</v>
      </c>
      <c r="F66" s="5" t="s">
        <v>461</v>
      </c>
    </row>
    <row r="67" customFormat="false" ht="15" hidden="false" customHeight="false" outlineLevel="0" collapsed="false">
      <c r="A67" s="7" t="s">
        <v>462</v>
      </c>
      <c r="B67" s="31" t="n">
        <f aca="false">Asumsi!$C$24</f>
        <v>8</v>
      </c>
      <c r="C67" s="29"/>
      <c r="D67" s="6" t="str">
        <f aca="false">IF(C67="","BELUM ADA DATA",IF(C67&gt;=B67,"LULUS","GAGAL"))</f>
        <v>BELUM ADA DATA</v>
      </c>
      <c r="E67" s="7" t="s">
        <v>71</v>
      </c>
      <c r="F67" s="7" t="s">
        <v>463</v>
      </c>
    </row>
    <row r="68" customFormat="false" ht="15" hidden="false" customHeight="false" outlineLevel="0" collapsed="false">
      <c r="A68" s="7" t="s">
        <v>464</v>
      </c>
      <c r="B68" s="27" t="n">
        <f aca="false">Asumsi!$C$25</f>
        <v>0</v>
      </c>
      <c r="C68" s="14"/>
      <c r="D68" s="6" t="str">
        <f aca="false">IF(C68="","BELUM ADA DATA",IF(C68&lt;=B68,"LULUS","GAGAL"))</f>
        <v>BELUM ADA DATA</v>
      </c>
      <c r="E68" s="7" t="s">
        <v>71</v>
      </c>
      <c r="F68" s="7" t="s">
        <v>465</v>
      </c>
    </row>
    <row r="69" customFormat="false" ht="15" hidden="false" customHeight="false" outlineLevel="0" collapsed="false">
      <c r="A69" s="7" t="s">
        <v>466</v>
      </c>
      <c r="B69" s="16" t="n">
        <f aca="false">Asumsi!$C$26</f>
        <v>0.95</v>
      </c>
      <c r="C69" s="25"/>
      <c r="D69" s="6" t="str">
        <f aca="false">IF(C69="","BELUM ADA DATA",IF(C69&gt;=B69,"LULUS","GAGAL"))</f>
        <v>BELUM ADA DATA</v>
      </c>
      <c r="E69" s="7" t="s">
        <v>24</v>
      </c>
      <c r="F69" s="7" t="s">
        <v>463</v>
      </c>
    </row>
    <row r="70" customFormat="false" ht="15" hidden="false" customHeight="false" outlineLevel="0" collapsed="false">
      <c r="A70" s="7" t="s">
        <v>467</v>
      </c>
      <c r="B70" s="16" t="n">
        <f aca="false">Asumsi!$C$27</f>
        <v>0.6</v>
      </c>
      <c r="C70" s="25"/>
      <c r="D70" s="6" t="str">
        <f aca="false">IF(C70="","BELUM ADA DATA",IF(C70&gt;=B70,"LULUS","GAGAL"))</f>
        <v>BELUM ADA DATA</v>
      </c>
      <c r="E70" s="7" t="s">
        <v>24</v>
      </c>
      <c r="F70" s="7" t="s">
        <v>463</v>
      </c>
    </row>
    <row r="71" customFormat="false" ht="15" hidden="false" customHeight="false" outlineLevel="0" collapsed="false">
      <c r="A71" s="7" t="s">
        <v>468</v>
      </c>
      <c r="B71" s="16" t="n">
        <f aca="false">Asumsi!$C$28</f>
        <v>0.7</v>
      </c>
      <c r="C71" s="25"/>
      <c r="D71" s="6" t="str">
        <f aca="false">IF(C71="","BELUM ADA DATA",IF(C71&gt;=B71,"LULUS","GAGAL"))</f>
        <v>BELUM ADA DATA</v>
      </c>
      <c r="E71" s="7" t="s">
        <v>24</v>
      </c>
      <c r="F71" s="7" t="s">
        <v>463</v>
      </c>
    </row>
    <row r="72" customFormat="false" ht="15" hidden="false" customHeight="false" outlineLevel="0" collapsed="false">
      <c r="A72" s="7" t="s">
        <v>469</v>
      </c>
      <c r="B72" s="16" t="n">
        <f aca="false">Asumsi!$C$29</f>
        <v>0.02</v>
      </c>
      <c r="C72" s="25"/>
      <c r="D72" s="6" t="str">
        <f aca="false">IF(C72="","BELUM ADA DATA",IF(C72&lt;=B72,"LULUS","GAGAL"))</f>
        <v>BELUM ADA DATA</v>
      </c>
      <c r="E72" s="7" t="s">
        <v>24</v>
      </c>
      <c r="F72" s="7" t="s">
        <v>470</v>
      </c>
    </row>
    <row r="73" customFormat="false" ht="15" hidden="false" customHeight="false" outlineLevel="0" collapsed="false">
      <c r="A73" s="7" t="s">
        <v>471</v>
      </c>
      <c r="B73" s="12" t="n">
        <v>0</v>
      </c>
      <c r="C73" s="29"/>
      <c r="D73" s="6" t="str">
        <f aca="false">IF(C73="","BELUM ADA DATA",IF(C73&lt;=B73,"LULUS","GAGAL"))</f>
        <v>BELUM ADA DATA</v>
      </c>
      <c r="E73" s="7" t="s">
        <v>472</v>
      </c>
      <c r="F73" s="7" t="s">
        <v>473</v>
      </c>
    </row>
    <row r="74" customFormat="false" ht="15" hidden="false" customHeight="false" outlineLevel="0" collapsed="false">
      <c r="A74" s="7" t="s">
        <v>474</v>
      </c>
      <c r="B74" s="17" t="n">
        <v>0</v>
      </c>
      <c r="C74" s="17" t="n">
        <f aca="false">E58</f>
        <v>35327900</v>
      </c>
      <c r="D74" s="6" t="str">
        <f aca="false">IF(C74&gt;B74,"LULUS","GAGAL")</f>
        <v>LULUS</v>
      </c>
      <c r="E74" s="7" t="s">
        <v>475</v>
      </c>
      <c r="F74" s="7" t="s">
        <v>476</v>
      </c>
    </row>
    <row r="75" customFormat="false" ht="15" hidden="false" customHeight="false" outlineLevel="0" collapsed="false">
      <c r="A75" s="6" t="s">
        <v>477</v>
      </c>
      <c r="D75" s="22" t="str">
        <f aca="false">IF(COUNTIF(D67:D73,"LULUS")=7,"SIAP","BELUM")</f>
        <v>BELUM</v>
      </c>
      <c r="F75" s="7" t="s">
        <v>478</v>
      </c>
    </row>
    <row r="76" customFormat="false" ht="15" hidden="false" customHeight="false" outlineLevel="0" collapsed="false">
      <c r="A76" s="6" t="s">
        <v>479</v>
      </c>
      <c r="D76" s="32" t="str">
        <f aca="false">'Per Layanan'!$D$22</f>
        <v>LULUS</v>
      </c>
    </row>
    <row r="78" customFormat="false" ht="15" hidden="false" customHeight="false" outlineLevel="0" collapsed="false">
      <c r="A78" s="2" t="s">
        <v>123</v>
      </c>
    </row>
  </sheetData>
  <dataValidations count="1">
    <dataValidation allowBlank="false" errorStyle="stop" operator="between" showDropDown="false" showErrorMessage="false" showInputMessage="false" sqref="C4" type="list">
      <formula1>'Biaya PG'!$A$7:$A$20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480</v>
      </c>
    </row>
    <row r="3" customFormat="false" ht="15" hidden="false" customHeight="false" outlineLevel="0" collapsed="false">
      <c r="A3" s="5" t="s">
        <v>481</v>
      </c>
      <c r="B3" s="5" t="s">
        <v>482</v>
      </c>
    </row>
    <row r="4" customFormat="false" ht="15" hidden="false" customHeight="false" outlineLevel="0" collapsed="false">
      <c r="A4" s="33" t="s">
        <v>483</v>
      </c>
      <c r="B4" s="11" t="s">
        <v>484</v>
      </c>
    </row>
    <row r="5" customFormat="false" ht="15" hidden="false" customHeight="false" outlineLevel="0" collapsed="false">
      <c r="A5" s="6" t="s">
        <v>485</v>
      </c>
      <c r="B5" s="11" t="s">
        <v>486</v>
      </c>
    </row>
    <row r="6" customFormat="false" ht="15" hidden="false" customHeight="false" outlineLevel="0" collapsed="false">
      <c r="A6" s="32" t="s">
        <v>487</v>
      </c>
      <c r="B6" s="11" t="s">
        <v>488</v>
      </c>
    </row>
    <row r="7" customFormat="false" ht="15" hidden="false" customHeight="false" outlineLevel="0" collapsed="false">
      <c r="A7" s="34" t="s">
        <v>489</v>
      </c>
      <c r="B7" s="11" t="s">
        <v>490</v>
      </c>
    </row>
    <row r="8" customFormat="false" ht="15" hidden="false" customHeight="false" outlineLevel="0" collapsed="false">
      <c r="A8" s="22" t="s">
        <v>491</v>
      </c>
      <c r="B8" s="11" t="s">
        <v>492</v>
      </c>
    </row>
    <row r="9" customFormat="false" ht="15" hidden="false" customHeight="false" outlineLevel="0" collapsed="false">
      <c r="A9" s="6" t="s">
        <v>71</v>
      </c>
      <c r="B9" s="11" t="s">
        <v>493</v>
      </c>
    </row>
    <row r="10" customFormat="false" ht="15" hidden="false" customHeight="false" outlineLevel="0" collapsed="false">
      <c r="A10" s="6" t="s">
        <v>47</v>
      </c>
      <c r="B10" s="11" t="s">
        <v>494</v>
      </c>
    </row>
    <row r="11" customFormat="false" ht="15" hidden="false" customHeight="false" outlineLevel="0" collapsed="false">
      <c r="A11" s="6" t="s">
        <v>24</v>
      </c>
      <c r="B11" s="11" t="s">
        <v>495</v>
      </c>
    </row>
    <row r="12" customFormat="false" ht="15" hidden="false" customHeight="false" outlineLevel="0" collapsed="false">
      <c r="A12" s="6" t="s">
        <v>496</v>
      </c>
      <c r="B12" s="11" t="s">
        <v>497</v>
      </c>
    </row>
    <row r="13" customFormat="false" ht="15" hidden="false" customHeight="false" outlineLevel="0" collapsed="false">
      <c r="A13" s="6" t="s">
        <v>498</v>
      </c>
      <c r="B13" s="11" t="s">
        <v>499</v>
      </c>
    </row>
    <row r="16" customFormat="false" ht="15" hidden="false" customHeight="true" outlineLevel="0" collapsed="false">
      <c r="A16" s="35" t="s">
        <v>500</v>
      </c>
      <c r="B16" s="35"/>
    </row>
    <row r="17" customFormat="false" ht="30" hidden="false" customHeight="true" outlineLevel="0" collapsed="false">
      <c r="A17" s="36" t="s">
        <v>501</v>
      </c>
      <c r="B17" s="36"/>
    </row>
    <row r="18" customFormat="false" ht="30" hidden="false" customHeight="true" outlineLevel="0" collapsed="false">
      <c r="A18" s="36" t="s">
        <v>502</v>
      </c>
      <c r="B18" s="36"/>
    </row>
    <row r="19" customFormat="false" ht="30" hidden="false" customHeight="true" outlineLevel="0" collapsed="false">
      <c r="A19" s="36" t="s">
        <v>503</v>
      </c>
      <c r="B19" s="36"/>
    </row>
    <row r="20" customFormat="false" ht="30" hidden="false" customHeight="true" outlineLevel="0" collapsed="false">
      <c r="A20" s="36" t="s">
        <v>504</v>
      </c>
      <c r="B20" s="36"/>
    </row>
    <row r="21" customFormat="false" ht="30" hidden="false" customHeight="true" outlineLevel="0" collapsed="false">
      <c r="A21" s="36" t="s">
        <v>505</v>
      </c>
      <c r="B21" s="36"/>
    </row>
    <row r="22" customFormat="false" ht="30" hidden="false" customHeight="true" outlineLevel="0" collapsed="false">
      <c r="A22" s="36" t="s">
        <v>506</v>
      </c>
      <c r="B22" s="36"/>
    </row>
    <row r="23" customFormat="false" ht="30" hidden="false" customHeight="true" outlineLevel="0" collapsed="false">
      <c r="A23" s="36" t="s">
        <v>507</v>
      </c>
      <c r="B23" s="36"/>
    </row>
    <row r="24" customFormat="false" ht="30" hidden="false" customHeight="true" outlineLevel="0" collapsed="false">
      <c r="A24" s="36" t="s">
        <v>508</v>
      </c>
      <c r="B24" s="36"/>
    </row>
    <row r="25" customFormat="false" ht="30" hidden="false" customHeight="true" outlineLevel="0" collapsed="false">
      <c r="A25" s="36" t="s">
        <v>123</v>
      </c>
      <c r="B25" s="36"/>
    </row>
  </sheetData>
  <mergeCells count="10"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2026-09-23T18:52:41Z</dcterms:created>
  <dc:creator>openpyxl</dc:creator>
  <dc:description/>
  <dc:language>en-US</dc:language>
  <cp:lastModifiedBy/>
  <dcterms:modified xsi:type="dcterms:W3CDTF">2026-09-23T18:52:41Z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