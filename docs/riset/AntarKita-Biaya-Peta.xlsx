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umsi Volume" sheetId="1" state="visible" r:id="rId1"/>
    <sheet xmlns:r="http://schemas.openxmlformats.org/officeDocument/2006/relationships" name="Panggilan per Pesanan" sheetId="2" state="visible" r:id="rId2"/>
    <sheet xmlns:r="http://schemas.openxmlformats.org/officeDocument/2006/relationships" name="Harga per Penyedia" sheetId="3" state="visible" r:id="rId3"/>
    <sheet xmlns:r="http://schemas.openxmlformats.org/officeDocument/2006/relationships" name="Biaya Bulanan 3 Skenario" sheetId="4" state="visible" r:id="rId4"/>
    <sheet xmlns:r="http://schemas.openxmlformats.org/officeDocument/2006/relationships" name="Biaya per Pesanan" sheetId="5" state="visible" r:id="rId5"/>
    <sheet xmlns:r="http://schemas.openxmlformats.org/officeDocument/2006/relationships" name="Sensitivitas" sheetId="6" state="visible" r:id="rId6"/>
    <sheet xmlns:r="http://schemas.openxmlformats.org/officeDocument/2006/relationships" name="Sumber"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quot;$&quot;#,##0.00"/>
  </numFmts>
  <fonts count="10">
    <font>
      <name val="Calibri"/>
      <family val="2"/>
      <color theme="1"/>
      <sz val="11"/>
      <scheme val="minor"/>
    </font>
    <font>
      <b val="1"/>
      <color rgb="000B1F2A"/>
      <sz val="14"/>
    </font>
    <font>
      <i val="1"/>
      <color rgb="00555555"/>
      <sz val="9"/>
    </font>
    <font>
      <b val="1"/>
      <color rgb="000B1F2A"/>
      <sz val="10"/>
    </font>
    <font>
      <b val="1"/>
      <color rgb="00FFFFFF"/>
      <sz val="11"/>
    </font>
    <font>
      <b val="1"/>
      <color rgb="001F4E9C"/>
    </font>
    <font>
      <b val="1"/>
      <color rgb="000E7C7B"/>
      <sz val="11"/>
    </font>
    <font>
      <b val="1"/>
      <sz val="10"/>
    </font>
    <font>
      <b val="1"/>
      <color rgb="00B42318"/>
      <sz val="11"/>
    </font>
    <font>
      <color rgb="001F4E9C"/>
      <u val="single"/>
    </font>
  </fonts>
  <fills count="7">
    <fill>
      <patternFill/>
    </fill>
    <fill>
      <patternFill patternType="gray125"/>
    </fill>
    <fill>
      <patternFill patternType="solid">
        <fgColor rgb="000E7C7B"/>
      </patternFill>
    </fill>
    <fill>
      <patternFill patternType="solid">
        <fgColor rgb="00FFF3C4"/>
      </patternFill>
    </fill>
    <fill>
      <patternFill patternType="solid">
        <fgColor rgb="00FDE2E2"/>
      </patternFill>
    </fill>
    <fill>
      <patternFill patternType="solid">
        <fgColor rgb="00D6EAE9"/>
      </patternFill>
    </fill>
    <fill>
      <patternFill patternType="solid">
        <fgColor rgb="00EAF2F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1" pivotButton="0" quotePrefix="0" xfId="0"/>
    <xf numFmtId="4" fontId="5" fillId="3" borderId="1" pivotButton="0" quotePrefix="0" xfId="0"/>
    <xf numFmtId="2" fontId="5" fillId="3" borderId="1" pivotButton="0" quotePrefix="0" xfId="0"/>
    <xf numFmtId="0" fontId="5" fillId="3" borderId="1" pivotButton="0" quotePrefix="0" xfId="0"/>
    <xf numFmtId="3" fontId="5" fillId="3" borderId="1" pivotButton="0" quotePrefix="0" xfId="0"/>
    <xf numFmtId="164" fontId="5" fillId="3" borderId="1" pivotButton="0" quotePrefix="0" xfId="0"/>
    <xf numFmtId="3" fontId="0" fillId="0" borderId="1" pivotButton="0" quotePrefix="0" xfId="0"/>
    <xf numFmtId="4" fontId="0" fillId="0" borderId="1" pivotButton="0" quotePrefix="0" xfId="0"/>
    <xf numFmtId="165" fontId="0" fillId="0" borderId="1" pivotButton="0" quotePrefix="0" xfId="0"/>
    <xf numFmtId="0" fontId="0" fillId="4" borderId="1" pivotButton="0" quotePrefix="0" xfId="0"/>
    <xf numFmtId="3" fontId="0" fillId="4" borderId="1" pivotButton="0" quotePrefix="0" xfId="0"/>
    <xf numFmtId="165" fontId="0" fillId="4" borderId="1" pivotButton="0" quotePrefix="0" xfId="0"/>
    <xf numFmtId="0" fontId="6" fillId="5" borderId="0" pivotButton="0" quotePrefix="0" xfId="0"/>
    <xf numFmtId="0" fontId="0" fillId="5" borderId="0" pivotButton="0" quotePrefix="0" xfId="0"/>
    <xf numFmtId="166" fontId="0" fillId="0" borderId="1" pivotButton="0" quotePrefix="0" xfId="0"/>
    <xf numFmtId="0" fontId="7" fillId="6" borderId="0" pivotButton="0" quotePrefix="0" xfId="0"/>
    <xf numFmtId="0" fontId="0" fillId="6" borderId="0" pivotButton="0" quotePrefix="0" xfId="0"/>
    <xf numFmtId="166" fontId="7" fillId="6" borderId="1" pivotButton="0" quotePrefix="0" xfId="0"/>
    <xf numFmtId="3" fontId="7" fillId="6" borderId="1" pivotButton="0" quotePrefix="0" xfId="0"/>
    <xf numFmtId="0" fontId="8" fillId="4" borderId="0" pivotButton="0" quotePrefix="0" xfId="0"/>
    <xf numFmtId="0" fontId="0" fillId="4" borderId="0" pivotButton="0" quotePrefix="0" xfId="0"/>
    <xf numFmtId="0" fontId="0" fillId="0" borderId="0" applyAlignment="1" pivotButton="0" quotePrefix="0" xfId="0">
      <alignment vertical="top" wrapText="1"/>
    </xf>
    <xf numFmtId="164" fontId="0" fillId="0" borderId="1" pivotButton="0" quotePrefix="0" xfId="0"/>
    <xf numFmtId="0" fontId="0" fillId="0" borderId="1" applyAlignment="1" pivotButton="0" quotePrefix="0" xfId="0">
      <alignment vertical="top" wrapText="1"/>
    </xf>
    <xf numFmtId="0" fontId="7" fillId="0" borderId="1" pivotButton="0" quotePrefix="0" xfId="0"/>
    <xf numFmtId="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2" customWidth="1" min="1" max="1"/>
    <col width="18" customWidth="1" min="2" max="2"/>
    <col width="18" customWidth="1" min="3" max="3"/>
    <col width="18" customWidth="1" min="4" max="4"/>
    <col width="62" customWidth="1" min="5" max="5"/>
  </cols>
  <sheetData>
    <row r="1">
      <c r="A1" s="1" t="inlineStr">
        <is>
          <t>AntarKita — Model Biaya Infrastruktur Peta</t>
        </is>
      </c>
    </row>
    <row r="2">
      <c r="A2" s="2" t="inlineStr">
        <is>
          <t>Disusun 9 September 2026. Sel berlatar KUNING adalah INPUT yang boleh diubah pemilik — seluruh lembar lain adalah rumus hidup dan ikut berubah seketika.</t>
        </is>
      </c>
    </row>
    <row r="4">
      <c r="A4" s="3" t="inlineStr">
        <is>
          <t>A. PARAMETER GLOBAL</t>
        </is>
      </c>
    </row>
    <row r="5">
      <c r="A5" s="4" t="inlineStr">
        <is>
          <t>Parameter</t>
        </is>
      </c>
      <c r="B5" s="4" t="inlineStr">
        <is>
          <t>Nilai</t>
        </is>
      </c>
      <c r="C5" s="4" t="inlineStr"/>
      <c r="D5" s="4" t="inlineStr">
        <is>
          <t>Satuan</t>
        </is>
      </c>
      <c r="E5" s="4" t="inlineStr">
        <is>
          <t>Sumber / status</t>
        </is>
      </c>
    </row>
    <row r="6">
      <c r="A6" s="5" t="inlineStr">
        <is>
          <t>Kurs USD → IDR (Kurs Tengah Transaksi BI)</t>
        </is>
      </c>
      <c r="B6" s="6" t="n">
        <v>17618</v>
      </c>
      <c r="D6" s="5" t="inlineStr">
        <is>
          <t>Rp per USD</t>
        </is>
      </c>
      <c r="E6" s="5" t="inlineStr">
        <is>
          <t>[S-30] bi.go.id, diakses 9 Sep 2026</t>
        </is>
      </c>
    </row>
    <row r="7">
      <c r="A7" s="5" t="inlineStr">
        <is>
          <t>Kurs EUR → IDR</t>
        </is>
      </c>
      <c r="B7" s="6" t="n">
        <v>20459.79</v>
      </c>
      <c r="D7" s="5" t="inlineStr">
        <is>
          <t>Rp per EUR</t>
        </is>
      </c>
      <c r="E7" s="5" t="inlineStr">
        <is>
          <t>[S-30]</t>
        </is>
      </c>
    </row>
    <row r="8">
      <c r="A8" s="5" t="inlineStr">
        <is>
          <t>Kurs CNY → IDR</t>
        </is>
      </c>
      <c r="B8" s="6" t="n">
        <v>2625.3</v>
      </c>
      <c r="D8" s="5" t="inlineStr">
        <is>
          <t>Rp per CNY</t>
        </is>
      </c>
      <c r="E8" s="5" t="inlineStr">
        <is>
          <t>[S-30]</t>
        </is>
      </c>
    </row>
    <row r="9">
      <c r="A9" s="5" t="inlineStr">
        <is>
          <t>Faktor PPN PMSE penyedia luar negeri (11% efektif)</t>
        </is>
      </c>
      <c r="B9" s="7" t="n">
        <v>1.11</v>
      </c>
      <c r="D9" s="5" t="inlineStr">
        <is>
          <t>pengali</t>
        </is>
      </c>
      <c r="E9" s="5" t="inlineStr">
        <is>
          <t>[S-31] PER-12/2025: 12% x DPP nilai lain 11/12</t>
        </is>
      </c>
    </row>
    <row r="10">
      <c r="A10" s="5" t="inlineStr">
        <is>
          <t>Hari per bulan</t>
        </is>
      </c>
      <c r="B10" s="8" t="n">
        <v>30</v>
      </c>
      <c r="D10" s="5" t="inlineStr">
        <is>
          <t>hari</t>
        </is>
      </c>
      <c r="E10" s="5" t="inlineStr">
        <is>
          <t>[ASUMSI]</t>
        </is>
      </c>
    </row>
    <row r="11">
      <c r="A11" s="5" t="inlineStr">
        <is>
          <t>Pengali sesi menjelajah (pengguna yang tidak jadi memesan)</t>
        </is>
      </c>
      <c r="B11" s="8" t="n">
        <v>1.35</v>
      </c>
      <c r="D11" s="5" t="inlineStr">
        <is>
          <t>pengali</t>
        </is>
      </c>
      <c r="E11" s="5" t="inlineStr">
        <is>
          <t>[ASUMSI A7]</t>
        </is>
      </c>
    </row>
    <row r="12">
      <c r="A12" s="5" t="inlineStr">
        <is>
          <t>Pendapatan platform per pesanan pada komisi patuh 8%</t>
        </is>
      </c>
      <c r="B12" s="9" t="n">
        <v>1640</v>
      </c>
      <c r="D12" s="5" t="inlineStr">
        <is>
          <t>Rp</t>
        </is>
      </c>
      <c r="E12" s="5" t="inlineStr">
        <is>
          <t>[INT] docs/investor/CATATAN-SUMBER-DECK.md — skenario uji S1</t>
        </is>
      </c>
    </row>
    <row r="13">
      <c r="A13" s="5" t="inlineStr">
        <is>
          <t>Batas potongan roda dua (Perpres 27/2026)</t>
        </is>
      </c>
      <c r="B13" s="10" t="n">
        <v>0.08</v>
      </c>
      <c r="D13" s="5" t="inlineStr">
        <is>
          <t>proporsi</t>
        </is>
      </c>
      <c r="E13" s="5" t="inlineStr">
        <is>
          <t>[INT] migrasi 0031_batas_komisi_perpres_27_2026.sql</t>
        </is>
      </c>
    </row>
    <row r="15">
      <c r="A15" s="3" t="inlineStr">
        <is>
          <t>B. SKENARIO VOLUME — UBAH TIGA SEL KUNING DI BARIS 17 DAN LIHAT SELURUH BIAYA BERUBAH</t>
        </is>
      </c>
    </row>
    <row r="16">
      <c r="A16" s="4" t="inlineStr">
        <is>
          <t>Metrik</t>
        </is>
      </c>
      <c r="B16" s="4" t="inlineStr">
        <is>
          <t>A — Peluncuran</t>
        </is>
      </c>
      <c r="C16" s="4" t="inlineStr">
        <is>
          <t>B — Fase 2</t>
        </is>
      </c>
      <c r="D16" s="4" t="inlineStr">
        <is>
          <t>C — Skala</t>
        </is>
      </c>
      <c r="E16" s="4" t="inlineStr">
        <is>
          <t>Sumber / status</t>
        </is>
      </c>
    </row>
    <row r="17">
      <c r="A17" t="inlineStr">
        <is>
          <t>Pesanan per hari  ← INPUT</t>
        </is>
      </c>
      <c r="B17" s="9" t="n">
        <v>600</v>
      </c>
      <c r="C17" s="9" t="n">
        <v>2400</v>
      </c>
      <c r="D17" s="9" t="n">
        <v>8000</v>
      </c>
      <c r="E17" t="inlineStr">
        <is>
          <t>[ASUMSI A8] Tidak ada angka pesanan/hari di dokumen bisnis AntarKita mana pun; ditetapkan penyusun riset.</t>
        </is>
      </c>
    </row>
    <row r="18">
      <c r="A18" t="inlineStr">
        <is>
          <t>Pesanan per bulan</t>
        </is>
      </c>
      <c r="B18" s="11">
        <f>B17*'Asumsi Volume'!$B$10</f>
        <v/>
      </c>
      <c r="C18" s="11">
        <f>C17*'Asumsi Volume'!$B$10</f>
        <v/>
      </c>
      <c r="D18" s="11">
        <f>D17*'Asumsi Volume'!$B$10</f>
        <v/>
      </c>
      <c r="E18" t="inlineStr">
        <is>
          <t>Turunan: pesanan/hari x hari per bulan</t>
        </is>
      </c>
    </row>
    <row r="19">
      <c r="A19" t="inlineStr">
        <is>
          <t>Pengguna aktif bulanan (MAU)  ← INPUT</t>
        </is>
      </c>
      <c r="B19" s="9" t="n">
        <v>18000</v>
      </c>
      <c r="C19" s="9" t="n">
        <v>73000</v>
      </c>
      <c r="D19" s="9" t="n">
        <v>244000</v>
      </c>
      <c r="E19" t="inlineStr">
        <is>
          <t>[ASUMSI A9] 4 pesanan/pelanggan/bulan, 4x lipat penjelajah non-pemesan, + mitra aktif</t>
        </is>
      </c>
    </row>
    <row r="20">
      <c r="A20" t="inlineStr">
        <is>
          <t>Sesi aktif per hari (termasuk penjelajah)</t>
        </is>
      </c>
      <c r="B20" s="11">
        <f>B17*'Asumsi Volume'!$B$11</f>
        <v/>
      </c>
      <c r="C20" s="11">
        <f>C17*'Asumsi Volume'!$B$11</f>
        <v/>
      </c>
      <c r="D20" s="11">
        <f>D17*'Asumsi Volume'!$B$11</f>
        <v/>
      </c>
    </row>
    <row r="21">
      <c r="A21" t="inlineStr">
        <is>
          <t>Pesanan per DAU</t>
        </is>
      </c>
      <c r="B21" s="12">
        <f>B17/B20</f>
        <v/>
      </c>
      <c r="C21" s="12">
        <f>C17/C20</f>
        <v/>
      </c>
      <c r="D21" s="12">
        <f>D17/D20</f>
        <v/>
      </c>
    </row>
    <row r="23">
      <c r="A23" s="2" t="inlineStr">
        <is>
          <t>CATATAN: Skenario A dipetakan ke Fase 0-1, B ke Fase 2, dan C ke dua kota matang (docs/organisasi/DESAIN-ORGANISASI.md §3). Ubah baris 17 untuk menguji rencana bisnis lain.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70" customWidth="1" min="8" max="8"/>
  </cols>
  <sheetData>
    <row r="1">
      <c r="A1" s="1" t="inlineStr">
        <is>
          <t>Panggilan Layanan Geo per Satu Pesanan — diturunkan dari basis kode, bukan tebakan</t>
        </is>
      </c>
    </row>
    <row r="2">
      <c r="A2" s="2" t="inlineStr">
        <is>
          <t>Sel KUNING adalah input. Kolom "Faktor hemat" adalah dampak strategi §5 dokumen riset.</t>
        </is>
      </c>
    </row>
    <row r="3">
      <c r="A3" s="4" t="inlineStr">
        <is>
          <t>Layanan</t>
        </is>
      </c>
      <c r="B3" s="4" t="inlineStr">
        <is>
          <t>Panggilan / pesanan</t>
        </is>
      </c>
      <c r="C3" s="4" t="inlineStr">
        <is>
          <t>Pengali jelajah</t>
        </is>
      </c>
      <c r="D3" s="4" t="inlineStr">
        <is>
          <t>Faktor hemat (§5)</t>
        </is>
      </c>
      <c r="E3" s="4" t="inlineStr"/>
      <c r="F3" s="4" t="inlineStr"/>
      <c r="G3" s="4" t="inlineStr"/>
      <c r="H3" s="4" t="inlineStr">
        <is>
          <t>Asal angka di basis kode</t>
        </is>
      </c>
    </row>
    <row r="4">
      <c r="A4" s="5" t="inlineStr">
        <is>
          <t>Autocomplete / pencarian tempat</t>
        </is>
      </c>
      <c r="B4" s="6" t="n">
        <v>4</v>
      </c>
      <c r="C4" s="6" t="n">
        <v>1.35</v>
      </c>
      <c r="D4" s="6" t="n">
        <v>0.35</v>
      </c>
      <c r="H4" s="5" t="inlineStr">
        <is>
          <t>place-picker.tsx:44-53 debounce 400 ms, min 3 karakter; geo.ts:40-49 -&gt; photon.komoot.io</t>
        </is>
      </c>
    </row>
    <row r="5">
      <c r="A5" s="5" t="inlineStr">
        <is>
          <t>Reverse geocoding</t>
        </is>
      </c>
      <c r="B5" s="6" t="n">
        <v>2.5</v>
      </c>
      <c r="C5" s="6" t="n">
        <v>1.35</v>
      </c>
      <c r="D5" s="6" t="n">
        <v>0.3</v>
      </c>
      <c r="H5" s="5" t="inlineStr">
        <is>
          <t>ride/index.tsx:55 (pickup bawaan) + place-picker.tsx:55-60 (tiap moveend); geo.ts:82-97</t>
        </is>
      </c>
    </row>
    <row r="6">
      <c r="A6" s="5" t="inlineStr">
        <is>
          <t>Rute (routing)</t>
        </is>
      </c>
      <c r="B6" s="6" t="n">
        <v>1.3</v>
      </c>
      <c r="C6" s="6" t="n">
        <v>1</v>
      </c>
      <c r="D6" s="6" t="n">
        <v>0.6</v>
      </c>
      <c r="H6" s="5" t="inlineStr">
        <is>
          <t>ride/index.tsx:59-63; geo.ts:102-119 -&gt; router.project-osrm.org. Rute disimpan di orders.route_geometry</t>
        </is>
      </c>
    </row>
    <row r="7">
      <c r="A7" s="5" t="inlineStr">
        <is>
          <t>Pemuatan peta (map load / sesi peta)</t>
        </is>
      </c>
      <c r="B7" s="6" t="n">
        <v>2.9</v>
      </c>
      <c r="C7" s="6" t="n">
        <v>1.35</v>
      </c>
      <c r="D7" s="6" t="n">
        <v>1</v>
      </c>
      <c r="H7" s="5" t="inlineStr">
        <is>
          <t>Instans &lt;MapView&gt;: place-picker.tsx:106, BookingExtras.tsx:15, order/detail.tsx:129, driver/order.tsx:117</t>
        </is>
      </c>
    </row>
    <row r="8">
      <c r="A8" s="5" t="inlineStr">
        <is>
          <t>Permintaan ubin ke jaringan</t>
        </is>
      </c>
      <c r="B8" s="6" t="n">
        <v>100</v>
      </c>
      <c r="C8" s="6" t="n">
        <v>1.35</v>
      </c>
      <c r="D8" s="6" t="n">
        <v>0.45</v>
      </c>
      <c r="H8" s="5" t="inlineStr">
        <is>
          <t>shared.ts:22 TILE_URL; churn dari fitBounds tiap update driver (useOrder.ts:59-62 polling 6 dtk)</t>
        </is>
      </c>
    </row>
    <row r="9">
      <c r="A9" s="5" t="inlineStr">
        <is>
          <t>Sesi pencarian (Mapbox Search Box / MapTiler)</t>
        </is>
      </c>
      <c r="B9" s="6" t="n">
        <v>1.3</v>
      </c>
      <c r="C9" s="6" t="n">
        <v>1.35</v>
      </c>
      <c r="D9" s="6" t="n">
        <v>0.35</v>
      </c>
      <c r="H9" s="5" t="inlineStr">
        <is>
          <t>[ASUMSI] 1,3 tempat dipilih per pesanan (pickup bawaan + tujuan)</t>
        </is>
      </c>
    </row>
    <row r="12">
      <c r="A12" s="3" t="inlineStr">
        <is>
          <t>VOLUME BULANAN — RUMUS HIDUP (mengikuti Asumsi Volume baris 17)</t>
        </is>
      </c>
    </row>
    <row r="13">
      <c r="A13" s="4" t="inlineStr">
        <is>
          <t>Unit</t>
        </is>
      </c>
      <c r="B13" s="4" t="inlineStr">
        <is>
          <t>A dasar</t>
        </is>
      </c>
      <c r="C13" s="4" t="inlineStr">
        <is>
          <t>B dasar</t>
        </is>
      </c>
      <c r="D13" s="4" t="inlineStr">
        <is>
          <t>C dasar</t>
        </is>
      </c>
      <c r="E13" s="4" t="inlineStr">
        <is>
          <t>A hemat</t>
        </is>
      </c>
      <c r="F13" s="4" t="inlineStr">
        <is>
          <t>B hemat</t>
        </is>
      </c>
      <c r="G13" s="4" t="inlineStr">
        <is>
          <t>C hemat</t>
        </is>
      </c>
      <c r="H13" s="4" t="inlineStr">
        <is>
          <t>Rumus</t>
        </is>
      </c>
    </row>
    <row r="14">
      <c r="A14" s="5" t="inlineStr">
        <is>
          <t>Autocomplete / pencarian tempat</t>
        </is>
      </c>
      <c r="B14" s="11">
        <f>$B4*$C4*'Asumsi Volume'!B$18</f>
        <v/>
      </c>
      <c r="C14" s="11">
        <f>$B4*$C4*'Asumsi Volume'!C$18</f>
        <v/>
      </c>
      <c r="D14" s="11">
        <f>$B4*$C4*'Asumsi Volume'!D$18</f>
        <v/>
      </c>
      <c r="E14" s="11">
        <f>B14*$D4</f>
        <v/>
      </c>
      <c r="F14" s="11">
        <f>C14*$D4</f>
        <v/>
      </c>
      <c r="G14" s="11">
        <f>D14*$D4</f>
        <v/>
      </c>
      <c r="H14" s="5" t="inlineStr">
        <is>
          <t>panggilan/pesanan (B4) x pengali jelajah (C4) x pesanan per bulan; kolom hemat = kolom dasar x faktor hemat (D4)</t>
        </is>
      </c>
    </row>
    <row r="15">
      <c r="A15" s="5" t="inlineStr">
        <is>
          <t>Reverse geocoding</t>
        </is>
      </c>
      <c r="B15" s="11">
        <f>$B5*$C5*'Asumsi Volume'!B$18</f>
        <v/>
      </c>
      <c r="C15" s="11">
        <f>$B5*$C5*'Asumsi Volume'!C$18</f>
        <v/>
      </c>
      <c r="D15" s="11">
        <f>$B5*$C5*'Asumsi Volume'!D$18</f>
        <v/>
      </c>
      <c r="E15" s="11">
        <f>B15*$D5</f>
        <v/>
      </c>
      <c r="F15" s="11">
        <f>C15*$D5</f>
        <v/>
      </c>
      <c r="G15" s="11">
        <f>D15*$D5</f>
        <v/>
      </c>
      <c r="H15" s="5" t="inlineStr">
        <is>
          <t>panggilan/pesanan (B5) x pengali jelajah (C5) x pesanan per bulan; kolom hemat = kolom dasar x faktor hemat (D5)</t>
        </is>
      </c>
    </row>
    <row r="16">
      <c r="A16" s="5" t="inlineStr">
        <is>
          <t>Rute (routing)</t>
        </is>
      </c>
      <c r="B16" s="11">
        <f>$B6*$C6*'Asumsi Volume'!B$18</f>
        <v/>
      </c>
      <c r="C16" s="11">
        <f>$B6*$C6*'Asumsi Volume'!C$18</f>
        <v/>
      </c>
      <c r="D16" s="11">
        <f>$B6*$C6*'Asumsi Volume'!D$18</f>
        <v/>
      </c>
      <c r="E16" s="11">
        <f>B16*$D6</f>
        <v/>
      </c>
      <c r="F16" s="11">
        <f>C16*$D6</f>
        <v/>
      </c>
      <c r="G16" s="11">
        <f>D16*$D6</f>
        <v/>
      </c>
      <c r="H16" s="5" t="inlineStr">
        <is>
          <t>panggilan/pesanan (B6) x pengali jelajah (C6) x pesanan per bulan; kolom hemat = kolom dasar x faktor hemat (D6)</t>
        </is>
      </c>
    </row>
    <row r="17">
      <c r="A17" s="5" t="inlineStr">
        <is>
          <t>Pemuatan peta (map load / sesi peta)</t>
        </is>
      </c>
      <c r="B17" s="11">
        <f>$B7*$C7*'Asumsi Volume'!B$18</f>
        <v/>
      </c>
      <c r="C17" s="11">
        <f>$B7*$C7*'Asumsi Volume'!C$18</f>
        <v/>
      </c>
      <c r="D17" s="11">
        <f>$B7*$C7*'Asumsi Volume'!D$18</f>
        <v/>
      </c>
      <c r="E17" s="11">
        <f>B17*$D7</f>
        <v/>
      </c>
      <c r="F17" s="11">
        <f>C17*$D7</f>
        <v/>
      </c>
      <c r="G17" s="11">
        <f>D17*$D7</f>
        <v/>
      </c>
      <c r="H17" s="5" t="inlineStr">
        <is>
          <t>panggilan/pesanan (B7) x pengali jelajah (C7) x pesanan per bulan; kolom hemat = kolom dasar x faktor hemat (D7)</t>
        </is>
      </c>
    </row>
    <row r="18">
      <c r="A18" s="5" t="inlineStr">
        <is>
          <t>Permintaan ubin ke jaringan</t>
        </is>
      </c>
      <c r="B18" s="11">
        <f>$B8*$C8*'Asumsi Volume'!B$18</f>
        <v/>
      </c>
      <c r="C18" s="11">
        <f>$B8*$C8*'Asumsi Volume'!C$18</f>
        <v/>
      </c>
      <c r="D18" s="11">
        <f>$B8*$C8*'Asumsi Volume'!D$18</f>
        <v/>
      </c>
      <c r="E18" s="11">
        <f>B18*$D8</f>
        <v/>
      </c>
      <c r="F18" s="11">
        <f>C18*$D8</f>
        <v/>
      </c>
      <c r="G18" s="11">
        <f>D18*$D8</f>
        <v/>
      </c>
      <c r="H18" s="5" t="inlineStr">
        <is>
          <t>panggilan/pesanan (B8) x pengali jelajah (C8) x pesanan per bulan; kolom hemat = kolom dasar x faktor hemat (D8)</t>
        </is>
      </c>
    </row>
    <row r="19">
      <c r="A19" s="5" t="inlineStr">
        <is>
          <t>Sesi pencarian (Mapbox Search Box / MapTiler)</t>
        </is>
      </c>
      <c r="B19" s="11">
        <f>$B9*$C9*'Asumsi Volume'!B$18</f>
        <v/>
      </c>
      <c r="C19" s="11">
        <f>$B9*$C9*'Asumsi Volume'!C$18</f>
        <v/>
      </c>
      <c r="D19" s="11">
        <f>$B9*$C9*'Asumsi Volume'!D$18</f>
        <v/>
      </c>
      <c r="E19" s="11">
        <f>B19*$D9</f>
        <v/>
      </c>
      <c r="F19" s="11">
        <f>C19*$D9</f>
        <v/>
      </c>
      <c r="G19" s="11">
        <f>D19*$D9</f>
        <v/>
      </c>
      <c r="H19" s="5" t="inlineStr">
        <is>
          <t>panggilan/pesanan (B9) x pengali jelajah (C9) x pesanan per bulan; kolom hemat = kolom dasar x faktor hemat (D9)</t>
        </is>
      </c>
    </row>
    <row r="20">
      <c r="A20" s="5" t="inlineStr">
        <is>
          <t>Pengguna aktif bulanan (MAU)</t>
        </is>
      </c>
      <c r="B20" s="11">
        <f>'Asumsi Volume'!B$19</f>
        <v/>
      </c>
      <c r="C20" s="11">
        <f>'Asumsi Volume'!C$19</f>
        <v/>
      </c>
      <c r="D20" s="11">
        <f>'Asumsi Volume'!D$19</f>
        <v/>
      </c>
      <c r="E20" s="11">
        <f>B20</f>
        <v/>
      </c>
      <c r="F20" s="11">
        <f>C20</f>
        <v/>
      </c>
      <c r="G20" s="11">
        <f>D20</f>
        <v/>
      </c>
      <c r="H20" s="5" t="inlineStr">
        <is>
          <t>Diambil dari Asumsi Volume baris 19 (MAU tidak diturunkan dari pesanan)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9"/>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16" customWidth="1" min="3" max="3"/>
    <col width="15" customWidth="1" min="4" max="4"/>
    <col width="13" customWidth="1" min="5" max="5"/>
    <col width="12" customWidth="1" min="6" max="6"/>
    <col width="13" customWidth="1" min="7" max="7"/>
    <col width="12" customWidth="1" min="8" max="8"/>
    <col width="13" customWidth="1" min="9" max="9"/>
    <col width="12" customWidth="1" min="10" max="10"/>
    <col width="13" customWidth="1" min="11" max="11"/>
    <col width="12" customWidth="1" min="12" max="12"/>
    <col width="12" customWidth="1" min="13" max="13"/>
    <col width="44" customWidth="1" min="14" max="14"/>
  </cols>
  <sheetData>
    <row r="1">
      <c r="A1" s="1" t="inlineStr">
        <is>
          <t>Harga Resmi per Penyedia — seluruhnya diakses 9 September 2026</t>
        </is>
      </c>
    </row>
    <row r="2">
      <c r="A2" s="2" t="inlineStr">
        <is>
          <t>Harga dalam USD per 1.000 unit kecuali disebut lain. KONVENSI: kolom Batas adalah ambang atas tiap tingkat volume dihitung SETELAH kuota gratis dipotong (unit tertagih). Untuk penyedia yang menerbitkan batasnya termasuk kuota gratis (Mapbox), batas di sini sudah dikonversi ke neto — lihat kolom Sumber. BIG = 1E+15 dipakai untuk penyedia bertarif datar agar rumus berjenjang tetap berlaku.</t>
        </is>
      </c>
    </row>
    <row r="3">
      <c r="A3" s="4" t="inlineStr">
        <is>
          <t>Penyedia</t>
        </is>
      </c>
      <c r="B3" s="4" t="inlineStr">
        <is>
          <t>SKU / Parameter</t>
        </is>
      </c>
      <c r="C3" s="4" t="inlineStr">
        <is>
          <t>Unit</t>
        </is>
      </c>
      <c r="D3" s="4" t="inlineStr">
        <is>
          <t>Gratis per bulan</t>
        </is>
      </c>
      <c r="E3" s="4" t="inlineStr">
        <is>
          <t>Batas 1</t>
        </is>
      </c>
      <c r="F3" s="4" t="inlineStr">
        <is>
          <t>Harga 1</t>
        </is>
      </c>
      <c r="G3" s="4" t="inlineStr">
        <is>
          <t>Batas 2</t>
        </is>
      </c>
      <c r="H3" s="4" t="inlineStr">
        <is>
          <t>Harga 2</t>
        </is>
      </c>
      <c r="I3" s="4" t="inlineStr">
        <is>
          <t>Batas 3</t>
        </is>
      </c>
      <c r="J3" s="4" t="inlineStr">
        <is>
          <t>Harga 3</t>
        </is>
      </c>
      <c r="K3" s="4" t="inlineStr">
        <is>
          <t>Batas 4</t>
        </is>
      </c>
      <c r="L3" s="4" t="inlineStr">
        <is>
          <t>Harga 4</t>
        </is>
      </c>
      <c r="M3" s="4" t="inlineStr">
        <is>
          <t>Harga &gt;B4</t>
        </is>
      </c>
      <c r="N3" s="4" t="inlineStr">
        <is>
          <t>Sumber</t>
        </is>
      </c>
    </row>
    <row r="4">
      <c r="A4" s="5" t="inlineStr">
        <is>
          <t>Google</t>
        </is>
      </c>
      <c r="B4" s="5" t="inlineStr">
        <is>
          <t>Dynamic Maps (per map load)</t>
        </is>
      </c>
      <c r="C4" s="5" t="inlineStr">
        <is>
          <t>map load</t>
        </is>
      </c>
      <c r="D4" s="11" t="n">
        <v>10000</v>
      </c>
      <c r="E4" s="11" t="n">
        <v>100000</v>
      </c>
      <c r="F4" s="13" t="n">
        <v>7</v>
      </c>
      <c r="G4" s="11" t="n">
        <v>500000</v>
      </c>
      <c r="H4" s="13" t="n">
        <v>5.6</v>
      </c>
      <c r="I4" s="11" t="n">
        <v>1000000</v>
      </c>
      <c r="J4" s="13" t="n">
        <v>4.2</v>
      </c>
      <c r="K4" s="11" t="n">
        <v>5000000</v>
      </c>
      <c r="L4" s="13" t="n">
        <v>2.1</v>
      </c>
      <c r="M4" s="13" t="n">
        <v>0.53</v>
      </c>
      <c r="N4" s="5" t="inlineStr">
        <is>
          <t>[S-11]</t>
        </is>
      </c>
    </row>
    <row r="5">
      <c r="A5" s="5" t="inlineStr">
        <is>
          <t>Google</t>
        </is>
      </c>
      <c r="B5" s="5" t="inlineStr">
        <is>
          <t>Places Autocomplete Requests</t>
        </is>
      </c>
      <c r="C5" s="5" t="inlineStr">
        <is>
          <t>permintaan</t>
        </is>
      </c>
      <c r="D5" s="11" t="n">
        <v>10000</v>
      </c>
      <c r="E5" s="11" t="n">
        <v>100000</v>
      </c>
      <c r="F5" s="13" t="n">
        <v>2.83</v>
      </c>
      <c r="G5" s="11" t="n">
        <v>500000</v>
      </c>
      <c r="H5" s="13" t="n">
        <v>2.27</v>
      </c>
      <c r="I5" s="11" t="n">
        <v>1000000</v>
      </c>
      <c r="J5" s="13" t="n">
        <v>1.7</v>
      </c>
      <c r="K5" s="11" t="n">
        <v>5000000</v>
      </c>
      <c r="L5" s="13" t="n">
        <v>0.85</v>
      </c>
      <c r="M5" s="13" t="n">
        <v>0.21</v>
      </c>
      <c r="N5" s="5" t="inlineStr">
        <is>
          <t>[S-11]</t>
        </is>
      </c>
    </row>
    <row r="6">
      <c r="A6" s="5" t="inlineStr">
        <is>
          <t>Google</t>
        </is>
      </c>
      <c r="B6" s="5" t="inlineStr">
        <is>
          <t>Geocoding (termasuk reverse)</t>
        </is>
      </c>
      <c r="C6" s="5" t="inlineStr">
        <is>
          <t>permintaan</t>
        </is>
      </c>
      <c r="D6" s="11" t="n">
        <v>10000</v>
      </c>
      <c r="E6" s="11" t="n">
        <v>100000</v>
      </c>
      <c r="F6" s="13" t="n">
        <v>5</v>
      </c>
      <c r="G6" s="11" t="n">
        <v>500000</v>
      </c>
      <c r="H6" s="13" t="n">
        <v>4</v>
      </c>
      <c r="I6" s="11" t="n">
        <v>1000000</v>
      </c>
      <c r="J6" s="13" t="n">
        <v>3</v>
      </c>
      <c r="K6" s="11" t="n">
        <v>5000000</v>
      </c>
      <c r="L6" s="13" t="n">
        <v>1.5</v>
      </c>
      <c r="M6" s="13" t="n">
        <v>0.38</v>
      </c>
      <c r="N6" s="5" t="inlineStr">
        <is>
          <t>[S-11]</t>
        </is>
      </c>
    </row>
    <row r="7">
      <c r="A7" s="5" t="inlineStr">
        <is>
          <t>Google</t>
        </is>
      </c>
      <c r="B7" s="5" t="inlineStr">
        <is>
          <t>Routes: Compute Routes (Essentials)</t>
        </is>
      </c>
      <c r="C7" s="5" t="inlineStr">
        <is>
          <t>permintaan</t>
        </is>
      </c>
      <c r="D7" s="11" t="n">
        <v>10000</v>
      </c>
      <c r="E7" s="11" t="n">
        <v>100000</v>
      </c>
      <c r="F7" s="13" t="n">
        <v>5</v>
      </c>
      <c r="G7" s="11" t="n">
        <v>500000</v>
      </c>
      <c r="H7" s="13" t="n">
        <v>4</v>
      </c>
      <c r="I7" s="11" t="n">
        <v>1000000</v>
      </c>
      <c r="J7" s="13" t="n">
        <v>3</v>
      </c>
      <c r="K7" s="11" t="n">
        <v>5000000</v>
      </c>
      <c r="L7" s="13" t="n">
        <v>1.5</v>
      </c>
      <c r="M7" s="13" t="n">
        <v>0.38</v>
      </c>
      <c r="N7" s="5" t="inlineStr">
        <is>
          <t>[S-11]</t>
        </is>
      </c>
    </row>
    <row r="8">
      <c r="A8" s="5" t="inlineStr">
        <is>
          <t>Google</t>
        </is>
      </c>
      <c r="B8" s="5" t="inlineStr">
        <is>
          <t>Map Tiles API 2D (tidak dipakai model — Dynamic Maps sudah termasuk ubin)</t>
        </is>
      </c>
      <c r="C8" s="5" t="inlineStr">
        <is>
          <t>ubin</t>
        </is>
      </c>
      <c r="D8" s="11" t="n">
        <v>100000</v>
      </c>
      <c r="E8" s="11" t="n">
        <v>1000000</v>
      </c>
      <c r="F8" s="13" t="n">
        <v>0.6</v>
      </c>
      <c r="G8" s="11" t="n">
        <v>5000000</v>
      </c>
      <c r="H8" s="13" t="n">
        <v>0.48</v>
      </c>
      <c r="I8" s="11" t="n">
        <v>10000000</v>
      </c>
      <c r="J8" s="13" t="n">
        <v>0.36</v>
      </c>
      <c r="K8" s="11" t="n">
        <v>50000000</v>
      </c>
      <c r="L8" s="13" t="n">
        <v>0.18</v>
      </c>
      <c r="M8" s="13" t="n">
        <v>0.045</v>
      </c>
      <c r="N8" s="5" t="inlineStr">
        <is>
          <t>[S-11]</t>
        </is>
      </c>
    </row>
    <row r="9">
      <c r="A9" s="5" t="inlineStr">
        <is>
          <t>Google</t>
        </is>
      </c>
      <c r="B9" s="5" t="inlineStr">
        <is>
          <t>Places Text Search (Pro) — DIPAKAI geo.ts:76, 11x lebih mahal dari Autocomplete</t>
        </is>
      </c>
      <c r="C9" s="5" t="inlineStr">
        <is>
          <t>permintaan</t>
        </is>
      </c>
      <c r="D9" s="11" t="n">
        <v>5000</v>
      </c>
      <c r="E9" s="11" t="n">
        <v>100000</v>
      </c>
      <c r="F9" s="13" t="n">
        <v>32</v>
      </c>
      <c r="G9" s="11" t="n">
        <v>500000</v>
      </c>
      <c r="H9" s="13" t="n">
        <v>25.6</v>
      </c>
      <c r="I9" s="11" t="n">
        <v>1000000000000000</v>
      </c>
      <c r="J9" s="13" t="n">
        <v>25.6</v>
      </c>
      <c r="K9" s="11" t="n">
        <v>1000000000000000</v>
      </c>
      <c r="L9" s="13" t="n">
        <v>25.6</v>
      </c>
      <c r="M9" s="13" t="n">
        <v>2.4</v>
      </c>
      <c r="N9" s="5" t="inlineStr">
        <is>
          <t>[S-11] + [INT] geo.ts:76</t>
        </is>
      </c>
    </row>
    <row r="10">
      <c r="A10" s="5" t="inlineStr">
        <is>
          <t>Mapbox</t>
        </is>
      </c>
      <c r="B10" s="5" t="inlineStr">
        <is>
          <t>Maps SDK for Mobile (per MAU)</t>
        </is>
      </c>
      <c r="C10" s="5" t="inlineStr">
        <is>
          <t>MAU</t>
        </is>
      </c>
      <c r="D10" s="11" t="n">
        <v>25000</v>
      </c>
      <c r="E10" s="11" t="n">
        <v>100000</v>
      </c>
      <c r="F10" s="13" t="n">
        <v>4</v>
      </c>
      <c r="G10" s="11" t="n">
        <v>225000</v>
      </c>
      <c r="H10" s="13" t="n">
        <v>3.2</v>
      </c>
      <c r="I10" s="11" t="n">
        <v>1225000</v>
      </c>
      <c r="J10" s="13" t="n">
        <v>2.4</v>
      </c>
      <c r="K10" s="11" t="n">
        <v>1000000000000000</v>
      </c>
      <c r="L10" s="13" t="n">
        <v>2.4</v>
      </c>
      <c r="M10" s="13" t="n">
        <v>2.4</v>
      </c>
      <c r="N10" s="5" t="inlineStr">
        <is>
          <t>[S-13] Batas ditulis NETO setelah kuota gratis: 25.001-125.000 -&gt; 100.000</t>
        </is>
      </c>
    </row>
    <row r="11">
      <c r="A11" s="5" t="inlineStr">
        <is>
          <t>Mapbox</t>
        </is>
      </c>
      <c r="B11" s="5" t="inlineStr">
        <is>
          <t>Search Box API (per sesi)</t>
        </is>
      </c>
      <c r="C11" s="5" t="inlineStr">
        <is>
          <t>sesi</t>
        </is>
      </c>
      <c r="D11" s="11" t="n">
        <v>500</v>
      </c>
      <c r="E11" s="11" t="n">
        <v>99500</v>
      </c>
      <c r="F11" s="13" t="n">
        <v>3</v>
      </c>
      <c r="G11" s="11" t="n">
        <v>499500</v>
      </c>
      <c r="H11" s="13" t="n">
        <v>2.75</v>
      </c>
      <c r="I11" s="11" t="n">
        <v>1000000000000000</v>
      </c>
      <c r="J11" s="13" t="n">
        <v>2.5</v>
      </c>
      <c r="K11" s="11" t="n">
        <v>1000000000000000</v>
      </c>
      <c r="L11" s="13" t="n">
        <v>2.5</v>
      </c>
      <c r="M11" s="13" t="n">
        <v>2.5</v>
      </c>
      <c r="N11" s="5" t="inlineStr">
        <is>
          <t>[S-13] Batas neto: 501-100.000 -&gt; 99.500</t>
        </is>
      </c>
    </row>
    <row r="12">
      <c r="A12" s="5" t="inlineStr">
        <is>
          <t>Mapbox</t>
        </is>
      </c>
      <c r="B12" s="5" t="inlineStr">
        <is>
          <t>Directions API</t>
        </is>
      </c>
      <c r="C12" s="5" t="inlineStr">
        <is>
          <t>permintaan</t>
        </is>
      </c>
      <c r="D12" s="11" t="n">
        <v>100000</v>
      </c>
      <c r="E12" s="11" t="n">
        <v>400000</v>
      </c>
      <c r="F12" s="13" t="n">
        <v>2</v>
      </c>
      <c r="G12" s="11" t="n">
        <v>900000</v>
      </c>
      <c r="H12" s="13" t="n">
        <v>1.6</v>
      </c>
      <c r="I12" s="11" t="n">
        <v>1000000000000000</v>
      </c>
      <c r="J12" s="13" t="n">
        <v>1.2</v>
      </c>
      <c r="K12" s="11" t="n">
        <v>1000000000000000</v>
      </c>
      <c r="L12" s="13" t="n">
        <v>1.2</v>
      </c>
      <c r="M12" s="13" t="n">
        <v>1.2</v>
      </c>
      <c r="N12" s="5" t="inlineStr">
        <is>
          <t>[S-13] Batas neto: 100.001-500.000 -&gt; 400.000</t>
        </is>
      </c>
    </row>
    <row r="13">
      <c r="A13" s="5" t="inlineStr">
        <is>
          <t>Mapbox</t>
        </is>
      </c>
      <c r="B13" s="5" t="inlineStr">
        <is>
          <t>Geocoding temporary (tidak boleh disimpan permanen)</t>
        </is>
      </c>
      <c r="C13" s="5" t="inlineStr">
        <is>
          <t>permintaan</t>
        </is>
      </c>
      <c r="D13" s="11" t="n">
        <v>100000</v>
      </c>
      <c r="E13" s="11" t="n">
        <v>400000</v>
      </c>
      <c r="F13" s="13" t="n">
        <v>0.75</v>
      </c>
      <c r="G13" s="11" t="n">
        <v>900000</v>
      </c>
      <c r="H13" s="13" t="n">
        <v>0.6</v>
      </c>
      <c r="I13" s="11" t="n">
        <v>1000000000000000</v>
      </c>
      <c r="J13" s="13" t="n">
        <v>0.45</v>
      </c>
      <c r="K13" s="11" t="n">
        <v>1000000000000000</v>
      </c>
      <c r="L13" s="13" t="n">
        <v>0.45</v>
      </c>
      <c r="M13" s="13" t="n">
        <v>0.45</v>
      </c>
      <c r="N13" s="5" t="inlineStr">
        <is>
          <t>[S-13] Batas neto</t>
        </is>
      </c>
    </row>
    <row r="14">
      <c r="A14" s="5" t="inlineStr">
        <is>
          <t>MapTiler</t>
        </is>
      </c>
      <c r="B14" s="5" t="inlineStr">
        <is>
          <t>Sesi peta (paket Flex)</t>
        </is>
      </c>
      <c r="C14" s="5" t="inlineStr">
        <is>
          <t>sesi</t>
        </is>
      </c>
      <c r="D14" s="11" t="n">
        <v>25000</v>
      </c>
      <c r="E14" s="11" t="n">
        <v>1000000000000000</v>
      </c>
      <c r="F14" s="13" t="n">
        <v>2.5</v>
      </c>
      <c r="G14" s="11" t="n">
        <v>1000000000000000</v>
      </c>
      <c r="H14" s="13" t="n">
        <v>2.5</v>
      </c>
      <c r="I14" s="11" t="n">
        <v>1000000000000000</v>
      </c>
      <c r="J14" s="13" t="n">
        <v>2.5</v>
      </c>
      <c r="K14" s="11" t="n">
        <v>1000000000000000</v>
      </c>
      <c r="L14" s="13" t="n">
        <v>2.5</v>
      </c>
      <c r="M14" s="13" t="n">
        <v>2.5</v>
      </c>
      <c r="N14" s="5" t="inlineStr">
        <is>
          <t>[S-14]</t>
        </is>
      </c>
    </row>
    <row r="15">
      <c r="A15" s="5" t="inlineStr">
        <is>
          <t>MapTiler</t>
        </is>
      </c>
      <c r="B15" s="5" t="inlineStr">
        <is>
          <t>Sesi pencarian (paket Flex)</t>
        </is>
      </c>
      <c r="C15" s="5" t="inlineStr">
        <is>
          <t>sesi</t>
        </is>
      </c>
      <c r="D15" s="11" t="n">
        <v>3000</v>
      </c>
      <c r="E15" s="11" t="n">
        <v>1000000000000000</v>
      </c>
      <c r="F15" s="13" t="n">
        <v>2.5</v>
      </c>
      <c r="G15" s="11" t="n">
        <v>1000000000000000</v>
      </c>
      <c r="H15" s="13" t="n">
        <v>2.5</v>
      </c>
      <c r="I15" s="11" t="n">
        <v>1000000000000000</v>
      </c>
      <c r="J15" s="13" t="n">
        <v>2.5</v>
      </c>
      <c r="K15" s="11" t="n">
        <v>1000000000000000</v>
      </c>
      <c r="L15" s="13" t="n">
        <v>2.5</v>
      </c>
      <c r="M15" s="13" t="n">
        <v>2.5</v>
      </c>
      <c r="N15" s="5" t="inlineStr">
        <is>
          <t>[S-14]</t>
        </is>
      </c>
    </row>
    <row r="16">
      <c r="A16" s="5" t="inlineStr">
        <is>
          <t>MapTiler</t>
        </is>
      </c>
      <c r="B16" s="5" t="inlineStr">
        <is>
          <t>Biaya tetap paket Flex (USD/bulan)</t>
        </is>
      </c>
      <c r="C16" s="5" t="inlineStr">
        <is>
          <t>USD/bulan</t>
        </is>
      </c>
      <c r="D16" s="11" t="n">
        <v>0</v>
      </c>
      <c r="E16" s="11" t="n">
        <v>0</v>
      </c>
      <c r="F16" s="13" t="n">
        <v>30</v>
      </c>
      <c r="G16" s="11" t="n">
        <v>0</v>
      </c>
      <c r="H16" s="13" t="n">
        <v>0</v>
      </c>
      <c r="I16" s="11" t="n">
        <v>0</v>
      </c>
      <c r="J16" s="13" t="n">
        <v>0</v>
      </c>
      <c r="K16" s="11" t="n">
        <v>0</v>
      </c>
      <c r="L16" s="13" t="n">
        <v>0</v>
      </c>
      <c r="M16" s="13" t="n">
        <v>0</v>
      </c>
      <c r="N16" s="5" t="inlineStr">
        <is>
          <t>[S-14] — MapTiler TIDAK menyediakan routing</t>
        </is>
      </c>
    </row>
    <row r="17">
      <c r="A17" s="5" t="inlineStr">
        <is>
          <t>HERE</t>
        </is>
      </c>
      <c r="B17" s="5" t="inlineStr">
        <is>
          <t>Geocoding &amp; Search</t>
        </is>
      </c>
      <c r="C17" s="5" t="inlineStr">
        <is>
          <t>transaksi</t>
        </is>
      </c>
      <c r="D17" s="11" t="n">
        <v>30000</v>
      </c>
      <c r="E17" s="11" t="n">
        <v>1000000000000000</v>
      </c>
      <c r="F17" s="13" t="n">
        <v>0.88</v>
      </c>
      <c r="G17" s="11" t="n">
        <v>1000000000000000</v>
      </c>
      <c r="H17" s="13" t="n">
        <v>0.88</v>
      </c>
      <c r="I17" s="11" t="n">
        <v>1000000000000000</v>
      </c>
      <c r="J17" s="13" t="n">
        <v>0.88</v>
      </c>
      <c r="K17" s="11" t="n">
        <v>1000000000000000</v>
      </c>
      <c r="L17" s="13" t="n">
        <v>0.88</v>
      </c>
      <c r="M17" s="13" t="n">
        <v>0.88</v>
      </c>
      <c r="N17" s="5" t="inlineStr">
        <is>
          <t>[S-15] pihak ketiga — WAJIB konfirmasi ke HERE</t>
        </is>
      </c>
    </row>
    <row r="18">
      <c r="A18" s="5" t="inlineStr">
        <is>
          <t>HERE</t>
        </is>
      </c>
      <c r="B18" s="5" t="inlineStr">
        <is>
          <t>Maps (vector, volume tinggi)</t>
        </is>
      </c>
      <c r="C18" s="5" t="inlineStr">
        <is>
          <t>ubin</t>
        </is>
      </c>
      <c r="D18" s="11" t="n">
        <v>0</v>
      </c>
      <c r="E18" s="11" t="n">
        <v>1000000000000000</v>
      </c>
      <c r="F18" s="13" t="n">
        <v>0.08799999999999999</v>
      </c>
      <c r="G18" s="11" t="n">
        <v>1000000000000000</v>
      </c>
      <c r="H18" s="13" t="n">
        <v>0.08799999999999999</v>
      </c>
      <c r="I18" s="11" t="n">
        <v>1000000000000000</v>
      </c>
      <c r="J18" s="13" t="n">
        <v>0.08799999999999999</v>
      </c>
      <c r="K18" s="11" t="n">
        <v>1000000000000000</v>
      </c>
      <c r="L18" s="13" t="n">
        <v>0.08799999999999999</v>
      </c>
      <c r="M18" s="13" t="n">
        <v>0.08799999999999999</v>
      </c>
      <c r="N18" s="5" t="inlineStr">
        <is>
          <t>[S-15]</t>
        </is>
      </c>
    </row>
    <row r="19">
      <c r="A19" s="5" t="inlineStr">
        <is>
          <t>HERE</t>
        </is>
      </c>
      <c r="B19" s="5" t="inlineStr">
        <is>
          <t>Routing</t>
        </is>
      </c>
      <c r="C19" s="5" t="inlineStr">
        <is>
          <t>permintaan</t>
        </is>
      </c>
      <c r="D19" s="11" t="n">
        <v>5000</v>
      </c>
      <c r="E19" s="11" t="n">
        <v>1000000000000000</v>
      </c>
      <c r="F19" s="13" t="n">
        <v>0.5</v>
      </c>
      <c r="G19" s="11" t="n">
        <v>1000000000000000</v>
      </c>
      <c r="H19" s="13" t="n">
        <v>0.5</v>
      </c>
      <c r="I19" s="11" t="n">
        <v>1000000000000000</v>
      </c>
      <c r="J19" s="13" t="n">
        <v>0.5</v>
      </c>
      <c r="K19" s="11" t="n">
        <v>1000000000000000</v>
      </c>
      <c r="L19" s="13" t="n">
        <v>0.5</v>
      </c>
      <c r="M19" s="13" t="n">
        <v>0.5</v>
      </c>
      <c r="N19" s="5" t="inlineStr">
        <is>
          <t>[ASUMSI] tarif resmi tidak dipublikasikan</t>
        </is>
      </c>
    </row>
    <row r="20">
      <c r="A20" s="5" t="inlineStr">
        <is>
          <t>Stadia Maps</t>
        </is>
      </c>
      <c r="B20" s="5" t="inlineStr">
        <is>
          <t>Bobot kredit — ubin peta</t>
        </is>
      </c>
      <c r="C20" s="5" t="inlineStr">
        <is>
          <t>kredit/unit</t>
        </is>
      </c>
      <c r="D20" s="11" t="n">
        <v>0</v>
      </c>
      <c r="E20" s="11" t="n">
        <v>0</v>
      </c>
      <c r="F20" s="13" t="n">
        <v>1</v>
      </c>
      <c r="G20" s="11" t="n">
        <v>0</v>
      </c>
      <c r="H20" s="13" t="n">
        <v>0</v>
      </c>
      <c r="I20" s="11" t="n">
        <v>0</v>
      </c>
      <c r="J20" s="13" t="n">
        <v>0</v>
      </c>
      <c r="K20" s="11" t="n">
        <v>0</v>
      </c>
      <c r="L20" s="13" t="n">
        <v>0</v>
      </c>
      <c r="M20" s="13" t="n">
        <v>0</v>
      </c>
      <c r="N20" s="5" t="inlineStr">
        <is>
          <t>[S-18]</t>
        </is>
      </c>
    </row>
    <row r="21">
      <c r="A21" s="5" t="inlineStr">
        <is>
          <t>Stadia Maps</t>
        </is>
      </c>
      <c r="B21" s="5" t="inlineStr">
        <is>
          <t>Bobot kredit — Autocomplete v2</t>
        </is>
      </c>
      <c r="C21" s="5" t="inlineStr">
        <is>
          <t>kredit/unit</t>
        </is>
      </c>
      <c r="D21" s="11" t="n">
        <v>0</v>
      </c>
      <c r="E21" s="11" t="n">
        <v>0</v>
      </c>
      <c r="F21" s="13" t="n">
        <v>1</v>
      </c>
      <c r="G21" s="11" t="n">
        <v>0</v>
      </c>
      <c r="H21" s="13" t="n">
        <v>0</v>
      </c>
      <c r="I21" s="11" t="n">
        <v>0</v>
      </c>
      <c r="J21" s="13" t="n">
        <v>0</v>
      </c>
      <c r="K21" s="11" t="n">
        <v>0</v>
      </c>
      <c r="L21" s="13" t="n">
        <v>0</v>
      </c>
      <c r="M21" s="13" t="n">
        <v>0</v>
      </c>
      <c r="N21" s="5" t="inlineStr">
        <is>
          <t>[S-18]</t>
        </is>
      </c>
    </row>
    <row r="22">
      <c r="A22" s="5" t="inlineStr">
        <is>
          <t>Stadia Maps</t>
        </is>
      </c>
      <c r="B22" s="5" t="inlineStr">
        <is>
          <t>Bobot kredit — geocoding standar</t>
        </is>
      </c>
      <c r="C22" s="5" t="inlineStr">
        <is>
          <t>kredit/unit</t>
        </is>
      </c>
      <c r="D22" s="11" t="n">
        <v>0</v>
      </c>
      <c r="E22" s="11" t="n">
        <v>0</v>
      </c>
      <c r="F22" s="13" t="n">
        <v>20</v>
      </c>
      <c r="G22" s="11" t="n">
        <v>0</v>
      </c>
      <c r="H22" s="13" t="n">
        <v>0</v>
      </c>
      <c r="I22" s="11" t="n">
        <v>0</v>
      </c>
      <c r="J22" s="13" t="n">
        <v>0</v>
      </c>
      <c r="K22" s="11" t="n">
        <v>0</v>
      </c>
      <c r="L22" s="13" t="n">
        <v>0</v>
      </c>
      <c r="M22" s="13" t="n">
        <v>0</v>
      </c>
      <c r="N22" s="5" t="inlineStr">
        <is>
          <t>[S-18]</t>
        </is>
      </c>
    </row>
    <row r="23">
      <c r="A23" s="5" t="inlineStr">
        <is>
          <t>Stadia Maps</t>
        </is>
      </c>
      <c r="B23" s="5" t="inlineStr">
        <is>
          <t>Bobot kredit — routing standar</t>
        </is>
      </c>
      <c r="C23" s="5" t="inlineStr">
        <is>
          <t>kredit/unit</t>
        </is>
      </c>
      <c r="D23" s="11" t="n">
        <v>0</v>
      </c>
      <c r="E23" s="11" t="n">
        <v>0</v>
      </c>
      <c r="F23" s="13" t="n">
        <v>20</v>
      </c>
      <c r="G23" s="11" t="n">
        <v>0</v>
      </c>
      <c r="H23" s="13" t="n">
        <v>0</v>
      </c>
      <c r="I23" s="11" t="n">
        <v>0</v>
      </c>
      <c r="J23" s="13" t="n">
        <v>0</v>
      </c>
      <c r="K23" s="11" t="n">
        <v>0</v>
      </c>
      <c r="L23" s="13" t="n">
        <v>0</v>
      </c>
      <c r="M23" s="13" t="n">
        <v>0</v>
      </c>
      <c r="N23" s="5" t="inlineStr">
        <is>
          <t>[S-18]</t>
        </is>
      </c>
    </row>
    <row r="24">
      <c r="A24" s="5" t="inlineStr">
        <is>
          <t>Stadia Maps</t>
        </is>
      </c>
      <c r="B24" s="5" t="inlineStr">
        <is>
          <t>Paket Starter</t>
        </is>
      </c>
      <c r="C24" s="5" t="inlineStr">
        <is>
          <t>kredit termasuk / USD-bln / kelebihan per 1.000</t>
        </is>
      </c>
      <c r="D24" s="11" t="n">
        <v>1000000</v>
      </c>
      <c r="E24" s="11" t="n">
        <v>0</v>
      </c>
      <c r="F24" s="13" t="n">
        <v>20</v>
      </c>
      <c r="G24" s="11" t="n">
        <v>0</v>
      </c>
      <c r="H24" s="13" t="n">
        <v>0.03</v>
      </c>
      <c r="I24" s="11" t="n">
        <v>0</v>
      </c>
      <c r="J24" s="13" t="n">
        <v>0</v>
      </c>
      <c r="K24" s="11" t="n">
        <v>0</v>
      </c>
      <c r="L24" s="13" t="n">
        <v>0</v>
      </c>
      <c r="M24" s="13" t="n">
        <v>0</v>
      </c>
      <c r="N24" s="5" t="inlineStr">
        <is>
          <t>[S-18]</t>
        </is>
      </c>
    </row>
    <row r="25">
      <c r="A25" s="5" t="inlineStr">
        <is>
          <t>Stadia Maps</t>
        </is>
      </c>
      <c r="B25" s="5" t="inlineStr">
        <is>
          <t>Paket Standard</t>
        </is>
      </c>
      <c r="C25" s="5" t="inlineStr">
        <is>
          <t>kredit termasuk / USD-bln / kelebihan per 1.000</t>
        </is>
      </c>
      <c r="D25" s="11" t="n">
        <v>7500000</v>
      </c>
      <c r="E25" s="11" t="n">
        <v>0</v>
      </c>
      <c r="F25" s="13" t="n">
        <v>80</v>
      </c>
      <c r="G25" s="11" t="n">
        <v>0</v>
      </c>
      <c r="H25" s="13" t="n">
        <v>0.02</v>
      </c>
      <c r="I25" s="11" t="n">
        <v>0</v>
      </c>
      <c r="J25" s="13" t="n">
        <v>0</v>
      </c>
      <c r="K25" s="11" t="n">
        <v>0</v>
      </c>
      <c r="L25" s="13" t="n">
        <v>0</v>
      </c>
      <c r="M25" s="13" t="n">
        <v>0</v>
      </c>
      <c r="N25" s="5" t="inlineStr">
        <is>
          <t>[S-18]</t>
        </is>
      </c>
    </row>
    <row r="26">
      <c r="A26" s="5" t="inlineStr">
        <is>
          <t>Stadia Maps</t>
        </is>
      </c>
      <c r="B26" s="5" t="inlineStr">
        <is>
          <t>Paket Professional</t>
        </is>
      </c>
      <c r="C26" s="5" t="inlineStr">
        <is>
          <t>kredit termasuk / USD-bln / kelebihan per 1.000</t>
        </is>
      </c>
      <c r="D26" s="11" t="n">
        <v>25000000</v>
      </c>
      <c r="E26" s="11" t="n">
        <v>0</v>
      </c>
      <c r="F26" s="13" t="n">
        <v>250</v>
      </c>
      <c r="G26" s="11" t="n">
        <v>0</v>
      </c>
      <c r="H26" s="13" t="n">
        <v>0.015</v>
      </c>
      <c r="I26" s="11" t="n">
        <v>0</v>
      </c>
      <c r="J26" s="13" t="n">
        <v>0</v>
      </c>
      <c r="K26" s="11" t="n">
        <v>0</v>
      </c>
      <c r="L26" s="13" t="n">
        <v>0</v>
      </c>
      <c r="M26" s="13" t="n">
        <v>0</v>
      </c>
      <c r="N26" s="5" t="inlineStr">
        <is>
          <t>[S-18]</t>
        </is>
      </c>
    </row>
    <row r="27">
      <c r="A27" s="5" t="inlineStr">
        <is>
          <t>Geoapify</t>
        </is>
      </c>
      <c r="B27" s="5" t="inlineStr">
        <is>
          <t>Free — kredit/hari &amp; USD/bulan</t>
        </is>
      </c>
      <c r="C27" s="5" t="inlineStr">
        <is>
          <t>kredit/hari</t>
        </is>
      </c>
      <c r="D27" s="11" t="n">
        <v>3000</v>
      </c>
      <c r="E27" s="11" t="n">
        <v>0</v>
      </c>
      <c r="F27" s="13" t="n">
        <v>0</v>
      </c>
      <c r="G27" s="11" t="n">
        <v>0</v>
      </c>
      <c r="H27" s="13" t="n">
        <v>0</v>
      </c>
      <c r="I27" s="11" t="n">
        <v>0</v>
      </c>
      <c r="J27" s="13" t="n">
        <v>0</v>
      </c>
      <c r="K27" s="11" t="n">
        <v>0</v>
      </c>
      <c r="L27" s="13" t="n">
        <v>0</v>
      </c>
      <c r="M27" s="13" t="n">
        <v>0</v>
      </c>
      <c r="N27" s="5" t="inlineStr">
        <is>
          <t>[S-16] komersial diizinkan dengan atribusi</t>
        </is>
      </c>
    </row>
    <row r="28">
      <c r="A28" s="5" t="inlineStr">
        <is>
          <t>Geoapify</t>
        </is>
      </c>
      <c r="B28" s="5" t="inlineStr">
        <is>
          <t>API 10</t>
        </is>
      </c>
      <c r="C28" s="5" t="inlineStr">
        <is>
          <t>kredit/hari</t>
        </is>
      </c>
      <c r="D28" s="11" t="n">
        <v>10000</v>
      </c>
      <c r="E28" s="11" t="n">
        <v>0</v>
      </c>
      <c r="F28" s="13" t="n">
        <v>59</v>
      </c>
      <c r="G28" s="11" t="n">
        <v>0</v>
      </c>
      <c r="H28" s="13" t="n">
        <v>0</v>
      </c>
      <c r="I28" s="11" t="n">
        <v>0</v>
      </c>
      <c r="J28" s="13" t="n">
        <v>0</v>
      </c>
      <c r="K28" s="11" t="n">
        <v>0</v>
      </c>
      <c r="L28" s="13" t="n">
        <v>0</v>
      </c>
      <c r="M28" s="13" t="n">
        <v>0</v>
      </c>
      <c r="N28" s="5" t="inlineStr">
        <is>
          <t>[S-16]</t>
        </is>
      </c>
    </row>
    <row r="29">
      <c r="A29" s="5" t="inlineStr">
        <is>
          <t>Geoapify</t>
        </is>
      </c>
      <c r="B29" s="5" t="inlineStr">
        <is>
          <t>API 25</t>
        </is>
      </c>
      <c r="C29" s="5" t="inlineStr">
        <is>
          <t>kredit/hari</t>
        </is>
      </c>
      <c r="D29" s="11" t="n">
        <v>25000</v>
      </c>
      <c r="E29" s="11" t="n">
        <v>0</v>
      </c>
      <c r="F29" s="13" t="n">
        <v>109</v>
      </c>
      <c r="G29" s="11" t="n">
        <v>0</v>
      </c>
      <c r="H29" s="13" t="n">
        <v>0</v>
      </c>
      <c r="I29" s="11" t="n">
        <v>0</v>
      </c>
      <c r="J29" s="13" t="n">
        <v>0</v>
      </c>
      <c r="K29" s="11" t="n">
        <v>0</v>
      </c>
      <c r="L29" s="13" t="n">
        <v>0</v>
      </c>
      <c r="M29" s="13" t="n">
        <v>0</v>
      </c>
      <c r="N29" s="5" t="inlineStr">
        <is>
          <t>[S-16]</t>
        </is>
      </c>
    </row>
    <row r="30">
      <c r="A30" s="5" t="inlineStr">
        <is>
          <t>Geoapify</t>
        </is>
      </c>
      <c r="B30" s="5" t="inlineStr">
        <is>
          <t>API 50</t>
        </is>
      </c>
      <c r="C30" s="5" t="inlineStr">
        <is>
          <t>kredit/hari</t>
        </is>
      </c>
      <c r="D30" s="11" t="n">
        <v>50000</v>
      </c>
      <c r="E30" s="11" t="n">
        <v>0</v>
      </c>
      <c r="F30" s="13" t="n">
        <v>179</v>
      </c>
      <c r="G30" s="11" t="n">
        <v>0</v>
      </c>
      <c r="H30" s="13" t="n">
        <v>0</v>
      </c>
      <c r="I30" s="11" t="n">
        <v>0</v>
      </c>
      <c r="J30" s="13" t="n">
        <v>0</v>
      </c>
      <c r="K30" s="11" t="n">
        <v>0</v>
      </c>
      <c r="L30" s="13" t="n">
        <v>0</v>
      </c>
      <c r="M30" s="13" t="n">
        <v>0</v>
      </c>
      <c r="N30" s="5" t="inlineStr">
        <is>
          <t>[S-16]</t>
        </is>
      </c>
    </row>
    <row r="31">
      <c r="A31" s="5" t="inlineStr">
        <is>
          <t>Geoapify</t>
        </is>
      </c>
      <c r="B31" s="5" t="inlineStr">
        <is>
          <t>API 100</t>
        </is>
      </c>
      <c r="C31" s="5" t="inlineStr">
        <is>
          <t>kredit/hari</t>
        </is>
      </c>
      <c r="D31" s="11" t="n">
        <v>100000</v>
      </c>
      <c r="E31" s="11" t="n">
        <v>0</v>
      </c>
      <c r="F31" s="13" t="n">
        <v>299</v>
      </c>
      <c r="G31" s="11" t="n">
        <v>0</v>
      </c>
      <c r="H31" s="13" t="n">
        <v>0</v>
      </c>
      <c r="I31" s="11" t="n">
        <v>0</v>
      </c>
      <c r="J31" s="13" t="n">
        <v>0</v>
      </c>
      <c r="K31" s="11" t="n">
        <v>0</v>
      </c>
      <c r="L31" s="13" t="n">
        <v>0</v>
      </c>
      <c r="M31" s="13" t="n">
        <v>0</v>
      </c>
      <c r="N31" s="5" t="inlineStr">
        <is>
          <t>[S-16]</t>
        </is>
      </c>
    </row>
    <row r="32">
      <c r="A32" s="5" t="inlineStr">
        <is>
          <t>Geoapify</t>
        </is>
      </c>
      <c r="B32" s="5" t="inlineStr">
        <is>
          <t>API 250</t>
        </is>
      </c>
      <c r="C32" s="5" t="inlineStr">
        <is>
          <t>kredit/hari</t>
        </is>
      </c>
      <c r="D32" s="11" t="n">
        <v>250000</v>
      </c>
      <c r="E32" s="11" t="n">
        <v>0</v>
      </c>
      <c r="F32" s="13" t="n">
        <v>609</v>
      </c>
      <c r="G32" s="11" t="n">
        <v>0</v>
      </c>
      <c r="H32" s="13" t="n">
        <v>0</v>
      </c>
      <c r="I32" s="11" t="n">
        <v>0</v>
      </c>
      <c r="J32" s="13" t="n">
        <v>0</v>
      </c>
      <c r="K32" s="11" t="n">
        <v>0</v>
      </c>
      <c r="L32" s="13" t="n">
        <v>0</v>
      </c>
      <c r="M32" s="13" t="n">
        <v>0</v>
      </c>
      <c r="N32" s="5" t="inlineStr">
        <is>
          <t>[S-16]</t>
        </is>
      </c>
    </row>
    <row r="33">
      <c r="A33" s="5" t="inlineStr">
        <is>
          <t>Geoapify</t>
        </is>
      </c>
      <c r="B33" s="5" t="inlineStr">
        <is>
          <t>Custom</t>
        </is>
      </c>
      <c r="C33" s="5" t="inlineStr">
        <is>
          <t>kredit/hari</t>
        </is>
      </c>
      <c r="D33" s="11" t="n">
        <v>1000000000000</v>
      </c>
      <c r="E33" s="11" t="n">
        <v>0</v>
      </c>
      <c r="F33" s="13" t="n">
        <v>860</v>
      </c>
      <c r="G33" s="11" t="n">
        <v>0</v>
      </c>
      <c r="H33" s="13" t="n">
        <v>0</v>
      </c>
      <c r="I33" s="11" t="n">
        <v>0</v>
      </c>
      <c r="J33" s="13" t="n">
        <v>0</v>
      </c>
      <c r="K33" s="11" t="n">
        <v>0</v>
      </c>
      <c r="L33" s="13" t="n">
        <v>0</v>
      </c>
      <c r="M33" s="13" t="n">
        <v>0</v>
      </c>
      <c r="N33" s="5" t="inlineStr">
        <is>
          <t>[S-16] mulai dari</t>
        </is>
      </c>
    </row>
    <row r="34">
      <c r="A34" s="5" t="inlineStr">
        <is>
          <t>Cloudflare R2</t>
        </is>
      </c>
      <c r="B34" s="5" t="inlineStr">
        <is>
          <t>Class B ops — gratis/bulan &amp; USD per juta</t>
        </is>
      </c>
      <c r="C34" s="5" t="inlineStr">
        <is>
          <t>operasi</t>
        </is>
      </c>
      <c r="D34" s="11" t="n">
        <v>10000000</v>
      </c>
      <c r="E34" s="11" t="n">
        <v>0</v>
      </c>
      <c r="F34" s="13" t="n">
        <v>0.36</v>
      </c>
      <c r="G34" s="11" t="n">
        <v>0</v>
      </c>
      <c r="H34" s="13" t="n">
        <v>0</v>
      </c>
      <c r="I34" s="11" t="n">
        <v>0</v>
      </c>
      <c r="J34" s="13" t="n">
        <v>0</v>
      </c>
      <c r="K34" s="11" t="n">
        <v>0</v>
      </c>
      <c r="L34" s="13" t="n">
        <v>0</v>
      </c>
      <c r="M34" s="13" t="n">
        <v>0</v>
      </c>
      <c r="N34" s="5" t="inlineStr">
        <is>
          <t>[S-26] egress GRATIS; 10 GB penyimpanan gratis</t>
        </is>
      </c>
    </row>
    <row r="35">
      <c r="A35" s="5" t="inlineStr">
        <is>
          <t>Biznet Gio</t>
        </is>
      </c>
      <c r="B35" s="5" t="inlineStr">
        <is>
          <t>NEO Lite LL 16.16 (16 vCPU, 16 GB, NVMe, Jakarta)</t>
        </is>
      </c>
      <c r="C35" s="5" t="inlineStr">
        <is>
          <t>Rp/bulan</t>
        </is>
      </c>
      <c r="D35" s="11" t="n">
        <v>0</v>
      </c>
      <c r="E35" s="11" t="n">
        <v>0</v>
      </c>
      <c r="F35" s="13" t="n">
        <v>499000</v>
      </c>
      <c r="G35" s="11" t="n">
        <v>0</v>
      </c>
      <c r="H35" s="13" t="n">
        <v>0</v>
      </c>
      <c r="I35" s="11" t="n">
        <v>0</v>
      </c>
      <c r="J35" s="13" t="n">
        <v>0</v>
      </c>
      <c r="K35" s="11" t="n">
        <v>0</v>
      </c>
      <c r="L35" s="13" t="n">
        <v>0</v>
      </c>
      <c r="M35" s="13" t="n">
        <v>0</v>
      </c>
      <c r="N35" s="5" t="inlineStr">
        <is>
          <t>[S-29]</t>
        </is>
      </c>
    </row>
    <row r="36">
      <c r="A36" s="5" t="inlineStr">
        <is>
          <t>Biznet Gio</t>
        </is>
      </c>
      <c r="B36" s="5" t="inlineStr">
        <is>
          <t>Faktor PPN dalam negeri</t>
        </is>
      </c>
      <c r="C36" s="5" t="inlineStr">
        <is>
          <t>pengali</t>
        </is>
      </c>
      <c r="D36" s="11" t="n">
        <v>0</v>
      </c>
      <c r="E36" s="11" t="n">
        <v>0</v>
      </c>
      <c r="F36" s="13" t="n">
        <v>1.11</v>
      </c>
      <c r="G36" s="11" t="n">
        <v>0</v>
      </c>
      <c r="H36" s="13" t="n">
        <v>0</v>
      </c>
      <c r="I36" s="11" t="n">
        <v>0</v>
      </c>
      <c r="J36" s="13" t="n">
        <v>0</v>
      </c>
      <c r="K36" s="11" t="n">
        <v>0</v>
      </c>
      <c r="L36" s="13" t="n">
        <v>0</v>
      </c>
      <c r="M36" s="13" t="n">
        <v>0</v>
      </c>
      <c r="N36" s="5" t="inlineStr">
        <is>
          <t>PPN 11%; dapat dikreditkan bila PT sudah PKP</t>
        </is>
      </c>
    </row>
    <row r="37">
      <c r="A37" s="5" t="inlineStr">
        <is>
          <t>Swasembada</t>
        </is>
      </c>
      <c r="B37" s="5" t="inlineStr">
        <is>
          <t>Pemeliharaan 0,2 FTE Mid Engineer</t>
        </is>
      </c>
      <c r="C37" s="5" t="inlineStr">
        <is>
          <t>Rp/bulan</t>
        </is>
      </c>
      <c r="D37" s="11" t="n">
        <v>0</v>
      </c>
      <c r="E37" s="11" t="n">
        <v>0</v>
      </c>
      <c r="F37" s="13" t="n">
        <v>2856000</v>
      </c>
      <c r="G37" s="11" t="n">
        <v>0</v>
      </c>
      <c r="H37" s="13" t="n">
        <v>0</v>
      </c>
      <c r="I37" s="11" t="n">
        <v>0</v>
      </c>
      <c r="J37" s="13" t="n">
        <v>0</v>
      </c>
      <c r="K37" s="11" t="n">
        <v>0</v>
      </c>
      <c r="L37" s="13" t="n">
        <v>0</v>
      </c>
      <c r="M37" s="13" t="n">
        <v>0</v>
      </c>
      <c r="N37" s="5" t="inlineStr">
        <is>
          <t>[ASUMSI] P50 Rp12 jt x 1,19 TCC x 0,2 FTE — model biaya SDM</t>
        </is>
      </c>
    </row>
    <row r="38">
      <c r="A38" s="14" t="inlineStr">
        <is>
          <t>AMap (TIDAK BOLEH DIPAKAI)</t>
        </is>
      </c>
      <c r="B38" s="14" t="inlineStr">
        <is>
          <t>LBS/Pencarian Dasar</t>
        </is>
      </c>
      <c r="C38" s="14" t="inlineStr">
        <is>
          <t>CNY/panggilan</t>
        </is>
      </c>
      <c r="D38" s="15" t="n">
        <v>0</v>
      </c>
      <c r="E38" s="15" t="n">
        <v>0</v>
      </c>
      <c r="F38" s="16" t="n">
        <v>0.003</v>
      </c>
      <c r="G38" s="15" t="n">
        <v>0</v>
      </c>
      <c r="H38" s="16" t="n">
        <v>0</v>
      </c>
      <c r="I38" s="15" t="n">
        <v>0</v>
      </c>
      <c r="J38" s="16" t="n">
        <v>0</v>
      </c>
      <c r="K38" s="15" t="n">
        <v>0</v>
      </c>
      <c r="L38" s="16" t="n">
        <v>0</v>
      </c>
      <c r="M38" s="16" t="n">
        <v>0</v>
      </c>
      <c r="N38" s="14" t="inlineStr">
        <is>
          <t>[S-08] ¥30/万次. TERLARANG: perjanjian Pasal 14.1 [S-06]</t>
        </is>
      </c>
    </row>
    <row r="39">
      <c r="A39" s="14" t="inlineStr">
        <is>
          <t>AMap (TIDAK BOLEH DIPAKAI)</t>
        </is>
      </c>
      <c r="B39" s="14" t="inlineStr">
        <is>
          <t>Peta &amp; Posisi Dasar</t>
        </is>
      </c>
      <c r="C39" s="14" t="inlineStr">
        <is>
          <t>CNY/panggilan</t>
        </is>
      </c>
      <c r="D39" s="15" t="n">
        <v>0</v>
      </c>
      <c r="E39" s="15" t="n">
        <v>0</v>
      </c>
      <c r="F39" s="16" t="n">
        <v>0.0003</v>
      </c>
      <c r="G39" s="15" t="n">
        <v>0</v>
      </c>
      <c r="H39" s="16" t="n">
        <v>0</v>
      </c>
      <c r="I39" s="15" t="n">
        <v>0</v>
      </c>
      <c r="J39" s="16" t="n">
        <v>0</v>
      </c>
      <c r="K39" s="15" t="n">
        <v>0</v>
      </c>
      <c r="L39" s="16" t="n">
        <v>0</v>
      </c>
      <c r="M39" s="16" t="n">
        <v>0</v>
      </c>
      <c r="N39" s="14" t="inlineStr">
        <is>
          <t>[S-08] ¥3/万次. TERLARANG: perjanjian Pasal 14.1 [S-06]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1"/>
  <sheetViews>
    <sheetView showGridLines="0" workbookViewId="0">
      <pane ySplit="3" topLeftCell="A4" activePane="bottomLeft" state="frozen"/>
      <selection pane="bottomLef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50" customWidth="1" min="11" max="11"/>
  </cols>
  <sheetData>
    <row r="1">
      <c r="A1" s="1" t="inlineStr">
        <is>
          <t>Biaya Bulanan per Penyedia — Tiga Skenario Volume</t>
        </is>
      </c>
    </row>
    <row r="2">
      <c r="A2" s="2" t="inlineStr">
        <is>
          <t>Kolom "hemat" memakai faktor strategi §5 (cache geocoding, debounce autocomplete, tunda routing, kurangi gambar-ulang peta). Semua nilai USD kecuali blok Swasembada (Rupiah).</t>
        </is>
      </c>
    </row>
    <row r="4">
      <c r="A4" s="17" t="inlineStr">
        <is>
          <t>GOOGLE MAPS PLATFORM  —  [S-11] [S-12]; kredit bulanan US$200 dihapus sejak 1 Mar 2025</t>
        </is>
      </c>
      <c r="B4" s="18" t="n"/>
      <c r="C4" s="18" t="n"/>
      <c r="D4" s="18" t="n"/>
      <c r="E4" s="18" t="n"/>
      <c r="F4" s="18" t="n"/>
      <c r="G4" s="18" t="n"/>
      <c r="H4" s="18" t="n"/>
      <c r="I4" s="18" t="n"/>
      <c r="J4" s="18" t="n"/>
      <c r="K4" s="18" t="n"/>
    </row>
    <row r="5">
      <c r="A5" s="4" t="inlineStr">
        <is>
          <t>SKU / komponen</t>
        </is>
      </c>
      <c r="B5" s="4" t="inlineStr">
        <is>
          <t>Unit A</t>
        </is>
      </c>
      <c r="C5" s="4" t="inlineStr">
        <is>
          <t>Unit B</t>
        </is>
      </c>
      <c r="D5" s="4" t="inlineStr">
        <is>
          <t>Unit C</t>
        </is>
      </c>
      <c r="E5" s="4" t="inlineStr">
        <is>
          <t>Biaya A ($)</t>
        </is>
      </c>
      <c r="F5" s="4" t="inlineStr">
        <is>
          <t>Biaya B ($)</t>
        </is>
      </c>
      <c r="G5" s="4" t="inlineStr">
        <is>
          <t>Biaya C ($)</t>
        </is>
      </c>
      <c r="H5" s="4" t="inlineStr">
        <is>
          <t>Hemat A ($)</t>
        </is>
      </c>
      <c r="I5" s="4" t="inlineStr">
        <is>
          <t>Hemat B ($)</t>
        </is>
      </c>
      <c r="J5" s="4" t="inlineStr">
        <is>
          <t>Hemat C ($)</t>
        </is>
      </c>
      <c r="K5" s="4" t="inlineStr">
        <is>
          <t>Catatan</t>
        </is>
      </c>
    </row>
    <row r="6">
      <c r="A6" s="5" t="inlineStr">
        <is>
          <t>Dynamic Maps (per map load; ubin sudah termasuk)</t>
        </is>
      </c>
      <c r="B6" s="11">
        <f>'Panggilan per Pesanan'!B17</f>
        <v/>
      </c>
      <c r="C6" s="11">
        <f>'Panggilan per Pesanan'!C17</f>
        <v/>
      </c>
      <c r="D6" s="11">
        <f>'Panggilan per Pesanan'!D17</f>
        <v/>
      </c>
      <c r="E6" s="19">
        <f>(MIN(MAX(0,'Panggilan per Pesanan'!B17-'Harga per Penyedia'!$D$4),'Harga per Penyedia'!$E$4)*'Harga per Penyedia'!$F$4+MAX(0,MIN(MAX(0,'Panggilan per Pesanan'!B17-'Harga per Penyedia'!$D$4),'Harga per Penyedia'!$G$4)-'Harga per Penyedia'!$E$4)*'Harga per Penyedia'!$H$4+MAX(0,MIN(MAX(0,'Panggilan per Pesanan'!B17-'Harga per Penyedia'!$D$4),'Harga per Penyedia'!$I$4)-'Harga per Penyedia'!$G$4)*'Harga per Penyedia'!$J$4+MAX(0,MIN(MAX(0,'Panggilan per Pesanan'!B17-'Harga per Penyedia'!$D$4),'Harga per Penyedia'!$K$4)-'Harga per Penyedia'!$I$4)*'Harga per Penyedia'!$L$4+MAX(0,MAX(0,'Panggilan per Pesanan'!B17-'Harga per Penyedia'!$D$4)-'Harga per Penyedia'!$K$4)*'Harga per Penyedia'!$M$4)/1000</f>
        <v/>
      </c>
      <c r="F6" s="19">
        <f>(MIN(MAX(0,'Panggilan per Pesanan'!C17-'Harga per Penyedia'!$D$4),'Harga per Penyedia'!$E$4)*'Harga per Penyedia'!$F$4+MAX(0,MIN(MAX(0,'Panggilan per Pesanan'!C17-'Harga per Penyedia'!$D$4),'Harga per Penyedia'!$G$4)-'Harga per Penyedia'!$E$4)*'Harga per Penyedia'!$H$4+MAX(0,MIN(MAX(0,'Panggilan per Pesanan'!C17-'Harga per Penyedia'!$D$4),'Harga per Penyedia'!$I$4)-'Harga per Penyedia'!$G$4)*'Harga per Penyedia'!$J$4+MAX(0,MIN(MAX(0,'Panggilan per Pesanan'!C17-'Harga per Penyedia'!$D$4),'Harga per Penyedia'!$K$4)-'Harga per Penyedia'!$I$4)*'Harga per Penyedia'!$L$4+MAX(0,MAX(0,'Panggilan per Pesanan'!C17-'Harga per Penyedia'!$D$4)-'Harga per Penyedia'!$K$4)*'Harga per Penyedia'!$M$4)/1000</f>
        <v/>
      </c>
      <c r="G6" s="19">
        <f>(MIN(MAX(0,'Panggilan per Pesanan'!D17-'Harga per Penyedia'!$D$4),'Harga per Penyedia'!$E$4)*'Harga per Penyedia'!$F$4+MAX(0,MIN(MAX(0,'Panggilan per Pesanan'!D17-'Harga per Penyedia'!$D$4),'Harga per Penyedia'!$G$4)-'Harga per Penyedia'!$E$4)*'Harga per Penyedia'!$H$4+MAX(0,MIN(MAX(0,'Panggilan per Pesanan'!D17-'Harga per Penyedia'!$D$4),'Harga per Penyedia'!$I$4)-'Harga per Penyedia'!$G$4)*'Harga per Penyedia'!$J$4+MAX(0,MIN(MAX(0,'Panggilan per Pesanan'!D17-'Harga per Penyedia'!$D$4),'Harga per Penyedia'!$K$4)-'Harga per Penyedia'!$I$4)*'Harga per Penyedia'!$L$4+MAX(0,MAX(0,'Panggilan per Pesanan'!D17-'Harga per Penyedia'!$D$4)-'Harga per Penyedia'!$K$4)*'Harga per Penyedia'!$M$4)/1000</f>
        <v/>
      </c>
      <c r="H6" s="19">
        <f>(MIN(MAX(0,'Panggilan per Pesanan'!E17-'Harga per Penyedia'!$D$4),'Harga per Penyedia'!$E$4)*'Harga per Penyedia'!$F$4+MAX(0,MIN(MAX(0,'Panggilan per Pesanan'!E17-'Harga per Penyedia'!$D$4),'Harga per Penyedia'!$G$4)-'Harga per Penyedia'!$E$4)*'Harga per Penyedia'!$H$4+MAX(0,MIN(MAX(0,'Panggilan per Pesanan'!E17-'Harga per Penyedia'!$D$4),'Harga per Penyedia'!$I$4)-'Harga per Penyedia'!$G$4)*'Harga per Penyedia'!$J$4+MAX(0,MIN(MAX(0,'Panggilan per Pesanan'!E17-'Harga per Penyedia'!$D$4),'Harga per Penyedia'!$K$4)-'Harga per Penyedia'!$I$4)*'Harga per Penyedia'!$L$4+MAX(0,MAX(0,'Panggilan per Pesanan'!E17-'Harga per Penyedia'!$D$4)-'Harga per Penyedia'!$K$4)*'Harga per Penyedia'!$M$4)/1000</f>
        <v/>
      </c>
      <c r="I6" s="19">
        <f>(MIN(MAX(0,'Panggilan per Pesanan'!F17-'Harga per Penyedia'!$D$4),'Harga per Penyedia'!$E$4)*'Harga per Penyedia'!$F$4+MAX(0,MIN(MAX(0,'Panggilan per Pesanan'!F17-'Harga per Penyedia'!$D$4),'Harga per Penyedia'!$G$4)-'Harga per Penyedia'!$E$4)*'Harga per Penyedia'!$H$4+MAX(0,MIN(MAX(0,'Panggilan per Pesanan'!F17-'Harga per Penyedia'!$D$4),'Harga per Penyedia'!$I$4)-'Harga per Penyedia'!$G$4)*'Harga per Penyedia'!$J$4+MAX(0,MIN(MAX(0,'Panggilan per Pesanan'!F17-'Harga per Penyedia'!$D$4),'Harga per Penyedia'!$K$4)-'Harga per Penyedia'!$I$4)*'Harga per Penyedia'!$L$4+MAX(0,MAX(0,'Panggilan per Pesanan'!F17-'Harga per Penyedia'!$D$4)-'Harga per Penyedia'!$K$4)*'Harga per Penyedia'!$M$4)/1000</f>
        <v/>
      </c>
      <c r="J6" s="19">
        <f>(MIN(MAX(0,'Panggilan per Pesanan'!G17-'Harga per Penyedia'!$D$4),'Harga per Penyedia'!$E$4)*'Harga per Penyedia'!$F$4+MAX(0,MIN(MAX(0,'Panggilan per Pesanan'!G17-'Harga per Penyedia'!$D$4),'Harga per Penyedia'!$G$4)-'Harga per Penyedia'!$E$4)*'Harga per Penyedia'!$H$4+MAX(0,MIN(MAX(0,'Panggilan per Pesanan'!G17-'Harga per Penyedia'!$D$4),'Harga per Penyedia'!$I$4)-'Harga per Penyedia'!$G$4)*'Harga per Penyedia'!$J$4+MAX(0,MIN(MAX(0,'Panggilan per Pesanan'!G17-'Harga per Penyedia'!$D$4),'Harga per Penyedia'!$K$4)-'Harga per Penyedia'!$I$4)*'Harga per Penyedia'!$L$4+MAX(0,MAX(0,'Panggilan per Pesanan'!G17-'Harga per Penyedia'!$D$4)-'Harga per Penyedia'!$K$4)*'Harga per Penyedia'!$M$4)/1000</f>
        <v/>
      </c>
      <c r="K6" s="5" t="inlineStr">
        <is>
          <t>Gratis 10.000/bulan per SKU</t>
        </is>
      </c>
    </row>
    <row r="7">
      <c r="A7" s="5" t="inlineStr">
        <is>
          <t>Places Autocomplete Requests</t>
        </is>
      </c>
      <c r="B7" s="11">
        <f>'Panggilan per Pesanan'!B14</f>
        <v/>
      </c>
      <c r="C7" s="11">
        <f>'Panggilan per Pesanan'!C14</f>
        <v/>
      </c>
      <c r="D7" s="11">
        <f>'Panggilan per Pesanan'!D14</f>
        <v/>
      </c>
      <c r="E7" s="19">
        <f>(MIN(MAX(0,'Panggilan per Pesanan'!B14-'Harga per Penyedia'!$D$5),'Harga per Penyedia'!$E$5)*'Harga per Penyedia'!$F$5+MAX(0,MIN(MAX(0,'Panggilan per Pesanan'!B14-'Harga per Penyedia'!$D$5),'Harga per Penyedia'!$G$5)-'Harga per Penyedia'!$E$5)*'Harga per Penyedia'!$H$5+MAX(0,MIN(MAX(0,'Panggilan per Pesanan'!B14-'Harga per Penyedia'!$D$5),'Harga per Penyedia'!$I$5)-'Harga per Penyedia'!$G$5)*'Harga per Penyedia'!$J$5+MAX(0,MIN(MAX(0,'Panggilan per Pesanan'!B14-'Harga per Penyedia'!$D$5),'Harga per Penyedia'!$K$5)-'Harga per Penyedia'!$I$5)*'Harga per Penyedia'!$L$5+MAX(0,MAX(0,'Panggilan per Pesanan'!B14-'Harga per Penyedia'!$D$5)-'Harga per Penyedia'!$K$5)*'Harga per Penyedia'!$M$5)/1000</f>
        <v/>
      </c>
      <c r="F7" s="19">
        <f>(MIN(MAX(0,'Panggilan per Pesanan'!C14-'Harga per Penyedia'!$D$5),'Harga per Penyedia'!$E$5)*'Harga per Penyedia'!$F$5+MAX(0,MIN(MAX(0,'Panggilan per Pesanan'!C14-'Harga per Penyedia'!$D$5),'Harga per Penyedia'!$G$5)-'Harga per Penyedia'!$E$5)*'Harga per Penyedia'!$H$5+MAX(0,MIN(MAX(0,'Panggilan per Pesanan'!C14-'Harga per Penyedia'!$D$5),'Harga per Penyedia'!$I$5)-'Harga per Penyedia'!$G$5)*'Harga per Penyedia'!$J$5+MAX(0,MIN(MAX(0,'Panggilan per Pesanan'!C14-'Harga per Penyedia'!$D$5),'Harga per Penyedia'!$K$5)-'Harga per Penyedia'!$I$5)*'Harga per Penyedia'!$L$5+MAX(0,MAX(0,'Panggilan per Pesanan'!C14-'Harga per Penyedia'!$D$5)-'Harga per Penyedia'!$K$5)*'Harga per Penyedia'!$M$5)/1000</f>
        <v/>
      </c>
      <c r="G7" s="19">
        <f>(MIN(MAX(0,'Panggilan per Pesanan'!D14-'Harga per Penyedia'!$D$5),'Harga per Penyedia'!$E$5)*'Harga per Penyedia'!$F$5+MAX(0,MIN(MAX(0,'Panggilan per Pesanan'!D14-'Harga per Penyedia'!$D$5),'Harga per Penyedia'!$G$5)-'Harga per Penyedia'!$E$5)*'Harga per Penyedia'!$H$5+MAX(0,MIN(MAX(0,'Panggilan per Pesanan'!D14-'Harga per Penyedia'!$D$5),'Harga per Penyedia'!$I$5)-'Harga per Penyedia'!$G$5)*'Harga per Penyedia'!$J$5+MAX(0,MIN(MAX(0,'Panggilan per Pesanan'!D14-'Harga per Penyedia'!$D$5),'Harga per Penyedia'!$K$5)-'Harga per Penyedia'!$I$5)*'Harga per Penyedia'!$L$5+MAX(0,MAX(0,'Panggilan per Pesanan'!D14-'Harga per Penyedia'!$D$5)-'Harga per Penyedia'!$K$5)*'Harga per Penyedia'!$M$5)/1000</f>
        <v/>
      </c>
      <c r="H7" s="19">
        <f>(MIN(MAX(0,'Panggilan per Pesanan'!E14-'Harga per Penyedia'!$D$5),'Harga per Penyedia'!$E$5)*'Harga per Penyedia'!$F$5+MAX(0,MIN(MAX(0,'Panggilan per Pesanan'!E14-'Harga per Penyedia'!$D$5),'Harga per Penyedia'!$G$5)-'Harga per Penyedia'!$E$5)*'Harga per Penyedia'!$H$5+MAX(0,MIN(MAX(0,'Panggilan per Pesanan'!E14-'Harga per Penyedia'!$D$5),'Harga per Penyedia'!$I$5)-'Harga per Penyedia'!$G$5)*'Harga per Penyedia'!$J$5+MAX(0,MIN(MAX(0,'Panggilan per Pesanan'!E14-'Harga per Penyedia'!$D$5),'Harga per Penyedia'!$K$5)-'Harga per Penyedia'!$I$5)*'Harga per Penyedia'!$L$5+MAX(0,MAX(0,'Panggilan per Pesanan'!E14-'Harga per Penyedia'!$D$5)-'Harga per Penyedia'!$K$5)*'Harga per Penyedia'!$M$5)/1000</f>
        <v/>
      </c>
      <c r="I7" s="19">
        <f>(MIN(MAX(0,'Panggilan per Pesanan'!F14-'Harga per Penyedia'!$D$5),'Harga per Penyedia'!$E$5)*'Harga per Penyedia'!$F$5+MAX(0,MIN(MAX(0,'Panggilan per Pesanan'!F14-'Harga per Penyedia'!$D$5),'Harga per Penyedia'!$G$5)-'Harga per Penyedia'!$E$5)*'Harga per Penyedia'!$H$5+MAX(0,MIN(MAX(0,'Panggilan per Pesanan'!F14-'Harga per Penyedia'!$D$5),'Harga per Penyedia'!$I$5)-'Harga per Penyedia'!$G$5)*'Harga per Penyedia'!$J$5+MAX(0,MIN(MAX(0,'Panggilan per Pesanan'!F14-'Harga per Penyedia'!$D$5),'Harga per Penyedia'!$K$5)-'Harga per Penyedia'!$I$5)*'Harga per Penyedia'!$L$5+MAX(0,MAX(0,'Panggilan per Pesanan'!F14-'Harga per Penyedia'!$D$5)-'Harga per Penyedia'!$K$5)*'Harga per Penyedia'!$M$5)/1000</f>
        <v/>
      </c>
      <c r="J7" s="19">
        <f>(MIN(MAX(0,'Panggilan per Pesanan'!G14-'Harga per Penyedia'!$D$5),'Harga per Penyedia'!$E$5)*'Harga per Penyedia'!$F$5+MAX(0,MIN(MAX(0,'Panggilan per Pesanan'!G14-'Harga per Penyedia'!$D$5),'Harga per Penyedia'!$G$5)-'Harga per Penyedia'!$E$5)*'Harga per Penyedia'!$H$5+MAX(0,MIN(MAX(0,'Panggilan per Pesanan'!G14-'Harga per Penyedia'!$D$5),'Harga per Penyedia'!$I$5)-'Harga per Penyedia'!$G$5)*'Harga per Penyedia'!$J$5+MAX(0,MIN(MAX(0,'Panggilan per Pesanan'!G14-'Harga per Penyedia'!$D$5),'Harga per Penyedia'!$K$5)-'Harga per Penyedia'!$I$5)*'Harga per Penyedia'!$L$5+MAX(0,MAX(0,'Panggilan per Pesanan'!G14-'Harga per Penyedia'!$D$5)-'Harga per Penyedia'!$K$5)*'Harga per Penyedia'!$M$5)/1000</f>
        <v/>
      </c>
      <c r="K7" s="5" t="inlineStr">
        <is>
          <t>Session token dapat menjadikannya $0 — lihat §5.2</t>
        </is>
      </c>
    </row>
    <row r="8">
      <c r="A8" s="5" t="inlineStr">
        <is>
          <t>Geocoding (reverse)</t>
        </is>
      </c>
      <c r="B8" s="11">
        <f>'Panggilan per Pesanan'!B15</f>
        <v/>
      </c>
      <c r="C8" s="11">
        <f>'Panggilan per Pesanan'!C15</f>
        <v/>
      </c>
      <c r="D8" s="11">
        <f>'Panggilan per Pesanan'!D15</f>
        <v/>
      </c>
      <c r="E8" s="19">
        <f>(MIN(MAX(0,'Panggilan per Pesanan'!B15-'Harga per Penyedia'!$D$6),'Harga per Penyedia'!$E$6)*'Harga per Penyedia'!$F$6+MAX(0,MIN(MAX(0,'Panggilan per Pesanan'!B15-'Harga per Penyedia'!$D$6),'Harga per Penyedia'!$G$6)-'Harga per Penyedia'!$E$6)*'Harga per Penyedia'!$H$6+MAX(0,MIN(MAX(0,'Panggilan per Pesanan'!B15-'Harga per Penyedia'!$D$6),'Harga per Penyedia'!$I$6)-'Harga per Penyedia'!$G$6)*'Harga per Penyedia'!$J$6+MAX(0,MIN(MAX(0,'Panggilan per Pesanan'!B15-'Harga per Penyedia'!$D$6),'Harga per Penyedia'!$K$6)-'Harga per Penyedia'!$I$6)*'Harga per Penyedia'!$L$6+MAX(0,MAX(0,'Panggilan per Pesanan'!B15-'Harga per Penyedia'!$D$6)-'Harga per Penyedia'!$K$6)*'Harga per Penyedia'!$M$6)/1000</f>
        <v/>
      </c>
      <c r="F8" s="19">
        <f>(MIN(MAX(0,'Panggilan per Pesanan'!C15-'Harga per Penyedia'!$D$6),'Harga per Penyedia'!$E$6)*'Harga per Penyedia'!$F$6+MAX(0,MIN(MAX(0,'Panggilan per Pesanan'!C15-'Harga per Penyedia'!$D$6),'Harga per Penyedia'!$G$6)-'Harga per Penyedia'!$E$6)*'Harga per Penyedia'!$H$6+MAX(0,MIN(MAX(0,'Panggilan per Pesanan'!C15-'Harga per Penyedia'!$D$6),'Harga per Penyedia'!$I$6)-'Harga per Penyedia'!$G$6)*'Harga per Penyedia'!$J$6+MAX(0,MIN(MAX(0,'Panggilan per Pesanan'!C15-'Harga per Penyedia'!$D$6),'Harga per Penyedia'!$K$6)-'Harga per Penyedia'!$I$6)*'Harga per Penyedia'!$L$6+MAX(0,MAX(0,'Panggilan per Pesanan'!C15-'Harga per Penyedia'!$D$6)-'Harga per Penyedia'!$K$6)*'Harga per Penyedia'!$M$6)/1000</f>
        <v/>
      </c>
      <c r="G8" s="19">
        <f>(MIN(MAX(0,'Panggilan per Pesanan'!D15-'Harga per Penyedia'!$D$6),'Harga per Penyedia'!$E$6)*'Harga per Penyedia'!$F$6+MAX(0,MIN(MAX(0,'Panggilan per Pesanan'!D15-'Harga per Penyedia'!$D$6),'Harga per Penyedia'!$G$6)-'Harga per Penyedia'!$E$6)*'Harga per Penyedia'!$H$6+MAX(0,MIN(MAX(0,'Panggilan per Pesanan'!D15-'Harga per Penyedia'!$D$6),'Harga per Penyedia'!$I$6)-'Harga per Penyedia'!$G$6)*'Harga per Penyedia'!$J$6+MAX(0,MIN(MAX(0,'Panggilan per Pesanan'!D15-'Harga per Penyedia'!$D$6),'Harga per Penyedia'!$K$6)-'Harga per Penyedia'!$I$6)*'Harga per Penyedia'!$L$6+MAX(0,MAX(0,'Panggilan per Pesanan'!D15-'Harga per Penyedia'!$D$6)-'Harga per Penyedia'!$K$6)*'Harga per Penyedia'!$M$6)/1000</f>
        <v/>
      </c>
      <c r="H8" s="19">
        <f>(MIN(MAX(0,'Panggilan per Pesanan'!E15-'Harga per Penyedia'!$D$6),'Harga per Penyedia'!$E$6)*'Harga per Penyedia'!$F$6+MAX(0,MIN(MAX(0,'Panggilan per Pesanan'!E15-'Harga per Penyedia'!$D$6),'Harga per Penyedia'!$G$6)-'Harga per Penyedia'!$E$6)*'Harga per Penyedia'!$H$6+MAX(0,MIN(MAX(0,'Panggilan per Pesanan'!E15-'Harga per Penyedia'!$D$6),'Harga per Penyedia'!$I$6)-'Harga per Penyedia'!$G$6)*'Harga per Penyedia'!$J$6+MAX(0,MIN(MAX(0,'Panggilan per Pesanan'!E15-'Harga per Penyedia'!$D$6),'Harga per Penyedia'!$K$6)-'Harga per Penyedia'!$I$6)*'Harga per Penyedia'!$L$6+MAX(0,MAX(0,'Panggilan per Pesanan'!E15-'Harga per Penyedia'!$D$6)-'Harga per Penyedia'!$K$6)*'Harga per Penyedia'!$M$6)/1000</f>
        <v/>
      </c>
      <c r="I8" s="19">
        <f>(MIN(MAX(0,'Panggilan per Pesanan'!F15-'Harga per Penyedia'!$D$6),'Harga per Penyedia'!$E$6)*'Harga per Penyedia'!$F$6+MAX(0,MIN(MAX(0,'Panggilan per Pesanan'!F15-'Harga per Penyedia'!$D$6),'Harga per Penyedia'!$G$6)-'Harga per Penyedia'!$E$6)*'Harga per Penyedia'!$H$6+MAX(0,MIN(MAX(0,'Panggilan per Pesanan'!F15-'Harga per Penyedia'!$D$6),'Harga per Penyedia'!$I$6)-'Harga per Penyedia'!$G$6)*'Harga per Penyedia'!$J$6+MAX(0,MIN(MAX(0,'Panggilan per Pesanan'!F15-'Harga per Penyedia'!$D$6),'Harga per Penyedia'!$K$6)-'Harga per Penyedia'!$I$6)*'Harga per Penyedia'!$L$6+MAX(0,MAX(0,'Panggilan per Pesanan'!F15-'Harga per Penyedia'!$D$6)-'Harga per Penyedia'!$K$6)*'Harga per Penyedia'!$M$6)/1000</f>
        <v/>
      </c>
      <c r="J8" s="19">
        <f>(MIN(MAX(0,'Panggilan per Pesanan'!G15-'Harga per Penyedia'!$D$6),'Harga per Penyedia'!$E$6)*'Harga per Penyedia'!$F$6+MAX(0,MIN(MAX(0,'Panggilan per Pesanan'!G15-'Harga per Penyedia'!$D$6),'Harga per Penyedia'!$G$6)-'Harga per Penyedia'!$E$6)*'Harga per Penyedia'!$H$6+MAX(0,MIN(MAX(0,'Panggilan per Pesanan'!G15-'Harga per Penyedia'!$D$6),'Harga per Penyedia'!$I$6)-'Harga per Penyedia'!$G$6)*'Harga per Penyedia'!$J$6+MAX(0,MIN(MAX(0,'Panggilan per Pesanan'!G15-'Harga per Penyedia'!$D$6),'Harga per Penyedia'!$K$6)-'Harga per Penyedia'!$I$6)*'Harga per Penyedia'!$L$6+MAX(0,MAX(0,'Panggilan per Pesanan'!G15-'Harga per Penyedia'!$D$6)-'Harga per Penyedia'!$K$6)*'Harga per Penyedia'!$M$6)/1000</f>
        <v/>
      </c>
      <c r="K8" s="5" t="inlineStr"/>
    </row>
    <row r="9">
      <c r="A9" s="5" t="inlineStr">
        <is>
          <t>Routes: Compute Routes (Essentials)</t>
        </is>
      </c>
      <c r="B9" s="11">
        <f>'Panggilan per Pesanan'!B16</f>
        <v/>
      </c>
      <c r="C9" s="11">
        <f>'Panggilan per Pesanan'!C16</f>
        <v/>
      </c>
      <c r="D9" s="11">
        <f>'Panggilan per Pesanan'!D16</f>
        <v/>
      </c>
      <c r="E9" s="19">
        <f>(MIN(MAX(0,'Panggilan per Pesanan'!B16-'Harga per Penyedia'!$D$7),'Harga per Penyedia'!$E$7)*'Harga per Penyedia'!$F$7+MAX(0,MIN(MAX(0,'Panggilan per Pesanan'!B16-'Harga per Penyedia'!$D$7),'Harga per Penyedia'!$G$7)-'Harga per Penyedia'!$E$7)*'Harga per Penyedia'!$H$7+MAX(0,MIN(MAX(0,'Panggilan per Pesanan'!B16-'Harga per Penyedia'!$D$7),'Harga per Penyedia'!$I$7)-'Harga per Penyedia'!$G$7)*'Harga per Penyedia'!$J$7+MAX(0,MIN(MAX(0,'Panggilan per Pesanan'!B16-'Harga per Penyedia'!$D$7),'Harga per Penyedia'!$K$7)-'Harga per Penyedia'!$I$7)*'Harga per Penyedia'!$L$7+MAX(0,MAX(0,'Panggilan per Pesanan'!B16-'Harga per Penyedia'!$D$7)-'Harga per Penyedia'!$K$7)*'Harga per Penyedia'!$M$7)/1000</f>
        <v/>
      </c>
      <c r="F9" s="19">
        <f>(MIN(MAX(0,'Panggilan per Pesanan'!C16-'Harga per Penyedia'!$D$7),'Harga per Penyedia'!$E$7)*'Harga per Penyedia'!$F$7+MAX(0,MIN(MAX(0,'Panggilan per Pesanan'!C16-'Harga per Penyedia'!$D$7),'Harga per Penyedia'!$G$7)-'Harga per Penyedia'!$E$7)*'Harga per Penyedia'!$H$7+MAX(0,MIN(MAX(0,'Panggilan per Pesanan'!C16-'Harga per Penyedia'!$D$7),'Harga per Penyedia'!$I$7)-'Harga per Penyedia'!$G$7)*'Harga per Penyedia'!$J$7+MAX(0,MIN(MAX(0,'Panggilan per Pesanan'!C16-'Harga per Penyedia'!$D$7),'Harga per Penyedia'!$K$7)-'Harga per Penyedia'!$I$7)*'Harga per Penyedia'!$L$7+MAX(0,MAX(0,'Panggilan per Pesanan'!C16-'Harga per Penyedia'!$D$7)-'Harga per Penyedia'!$K$7)*'Harga per Penyedia'!$M$7)/1000</f>
        <v/>
      </c>
      <c r="G9" s="19">
        <f>(MIN(MAX(0,'Panggilan per Pesanan'!D16-'Harga per Penyedia'!$D$7),'Harga per Penyedia'!$E$7)*'Harga per Penyedia'!$F$7+MAX(0,MIN(MAX(0,'Panggilan per Pesanan'!D16-'Harga per Penyedia'!$D$7),'Harga per Penyedia'!$G$7)-'Harga per Penyedia'!$E$7)*'Harga per Penyedia'!$H$7+MAX(0,MIN(MAX(0,'Panggilan per Pesanan'!D16-'Harga per Penyedia'!$D$7),'Harga per Penyedia'!$I$7)-'Harga per Penyedia'!$G$7)*'Harga per Penyedia'!$J$7+MAX(0,MIN(MAX(0,'Panggilan per Pesanan'!D16-'Harga per Penyedia'!$D$7),'Harga per Penyedia'!$K$7)-'Harga per Penyedia'!$I$7)*'Harga per Penyedia'!$L$7+MAX(0,MAX(0,'Panggilan per Pesanan'!D16-'Harga per Penyedia'!$D$7)-'Harga per Penyedia'!$K$7)*'Harga per Penyedia'!$M$7)/1000</f>
        <v/>
      </c>
      <c r="H9" s="19">
        <f>(MIN(MAX(0,'Panggilan per Pesanan'!E16-'Harga per Penyedia'!$D$7),'Harga per Penyedia'!$E$7)*'Harga per Penyedia'!$F$7+MAX(0,MIN(MAX(0,'Panggilan per Pesanan'!E16-'Harga per Penyedia'!$D$7),'Harga per Penyedia'!$G$7)-'Harga per Penyedia'!$E$7)*'Harga per Penyedia'!$H$7+MAX(0,MIN(MAX(0,'Panggilan per Pesanan'!E16-'Harga per Penyedia'!$D$7),'Harga per Penyedia'!$I$7)-'Harga per Penyedia'!$G$7)*'Harga per Penyedia'!$J$7+MAX(0,MIN(MAX(0,'Panggilan per Pesanan'!E16-'Harga per Penyedia'!$D$7),'Harga per Penyedia'!$K$7)-'Harga per Penyedia'!$I$7)*'Harga per Penyedia'!$L$7+MAX(0,MAX(0,'Panggilan per Pesanan'!E16-'Harga per Penyedia'!$D$7)-'Harga per Penyedia'!$K$7)*'Harga per Penyedia'!$M$7)/1000</f>
        <v/>
      </c>
      <c r="I9" s="19">
        <f>(MIN(MAX(0,'Panggilan per Pesanan'!F16-'Harga per Penyedia'!$D$7),'Harga per Penyedia'!$E$7)*'Harga per Penyedia'!$F$7+MAX(0,MIN(MAX(0,'Panggilan per Pesanan'!F16-'Harga per Penyedia'!$D$7),'Harga per Penyedia'!$G$7)-'Harga per Penyedia'!$E$7)*'Harga per Penyedia'!$H$7+MAX(0,MIN(MAX(0,'Panggilan per Pesanan'!F16-'Harga per Penyedia'!$D$7),'Harga per Penyedia'!$I$7)-'Harga per Penyedia'!$G$7)*'Harga per Penyedia'!$J$7+MAX(0,MIN(MAX(0,'Panggilan per Pesanan'!F16-'Harga per Penyedia'!$D$7),'Harga per Penyedia'!$K$7)-'Harga per Penyedia'!$I$7)*'Harga per Penyedia'!$L$7+MAX(0,MAX(0,'Panggilan per Pesanan'!F16-'Harga per Penyedia'!$D$7)-'Harga per Penyedia'!$K$7)*'Harga per Penyedia'!$M$7)/1000</f>
        <v/>
      </c>
      <c r="J9" s="19">
        <f>(MIN(MAX(0,'Panggilan per Pesanan'!G16-'Harga per Penyedia'!$D$7),'Harga per Penyedia'!$E$7)*'Harga per Penyedia'!$F$7+MAX(0,MIN(MAX(0,'Panggilan per Pesanan'!G16-'Harga per Penyedia'!$D$7),'Harga per Penyedia'!$G$7)-'Harga per Penyedia'!$E$7)*'Harga per Penyedia'!$H$7+MAX(0,MIN(MAX(0,'Panggilan per Pesanan'!G16-'Harga per Penyedia'!$D$7),'Harga per Penyedia'!$I$7)-'Harga per Penyedia'!$G$7)*'Harga per Penyedia'!$J$7+MAX(0,MIN(MAX(0,'Panggilan per Pesanan'!G16-'Harga per Penyedia'!$D$7),'Harga per Penyedia'!$K$7)-'Harga per Penyedia'!$I$7)*'Harga per Penyedia'!$L$7+MAX(0,MAX(0,'Panggilan per Pesanan'!G16-'Harga per Penyedia'!$D$7)-'Harga per Penyedia'!$K$7)*'Harga per Penyedia'!$M$7)/1000</f>
        <v/>
      </c>
      <c r="K9" s="5" t="inlineStr"/>
    </row>
    <row r="10">
      <c r="A10" s="20" t="inlineStr">
        <is>
          <t>TOTAL GOOGLE</t>
        </is>
      </c>
      <c r="B10" s="21" t="n"/>
      <c r="C10" s="21" t="n"/>
      <c r="D10" s="21" t="n"/>
      <c r="E10" s="22">
        <f>SUM(E6:E9)</f>
        <v/>
      </c>
      <c r="F10" s="22">
        <f>SUM(F6:F9)</f>
        <v/>
      </c>
      <c r="G10" s="22">
        <f>SUM(G6:G9)</f>
        <v/>
      </c>
      <c r="H10" s="22">
        <f>SUM(H6:H9)</f>
        <v/>
      </c>
      <c r="I10" s="22">
        <f>SUM(I6:I9)</f>
        <v/>
      </c>
      <c r="J10" s="22">
        <f>SUM(J6:J9)</f>
        <v/>
      </c>
    </row>
    <row r="12">
      <c r="A12" s="17" t="inlineStr">
        <is>
          <t>MAPBOX  —  [S-13]; Maps SDK Mobile ditagih per MAU, bukan per pemuatan peta atau ubin</t>
        </is>
      </c>
      <c r="B12" s="18" t="n"/>
      <c r="C12" s="18" t="n"/>
      <c r="D12" s="18" t="n"/>
      <c r="E12" s="18" t="n"/>
      <c r="F12" s="18" t="n"/>
      <c r="G12" s="18" t="n"/>
      <c r="H12" s="18" t="n"/>
      <c r="I12" s="18" t="n"/>
      <c r="J12" s="18" t="n"/>
      <c r="K12" s="18" t="n"/>
    </row>
    <row r="13">
      <c r="A13" s="4" t="inlineStr">
        <is>
          <t>SKU / komponen</t>
        </is>
      </c>
      <c r="B13" s="4" t="inlineStr">
        <is>
          <t>Unit A</t>
        </is>
      </c>
      <c r="C13" s="4" t="inlineStr">
        <is>
          <t>Unit B</t>
        </is>
      </c>
      <c r="D13" s="4" t="inlineStr">
        <is>
          <t>Unit C</t>
        </is>
      </c>
      <c r="E13" s="4" t="inlineStr">
        <is>
          <t>Biaya A ($)</t>
        </is>
      </c>
      <c r="F13" s="4" t="inlineStr">
        <is>
          <t>Biaya B ($)</t>
        </is>
      </c>
      <c r="G13" s="4" t="inlineStr">
        <is>
          <t>Biaya C ($)</t>
        </is>
      </c>
      <c r="H13" s="4" t="inlineStr">
        <is>
          <t>Hemat A ($)</t>
        </is>
      </c>
      <c r="I13" s="4" t="inlineStr">
        <is>
          <t>Hemat B ($)</t>
        </is>
      </c>
      <c r="J13" s="4" t="inlineStr">
        <is>
          <t>Hemat C ($)</t>
        </is>
      </c>
      <c r="K13" s="4" t="inlineStr">
        <is>
          <t>Catatan</t>
        </is>
      </c>
    </row>
    <row r="14">
      <c r="A14" s="5" t="inlineStr">
        <is>
          <t>Maps SDK for Mobile (per MAU)</t>
        </is>
      </c>
      <c r="B14" s="11">
        <f>'Panggilan per Pesanan'!B20</f>
        <v/>
      </c>
      <c r="C14" s="11">
        <f>'Panggilan per Pesanan'!C20</f>
        <v/>
      </c>
      <c r="D14" s="11">
        <f>'Panggilan per Pesanan'!D20</f>
        <v/>
      </c>
      <c r="E14" s="19">
        <f>(MIN(MAX(0,'Panggilan per Pesanan'!B20-'Harga per Penyedia'!$D$10),'Harga per Penyedia'!$E$10)*'Harga per Penyedia'!$F$10+MAX(0,MIN(MAX(0,'Panggilan per Pesanan'!B20-'Harga per Penyedia'!$D$10),'Harga per Penyedia'!$G$10)-'Harga per Penyedia'!$E$10)*'Harga per Penyedia'!$H$10+MAX(0,MIN(MAX(0,'Panggilan per Pesanan'!B20-'Harga per Penyedia'!$D$10),'Harga per Penyedia'!$I$10)-'Harga per Penyedia'!$G$10)*'Harga per Penyedia'!$J$10+MAX(0,MIN(MAX(0,'Panggilan per Pesanan'!B20-'Harga per Penyedia'!$D$10),'Harga per Penyedia'!$K$10)-'Harga per Penyedia'!$I$10)*'Harga per Penyedia'!$L$10+MAX(0,MAX(0,'Panggilan per Pesanan'!B20-'Harga per Penyedia'!$D$10)-'Harga per Penyedia'!$K$10)*'Harga per Penyedia'!$M$10)/1000</f>
        <v/>
      </c>
      <c r="F14" s="19">
        <f>(MIN(MAX(0,'Panggilan per Pesanan'!C20-'Harga per Penyedia'!$D$10),'Harga per Penyedia'!$E$10)*'Harga per Penyedia'!$F$10+MAX(0,MIN(MAX(0,'Panggilan per Pesanan'!C20-'Harga per Penyedia'!$D$10),'Harga per Penyedia'!$G$10)-'Harga per Penyedia'!$E$10)*'Harga per Penyedia'!$H$10+MAX(0,MIN(MAX(0,'Panggilan per Pesanan'!C20-'Harga per Penyedia'!$D$10),'Harga per Penyedia'!$I$10)-'Harga per Penyedia'!$G$10)*'Harga per Penyedia'!$J$10+MAX(0,MIN(MAX(0,'Panggilan per Pesanan'!C20-'Harga per Penyedia'!$D$10),'Harga per Penyedia'!$K$10)-'Harga per Penyedia'!$I$10)*'Harga per Penyedia'!$L$10+MAX(0,MAX(0,'Panggilan per Pesanan'!C20-'Harga per Penyedia'!$D$10)-'Harga per Penyedia'!$K$10)*'Harga per Penyedia'!$M$10)/1000</f>
        <v/>
      </c>
      <c r="G14" s="19">
        <f>(MIN(MAX(0,'Panggilan per Pesanan'!D20-'Harga per Penyedia'!$D$10),'Harga per Penyedia'!$E$10)*'Harga per Penyedia'!$F$10+MAX(0,MIN(MAX(0,'Panggilan per Pesanan'!D20-'Harga per Penyedia'!$D$10),'Harga per Penyedia'!$G$10)-'Harga per Penyedia'!$E$10)*'Harga per Penyedia'!$H$10+MAX(0,MIN(MAX(0,'Panggilan per Pesanan'!D20-'Harga per Penyedia'!$D$10),'Harga per Penyedia'!$I$10)-'Harga per Penyedia'!$G$10)*'Harga per Penyedia'!$J$10+MAX(0,MIN(MAX(0,'Panggilan per Pesanan'!D20-'Harga per Penyedia'!$D$10),'Harga per Penyedia'!$K$10)-'Harga per Penyedia'!$I$10)*'Harga per Penyedia'!$L$10+MAX(0,MAX(0,'Panggilan per Pesanan'!D20-'Harga per Penyedia'!$D$10)-'Harga per Penyedia'!$K$10)*'Harga per Penyedia'!$M$10)/1000</f>
        <v/>
      </c>
      <c r="H14" s="19">
        <f>(MIN(MAX(0,'Panggilan per Pesanan'!E20-'Harga per Penyedia'!$D$10),'Harga per Penyedia'!$E$10)*'Harga per Penyedia'!$F$10+MAX(0,MIN(MAX(0,'Panggilan per Pesanan'!E20-'Harga per Penyedia'!$D$10),'Harga per Penyedia'!$G$10)-'Harga per Penyedia'!$E$10)*'Harga per Penyedia'!$H$10+MAX(0,MIN(MAX(0,'Panggilan per Pesanan'!E20-'Harga per Penyedia'!$D$10),'Harga per Penyedia'!$I$10)-'Harga per Penyedia'!$G$10)*'Harga per Penyedia'!$J$10+MAX(0,MIN(MAX(0,'Panggilan per Pesanan'!E20-'Harga per Penyedia'!$D$10),'Harga per Penyedia'!$K$10)-'Harga per Penyedia'!$I$10)*'Harga per Penyedia'!$L$10+MAX(0,MAX(0,'Panggilan per Pesanan'!E20-'Harga per Penyedia'!$D$10)-'Harga per Penyedia'!$K$10)*'Harga per Penyedia'!$M$10)/1000</f>
        <v/>
      </c>
      <c r="I14" s="19">
        <f>(MIN(MAX(0,'Panggilan per Pesanan'!F20-'Harga per Penyedia'!$D$10),'Harga per Penyedia'!$E$10)*'Harga per Penyedia'!$F$10+MAX(0,MIN(MAX(0,'Panggilan per Pesanan'!F20-'Harga per Penyedia'!$D$10),'Harga per Penyedia'!$G$10)-'Harga per Penyedia'!$E$10)*'Harga per Penyedia'!$H$10+MAX(0,MIN(MAX(0,'Panggilan per Pesanan'!F20-'Harga per Penyedia'!$D$10),'Harga per Penyedia'!$I$10)-'Harga per Penyedia'!$G$10)*'Harga per Penyedia'!$J$10+MAX(0,MIN(MAX(0,'Panggilan per Pesanan'!F20-'Harga per Penyedia'!$D$10),'Harga per Penyedia'!$K$10)-'Harga per Penyedia'!$I$10)*'Harga per Penyedia'!$L$10+MAX(0,MAX(0,'Panggilan per Pesanan'!F20-'Harga per Penyedia'!$D$10)-'Harga per Penyedia'!$K$10)*'Harga per Penyedia'!$M$10)/1000</f>
        <v/>
      </c>
      <c r="J14" s="19">
        <f>(MIN(MAX(0,'Panggilan per Pesanan'!G20-'Harga per Penyedia'!$D$10),'Harga per Penyedia'!$E$10)*'Harga per Penyedia'!$F$10+MAX(0,MIN(MAX(0,'Panggilan per Pesanan'!G20-'Harga per Penyedia'!$D$10),'Harga per Penyedia'!$G$10)-'Harga per Penyedia'!$E$10)*'Harga per Penyedia'!$H$10+MAX(0,MIN(MAX(0,'Panggilan per Pesanan'!G20-'Harga per Penyedia'!$D$10),'Harga per Penyedia'!$I$10)-'Harga per Penyedia'!$G$10)*'Harga per Penyedia'!$J$10+MAX(0,MIN(MAX(0,'Panggilan per Pesanan'!G20-'Harga per Penyedia'!$D$10),'Harga per Penyedia'!$K$10)-'Harga per Penyedia'!$I$10)*'Harga per Penyedia'!$L$10+MAX(0,MAX(0,'Panggilan per Pesanan'!G20-'Harga per Penyedia'!$D$10)-'Harga per Penyedia'!$K$10)*'Harga per Penyedia'!$M$10)/1000</f>
        <v/>
      </c>
      <c r="K14" s="5" t="inlineStr">
        <is>
          <t>Ubin &amp; gambar-ulang TIDAK menambah biaya</t>
        </is>
      </c>
    </row>
    <row r="15">
      <c r="A15" s="5" t="inlineStr">
        <is>
          <t>Search Box API (per sesi)</t>
        </is>
      </c>
      <c r="B15" s="11">
        <f>'Panggilan per Pesanan'!B19</f>
        <v/>
      </c>
      <c r="C15" s="11">
        <f>'Panggilan per Pesanan'!C19</f>
        <v/>
      </c>
      <c r="D15" s="11">
        <f>'Panggilan per Pesanan'!D19</f>
        <v/>
      </c>
      <c r="E15" s="19">
        <f>(MIN(MAX(0,'Panggilan per Pesanan'!B19-'Harga per Penyedia'!$D$11),'Harga per Penyedia'!$E$11)*'Harga per Penyedia'!$F$11+MAX(0,MIN(MAX(0,'Panggilan per Pesanan'!B19-'Harga per Penyedia'!$D$11),'Harga per Penyedia'!$G$11)-'Harga per Penyedia'!$E$11)*'Harga per Penyedia'!$H$11+MAX(0,MIN(MAX(0,'Panggilan per Pesanan'!B19-'Harga per Penyedia'!$D$11),'Harga per Penyedia'!$I$11)-'Harga per Penyedia'!$G$11)*'Harga per Penyedia'!$J$11+MAX(0,MIN(MAX(0,'Panggilan per Pesanan'!B19-'Harga per Penyedia'!$D$11),'Harga per Penyedia'!$K$11)-'Harga per Penyedia'!$I$11)*'Harga per Penyedia'!$L$11+MAX(0,MAX(0,'Panggilan per Pesanan'!B19-'Harga per Penyedia'!$D$11)-'Harga per Penyedia'!$K$11)*'Harga per Penyedia'!$M$11)/1000</f>
        <v/>
      </c>
      <c r="F15" s="19">
        <f>(MIN(MAX(0,'Panggilan per Pesanan'!C19-'Harga per Penyedia'!$D$11),'Harga per Penyedia'!$E$11)*'Harga per Penyedia'!$F$11+MAX(0,MIN(MAX(0,'Panggilan per Pesanan'!C19-'Harga per Penyedia'!$D$11),'Harga per Penyedia'!$G$11)-'Harga per Penyedia'!$E$11)*'Harga per Penyedia'!$H$11+MAX(0,MIN(MAX(0,'Panggilan per Pesanan'!C19-'Harga per Penyedia'!$D$11),'Harga per Penyedia'!$I$11)-'Harga per Penyedia'!$G$11)*'Harga per Penyedia'!$J$11+MAX(0,MIN(MAX(0,'Panggilan per Pesanan'!C19-'Harga per Penyedia'!$D$11),'Harga per Penyedia'!$K$11)-'Harga per Penyedia'!$I$11)*'Harga per Penyedia'!$L$11+MAX(0,MAX(0,'Panggilan per Pesanan'!C19-'Harga per Penyedia'!$D$11)-'Harga per Penyedia'!$K$11)*'Harga per Penyedia'!$M$11)/1000</f>
        <v/>
      </c>
      <c r="G15" s="19">
        <f>(MIN(MAX(0,'Panggilan per Pesanan'!D19-'Harga per Penyedia'!$D$11),'Harga per Penyedia'!$E$11)*'Harga per Penyedia'!$F$11+MAX(0,MIN(MAX(0,'Panggilan per Pesanan'!D19-'Harga per Penyedia'!$D$11),'Harga per Penyedia'!$G$11)-'Harga per Penyedia'!$E$11)*'Harga per Penyedia'!$H$11+MAX(0,MIN(MAX(0,'Panggilan per Pesanan'!D19-'Harga per Penyedia'!$D$11),'Harga per Penyedia'!$I$11)-'Harga per Penyedia'!$G$11)*'Harga per Penyedia'!$J$11+MAX(0,MIN(MAX(0,'Panggilan per Pesanan'!D19-'Harga per Penyedia'!$D$11),'Harga per Penyedia'!$K$11)-'Harga per Penyedia'!$I$11)*'Harga per Penyedia'!$L$11+MAX(0,MAX(0,'Panggilan per Pesanan'!D19-'Harga per Penyedia'!$D$11)-'Harga per Penyedia'!$K$11)*'Harga per Penyedia'!$M$11)/1000</f>
        <v/>
      </c>
      <c r="H15" s="19">
        <f>(MIN(MAX(0,'Panggilan per Pesanan'!E19-'Harga per Penyedia'!$D$11),'Harga per Penyedia'!$E$11)*'Harga per Penyedia'!$F$11+MAX(0,MIN(MAX(0,'Panggilan per Pesanan'!E19-'Harga per Penyedia'!$D$11),'Harga per Penyedia'!$G$11)-'Harga per Penyedia'!$E$11)*'Harga per Penyedia'!$H$11+MAX(0,MIN(MAX(0,'Panggilan per Pesanan'!E19-'Harga per Penyedia'!$D$11),'Harga per Penyedia'!$I$11)-'Harga per Penyedia'!$G$11)*'Harga per Penyedia'!$J$11+MAX(0,MIN(MAX(0,'Panggilan per Pesanan'!E19-'Harga per Penyedia'!$D$11),'Harga per Penyedia'!$K$11)-'Harga per Penyedia'!$I$11)*'Harga per Penyedia'!$L$11+MAX(0,MAX(0,'Panggilan per Pesanan'!E19-'Harga per Penyedia'!$D$11)-'Harga per Penyedia'!$K$11)*'Harga per Penyedia'!$M$11)/1000</f>
        <v/>
      </c>
      <c r="I15" s="19">
        <f>(MIN(MAX(0,'Panggilan per Pesanan'!F19-'Harga per Penyedia'!$D$11),'Harga per Penyedia'!$E$11)*'Harga per Penyedia'!$F$11+MAX(0,MIN(MAX(0,'Panggilan per Pesanan'!F19-'Harga per Penyedia'!$D$11),'Harga per Penyedia'!$G$11)-'Harga per Penyedia'!$E$11)*'Harga per Penyedia'!$H$11+MAX(0,MIN(MAX(0,'Panggilan per Pesanan'!F19-'Harga per Penyedia'!$D$11),'Harga per Penyedia'!$I$11)-'Harga per Penyedia'!$G$11)*'Harga per Penyedia'!$J$11+MAX(0,MIN(MAX(0,'Panggilan per Pesanan'!F19-'Harga per Penyedia'!$D$11),'Harga per Penyedia'!$K$11)-'Harga per Penyedia'!$I$11)*'Harga per Penyedia'!$L$11+MAX(0,MAX(0,'Panggilan per Pesanan'!F19-'Harga per Penyedia'!$D$11)-'Harga per Penyedia'!$K$11)*'Harga per Penyedia'!$M$11)/1000</f>
        <v/>
      </c>
      <c r="J15" s="19">
        <f>(MIN(MAX(0,'Panggilan per Pesanan'!G19-'Harga per Penyedia'!$D$11),'Harga per Penyedia'!$E$11)*'Harga per Penyedia'!$F$11+MAX(0,MIN(MAX(0,'Panggilan per Pesanan'!G19-'Harga per Penyedia'!$D$11),'Harga per Penyedia'!$G$11)-'Harga per Penyedia'!$E$11)*'Harga per Penyedia'!$H$11+MAX(0,MIN(MAX(0,'Panggilan per Pesanan'!G19-'Harga per Penyedia'!$D$11),'Harga per Penyedia'!$I$11)-'Harga per Penyedia'!$G$11)*'Harga per Penyedia'!$J$11+MAX(0,MIN(MAX(0,'Panggilan per Pesanan'!G19-'Harga per Penyedia'!$D$11),'Harga per Penyedia'!$K$11)-'Harga per Penyedia'!$I$11)*'Harga per Penyedia'!$L$11+MAX(0,MAX(0,'Panggilan per Pesanan'!G19-'Harga per Penyedia'!$D$11)-'Harga per Penyedia'!$K$11)*'Harga per Penyedia'!$M$11)/1000</f>
        <v/>
      </c>
      <c r="K15" s="5" t="inlineStr"/>
    </row>
    <row r="16">
      <c r="A16" s="5" t="inlineStr">
        <is>
          <t>Directions API</t>
        </is>
      </c>
      <c r="B16" s="11">
        <f>'Panggilan per Pesanan'!B16</f>
        <v/>
      </c>
      <c r="C16" s="11">
        <f>'Panggilan per Pesanan'!C16</f>
        <v/>
      </c>
      <c r="D16" s="11">
        <f>'Panggilan per Pesanan'!D16</f>
        <v/>
      </c>
      <c r="E16" s="19">
        <f>(MIN(MAX(0,'Panggilan per Pesanan'!B16-'Harga per Penyedia'!$D$12),'Harga per Penyedia'!$E$12)*'Harga per Penyedia'!$F$12+MAX(0,MIN(MAX(0,'Panggilan per Pesanan'!B16-'Harga per Penyedia'!$D$12),'Harga per Penyedia'!$G$12)-'Harga per Penyedia'!$E$12)*'Harga per Penyedia'!$H$12+MAX(0,MIN(MAX(0,'Panggilan per Pesanan'!B16-'Harga per Penyedia'!$D$12),'Harga per Penyedia'!$I$12)-'Harga per Penyedia'!$G$12)*'Harga per Penyedia'!$J$12+MAX(0,MIN(MAX(0,'Panggilan per Pesanan'!B16-'Harga per Penyedia'!$D$12),'Harga per Penyedia'!$K$12)-'Harga per Penyedia'!$I$12)*'Harga per Penyedia'!$L$12+MAX(0,MAX(0,'Panggilan per Pesanan'!B16-'Harga per Penyedia'!$D$12)-'Harga per Penyedia'!$K$12)*'Harga per Penyedia'!$M$12)/1000</f>
        <v/>
      </c>
      <c r="F16" s="19">
        <f>(MIN(MAX(0,'Panggilan per Pesanan'!C16-'Harga per Penyedia'!$D$12),'Harga per Penyedia'!$E$12)*'Harga per Penyedia'!$F$12+MAX(0,MIN(MAX(0,'Panggilan per Pesanan'!C16-'Harga per Penyedia'!$D$12),'Harga per Penyedia'!$G$12)-'Harga per Penyedia'!$E$12)*'Harga per Penyedia'!$H$12+MAX(0,MIN(MAX(0,'Panggilan per Pesanan'!C16-'Harga per Penyedia'!$D$12),'Harga per Penyedia'!$I$12)-'Harga per Penyedia'!$G$12)*'Harga per Penyedia'!$J$12+MAX(0,MIN(MAX(0,'Panggilan per Pesanan'!C16-'Harga per Penyedia'!$D$12),'Harga per Penyedia'!$K$12)-'Harga per Penyedia'!$I$12)*'Harga per Penyedia'!$L$12+MAX(0,MAX(0,'Panggilan per Pesanan'!C16-'Harga per Penyedia'!$D$12)-'Harga per Penyedia'!$K$12)*'Harga per Penyedia'!$M$12)/1000</f>
        <v/>
      </c>
      <c r="G16" s="19">
        <f>(MIN(MAX(0,'Panggilan per Pesanan'!D16-'Harga per Penyedia'!$D$12),'Harga per Penyedia'!$E$12)*'Harga per Penyedia'!$F$12+MAX(0,MIN(MAX(0,'Panggilan per Pesanan'!D16-'Harga per Penyedia'!$D$12),'Harga per Penyedia'!$G$12)-'Harga per Penyedia'!$E$12)*'Harga per Penyedia'!$H$12+MAX(0,MIN(MAX(0,'Panggilan per Pesanan'!D16-'Harga per Penyedia'!$D$12),'Harga per Penyedia'!$I$12)-'Harga per Penyedia'!$G$12)*'Harga per Penyedia'!$J$12+MAX(0,MIN(MAX(0,'Panggilan per Pesanan'!D16-'Harga per Penyedia'!$D$12),'Harga per Penyedia'!$K$12)-'Harga per Penyedia'!$I$12)*'Harga per Penyedia'!$L$12+MAX(0,MAX(0,'Panggilan per Pesanan'!D16-'Harga per Penyedia'!$D$12)-'Harga per Penyedia'!$K$12)*'Harga per Penyedia'!$M$12)/1000</f>
        <v/>
      </c>
      <c r="H16" s="19">
        <f>(MIN(MAX(0,'Panggilan per Pesanan'!E16-'Harga per Penyedia'!$D$12),'Harga per Penyedia'!$E$12)*'Harga per Penyedia'!$F$12+MAX(0,MIN(MAX(0,'Panggilan per Pesanan'!E16-'Harga per Penyedia'!$D$12),'Harga per Penyedia'!$G$12)-'Harga per Penyedia'!$E$12)*'Harga per Penyedia'!$H$12+MAX(0,MIN(MAX(0,'Panggilan per Pesanan'!E16-'Harga per Penyedia'!$D$12),'Harga per Penyedia'!$I$12)-'Harga per Penyedia'!$G$12)*'Harga per Penyedia'!$J$12+MAX(0,MIN(MAX(0,'Panggilan per Pesanan'!E16-'Harga per Penyedia'!$D$12),'Harga per Penyedia'!$K$12)-'Harga per Penyedia'!$I$12)*'Harga per Penyedia'!$L$12+MAX(0,MAX(0,'Panggilan per Pesanan'!E16-'Harga per Penyedia'!$D$12)-'Harga per Penyedia'!$K$12)*'Harga per Penyedia'!$M$12)/1000</f>
        <v/>
      </c>
      <c r="I16" s="19">
        <f>(MIN(MAX(0,'Panggilan per Pesanan'!F16-'Harga per Penyedia'!$D$12),'Harga per Penyedia'!$E$12)*'Harga per Penyedia'!$F$12+MAX(0,MIN(MAX(0,'Panggilan per Pesanan'!F16-'Harga per Penyedia'!$D$12),'Harga per Penyedia'!$G$12)-'Harga per Penyedia'!$E$12)*'Harga per Penyedia'!$H$12+MAX(0,MIN(MAX(0,'Panggilan per Pesanan'!F16-'Harga per Penyedia'!$D$12),'Harga per Penyedia'!$I$12)-'Harga per Penyedia'!$G$12)*'Harga per Penyedia'!$J$12+MAX(0,MIN(MAX(0,'Panggilan per Pesanan'!F16-'Harga per Penyedia'!$D$12),'Harga per Penyedia'!$K$12)-'Harga per Penyedia'!$I$12)*'Harga per Penyedia'!$L$12+MAX(0,MAX(0,'Panggilan per Pesanan'!F16-'Harga per Penyedia'!$D$12)-'Harga per Penyedia'!$K$12)*'Harga per Penyedia'!$M$12)/1000</f>
        <v/>
      </c>
      <c r="J16" s="19">
        <f>(MIN(MAX(0,'Panggilan per Pesanan'!G16-'Harga per Penyedia'!$D$12),'Harga per Penyedia'!$E$12)*'Harga per Penyedia'!$F$12+MAX(0,MIN(MAX(0,'Panggilan per Pesanan'!G16-'Harga per Penyedia'!$D$12),'Harga per Penyedia'!$G$12)-'Harga per Penyedia'!$E$12)*'Harga per Penyedia'!$H$12+MAX(0,MIN(MAX(0,'Panggilan per Pesanan'!G16-'Harga per Penyedia'!$D$12),'Harga per Penyedia'!$I$12)-'Harga per Penyedia'!$G$12)*'Harga per Penyedia'!$J$12+MAX(0,MIN(MAX(0,'Panggilan per Pesanan'!G16-'Harga per Penyedia'!$D$12),'Harga per Penyedia'!$K$12)-'Harga per Penyedia'!$I$12)*'Harga per Penyedia'!$L$12+MAX(0,MAX(0,'Panggilan per Pesanan'!G16-'Harga per Penyedia'!$D$12)-'Harga per Penyedia'!$K$12)*'Harga per Penyedia'!$M$12)/1000</f>
        <v/>
      </c>
      <c r="K16" s="5" t="inlineStr"/>
    </row>
    <row r="17">
      <c r="A17" s="20" t="inlineStr">
        <is>
          <t>TOTAL MAPBOX</t>
        </is>
      </c>
      <c r="B17" s="21" t="n"/>
      <c r="C17" s="21" t="n"/>
      <c r="D17" s="21" t="n"/>
      <c r="E17" s="22">
        <f>SUM(E14:E16)</f>
        <v/>
      </c>
      <c r="F17" s="22">
        <f>SUM(F14:F16)</f>
        <v/>
      </c>
      <c r="G17" s="22">
        <f>SUM(G14:G16)</f>
        <v/>
      </c>
      <c r="H17" s="22">
        <f>SUM(H14:H16)</f>
        <v/>
      </c>
      <c r="I17" s="22">
        <f>SUM(I14:I16)</f>
        <v/>
      </c>
      <c r="J17" s="22">
        <f>SUM(J14:J16)</f>
        <v/>
      </c>
    </row>
    <row r="19">
      <c r="A19" s="17" t="inlineStr">
        <is>
          <t>MAPTILER (paket Flex)  —  [S-14]; TIDAK menyediakan routing, perlu penyedia rute terpisah</t>
        </is>
      </c>
      <c r="B19" s="18" t="n"/>
      <c r="C19" s="18" t="n"/>
      <c r="D19" s="18" t="n"/>
      <c r="E19" s="18" t="n"/>
      <c r="F19" s="18" t="n"/>
      <c r="G19" s="18" t="n"/>
      <c r="H19" s="18" t="n"/>
      <c r="I19" s="18" t="n"/>
      <c r="J19" s="18" t="n"/>
      <c r="K19" s="18" t="n"/>
    </row>
    <row r="20">
      <c r="A20" s="4" t="inlineStr">
        <is>
          <t>SKU / komponen</t>
        </is>
      </c>
      <c r="B20" s="4" t="inlineStr">
        <is>
          <t>Unit A</t>
        </is>
      </c>
      <c r="C20" s="4" t="inlineStr">
        <is>
          <t>Unit B</t>
        </is>
      </c>
      <c r="D20" s="4" t="inlineStr">
        <is>
          <t>Unit C</t>
        </is>
      </c>
      <c r="E20" s="4" t="inlineStr">
        <is>
          <t>Biaya A ($)</t>
        </is>
      </c>
      <c r="F20" s="4" t="inlineStr">
        <is>
          <t>Biaya B ($)</t>
        </is>
      </c>
      <c r="G20" s="4" t="inlineStr">
        <is>
          <t>Biaya C ($)</t>
        </is>
      </c>
      <c r="H20" s="4" t="inlineStr">
        <is>
          <t>Hemat A ($)</t>
        </is>
      </c>
      <c r="I20" s="4" t="inlineStr">
        <is>
          <t>Hemat B ($)</t>
        </is>
      </c>
      <c r="J20" s="4" t="inlineStr">
        <is>
          <t>Hemat C ($)</t>
        </is>
      </c>
      <c r="K20" s="4" t="inlineStr">
        <is>
          <t>Catatan</t>
        </is>
      </c>
    </row>
    <row r="21">
      <c r="A21" s="5" t="inlineStr">
        <is>
          <t>Sesi peta</t>
        </is>
      </c>
      <c r="B21" s="11">
        <f>'Panggilan per Pesanan'!B17</f>
        <v/>
      </c>
      <c r="C21" s="11">
        <f>'Panggilan per Pesanan'!C17</f>
        <v/>
      </c>
      <c r="D21" s="11">
        <f>'Panggilan per Pesanan'!D17</f>
        <v/>
      </c>
      <c r="E21" s="19">
        <f>(MIN(MAX(0,'Panggilan per Pesanan'!B17-'Harga per Penyedia'!$D$14),'Harga per Penyedia'!$E$14)*'Harga per Penyedia'!$F$14+MAX(0,MIN(MAX(0,'Panggilan per Pesanan'!B17-'Harga per Penyedia'!$D$14),'Harga per Penyedia'!$G$14)-'Harga per Penyedia'!$E$14)*'Harga per Penyedia'!$H$14+MAX(0,MIN(MAX(0,'Panggilan per Pesanan'!B17-'Harga per Penyedia'!$D$14),'Harga per Penyedia'!$I$14)-'Harga per Penyedia'!$G$14)*'Harga per Penyedia'!$J$14+MAX(0,MIN(MAX(0,'Panggilan per Pesanan'!B17-'Harga per Penyedia'!$D$14),'Harga per Penyedia'!$K$14)-'Harga per Penyedia'!$I$14)*'Harga per Penyedia'!$L$14+MAX(0,MAX(0,'Panggilan per Pesanan'!B17-'Harga per Penyedia'!$D$14)-'Harga per Penyedia'!$K$14)*'Harga per Penyedia'!$M$14)/1000</f>
        <v/>
      </c>
      <c r="F21" s="19">
        <f>(MIN(MAX(0,'Panggilan per Pesanan'!C17-'Harga per Penyedia'!$D$14),'Harga per Penyedia'!$E$14)*'Harga per Penyedia'!$F$14+MAX(0,MIN(MAX(0,'Panggilan per Pesanan'!C17-'Harga per Penyedia'!$D$14),'Harga per Penyedia'!$G$14)-'Harga per Penyedia'!$E$14)*'Harga per Penyedia'!$H$14+MAX(0,MIN(MAX(0,'Panggilan per Pesanan'!C17-'Harga per Penyedia'!$D$14),'Harga per Penyedia'!$I$14)-'Harga per Penyedia'!$G$14)*'Harga per Penyedia'!$J$14+MAX(0,MIN(MAX(0,'Panggilan per Pesanan'!C17-'Harga per Penyedia'!$D$14),'Harga per Penyedia'!$K$14)-'Harga per Penyedia'!$I$14)*'Harga per Penyedia'!$L$14+MAX(0,MAX(0,'Panggilan per Pesanan'!C17-'Harga per Penyedia'!$D$14)-'Harga per Penyedia'!$K$14)*'Harga per Penyedia'!$M$14)/1000</f>
        <v/>
      </c>
      <c r="G21" s="19">
        <f>(MIN(MAX(0,'Panggilan per Pesanan'!D17-'Harga per Penyedia'!$D$14),'Harga per Penyedia'!$E$14)*'Harga per Penyedia'!$F$14+MAX(0,MIN(MAX(0,'Panggilan per Pesanan'!D17-'Harga per Penyedia'!$D$14),'Harga per Penyedia'!$G$14)-'Harga per Penyedia'!$E$14)*'Harga per Penyedia'!$H$14+MAX(0,MIN(MAX(0,'Panggilan per Pesanan'!D17-'Harga per Penyedia'!$D$14),'Harga per Penyedia'!$I$14)-'Harga per Penyedia'!$G$14)*'Harga per Penyedia'!$J$14+MAX(0,MIN(MAX(0,'Panggilan per Pesanan'!D17-'Harga per Penyedia'!$D$14),'Harga per Penyedia'!$K$14)-'Harga per Penyedia'!$I$14)*'Harga per Penyedia'!$L$14+MAX(0,MAX(0,'Panggilan per Pesanan'!D17-'Harga per Penyedia'!$D$14)-'Harga per Penyedia'!$K$14)*'Harga per Penyedia'!$M$14)/1000</f>
        <v/>
      </c>
      <c r="H21" s="19">
        <f>(MIN(MAX(0,'Panggilan per Pesanan'!E17-'Harga per Penyedia'!$D$14),'Harga per Penyedia'!$E$14)*'Harga per Penyedia'!$F$14+MAX(0,MIN(MAX(0,'Panggilan per Pesanan'!E17-'Harga per Penyedia'!$D$14),'Harga per Penyedia'!$G$14)-'Harga per Penyedia'!$E$14)*'Harga per Penyedia'!$H$14+MAX(0,MIN(MAX(0,'Panggilan per Pesanan'!E17-'Harga per Penyedia'!$D$14),'Harga per Penyedia'!$I$14)-'Harga per Penyedia'!$G$14)*'Harga per Penyedia'!$J$14+MAX(0,MIN(MAX(0,'Panggilan per Pesanan'!E17-'Harga per Penyedia'!$D$14),'Harga per Penyedia'!$K$14)-'Harga per Penyedia'!$I$14)*'Harga per Penyedia'!$L$14+MAX(0,MAX(0,'Panggilan per Pesanan'!E17-'Harga per Penyedia'!$D$14)-'Harga per Penyedia'!$K$14)*'Harga per Penyedia'!$M$14)/1000</f>
        <v/>
      </c>
      <c r="I21" s="19">
        <f>(MIN(MAX(0,'Panggilan per Pesanan'!F17-'Harga per Penyedia'!$D$14),'Harga per Penyedia'!$E$14)*'Harga per Penyedia'!$F$14+MAX(0,MIN(MAX(0,'Panggilan per Pesanan'!F17-'Harga per Penyedia'!$D$14),'Harga per Penyedia'!$G$14)-'Harga per Penyedia'!$E$14)*'Harga per Penyedia'!$H$14+MAX(0,MIN(MAX(0,'Panggilan per Pesanan'!F17-'Harga per Penyedia'!$D$14),'Harga per Penyedia'!$I$14)-'Harga per Penyedia'!$G$14)*'Harga per Penyedia'!$J$14+MAX(0,MIN(MAX(0,'Panggilan per Pesanan'!F17-'Harga per Penyedia'!$D$14),'Harga per Penyedia'!$K$14)-'Harga per Penyedia'!$I$14)*'Harga per Penyedia'!$L$14+MAX(0,MAX(0,'Panggilan per Pesanan'!F17-'Harga per Penyedia'!$D$14)-'Harga per Penyedia'!$K$14)*'Harga per Penyedia'!$M$14)/1000</f>
        <v/>
      </c>
      <c r="J21" s="19">
        <f>(MIN(MAX(0,'Panggilan per Pesanan'!G17-'Harga per Penyedia'!$D$14),'Harga per Penyedia'!$E$14)*'Harga per Penyedia'!$F$14+MAX(0,MIN(MAX(0,'Panggilan per Pesanan'!G17-'Harga per Penyedia'!$D$14),'Harga per Penyedia'!$G$14)-'Harga per Penyedia'!$E$14)*'Harga per Penyedia'!$H$14+MAX(0,MIN(MAX(0,'Panggilan per Pesanan'!G17-'Harga per Penyedia'!$D$14),'Harga per Penyedia'!$I$14)-'Harga per Penyedia'!$G$14)*'Harga per Penyedia'!$J$14+MAX(0,MIN(MAX(0,'Panggilan per Pesanan'!G17-'Harga per Penyedia'!$D$14),'Harga per Penyedia'!$K$14)-'Harga per Penyedia'!$I$14)*'Harga per Penyedia'!$L$14+MAX(0,MAX(0,'Panggilan per Pesanan'!G17-'Harga per Penyedia'!$D$14)-'Harga per Penyedia'!$K$14)*'Harga per Penyedia'!$M$14)/1000</f>
        <v/>
      </c>
      <c r="K21" s="5" t="inlineStr"/>
    </row>
    <row r="22">
      <c r="A22" s="5" t="inlineStr">
        <is>
          <t>Sesi pencarian</t>
        </is>
      </c>
      <c r="B22" s="11">
        <f>'Panggilan per Pesanan'!B19</f>
        <v/>
      </c>
      <c r="C22" s="11">
        <f>'Panggilan per Pesanan'!C19</f>
        <v/>
      </c>
      <c r="D22" s="11">
        <f>'Panggilan per Pesanan'!D19</f>
        <v/>
      </c>
      <c r="E22" s="19">
        <f>(MIN(MAX(0,'Panggilan per Pesanan'!B19-'Harga per Penyedia'!$D$15),'Harga per Penyedia'!$E$15)*'Harga per Penyedia'!$F$15+MAX(0,MIN(MAX(0,'Panggilan per Pesanan'!B19-'Harga per Penyedia'!$D$15),'Harga per Penyedia'!$G$15)-'Harga per Penyedia'!$E$15)*'Harga per Penyedia'!$H$15+MAX(0,MIN(MAX(0,'Panggilan per Pesanan'!B19-'Harga per Penyedia'!$D$15),'Harga per Penyedia'!$I$15)-'Harga per Penyedia'!$G$15)*'Harga per Penyedia'!$J$15+MAX(0,MIN(MAX(0,'Panggilan per Pesanan'!B19-'Harga per Penyedia'!$D$15),'Harga per Penyedia'!$K$15)-'Harga per Penyedia'!$I$15)*'Harga per Penyedia'!$L$15+MAX(0,MAX(0,'Panggilan per Pesanan'!B19-'Harga per Penyedia'!$D$15)-'Harga per Penyedia'!$K$15)*'Harga per Penyedia'!$M$15)/1000</f>
        <v/>
      </c>
      <c r="F22" s="19">
        <f>(MIN(MAX(0,'Panggilan per Pesanan'!C19-'Harga per Penyedia'!$D$15),'Harga per Penyedia'!$E$15)*'Harga per Penyedia'!$F$15+MAX(0,MIN(MAX(0,'Panggilan per Pesanan'!C19-'Harga per Penyedia'!$D$15),'Harga per Penyedia'!$G$15)-'Harga per Penyedia'!$E$15)*'Harga per Penyedia'!$H$15+MAX(0,MIN(MAX(0,'Panggilan per Pesanan'!C19-'Harga per Penyedia'!$D$15),'Harga per Penyedia'!$I$15)-'Harga per Penyedia'!$G$15)*'Harga per Penyedia'!$J$15+MAX(0,MIN(MAX(0,'Panggilan per Pesanan'!C19-'Harga per Penyedia'!$D$15),'Harga per Penyedia'!$K$15)-'Harga per Penyedia'!$I$15)*'Harga per Penyedia'!$L$15+MAX(0,MAX(0,'Panggilan per Pesanan'!C19-'Harga per Penyedia'!$D$15)-'Harga per Penyedia'!$K$15)*'Harga per Penyedia'!$M$15)/1000</f>
        <v/>
      </c>
      <c r="G22" s="19">
        <f>(MIN(MAX(0,'Panggilan per Pesanan'!D19-'Harga per Penyedia'!$D$15),'Harga per Penyedia'!$E$15)*'Harga per Penyedia'!$F$15+MAX(0,MIN(MAX(0,'Panggilan per Pesanan'!D19-'Harga per Penyedia'!$D$15),'Harga per Penyedia'!$G$15)-'Harga per Penyedia'!$E$15)*'Harga per Penyedia'!$H$15+MAX(0,MIN(MAX(0,'Panggilan per Pesanan'!D19-'Harga per Penyedia'!$D$15),'Harga per Penyedia'!$I$15)-'Harga per Penyedia'!$G$15)*'Harga per Penyedia'!$J$15+MAX(0,MIN(MAX(0,'Panggilan per Pesanan'!D19-'Harga per Penyedia'!$D$15),'Harga per Penyedia'!$K$15)-'Harga per Penyedia'!$I$15)*'Harga per Penyedia'!$L$15+MAX(0,MAX(0,'Panggilan per Pesanan'!D19-'Harga per Penyedia'!$D$15)-'Harga per Penyedia'!$K$15)*'Harga per Penyedia'!$M$15)/1000</f>
        <v/>
      </c>
      <c r="H22" s="19">
        <f>(MIN(MAX(0,'Panggilan per Pesanan'!E19-'Harga per Penyedia'!$D$15),'Harga per Penyedia'!$E$15)*'Harga per Penyedia'!$F$15+MAX(0,MIN(MAX(0,'Panggilan per Pesanan'!E19-'Harga per Penyedia'!$D$15),'Harga per Penyedia'!$G$15)-'Harga per Penyedia'!$E$15)*'Harga per Penyedia'!$H$15+MAX(0,MIN(MAX(0,'Panggilan per Pesanan'!E19-'Harga per Penyedia'!$D$15),'Harga per Penyedia'!$I$15)-'Harga per Penyedia'!$G$15)*'Harga per Penyedia'!$J$15+MAX(0,MIN(MAX(0,'Panggilan per Pesanan'!E19-'Harga per Penyedia'!$D$15),'Harga per Penyedia'!$K$15)-'Harga per Penyedia'!$I$15)*'Harga per Penyedia'!$L$15+MAX(0,MAX(0,'Panggilan per Pesanan'!E19-'Harga per Penyedia'!$D$15)-'Harga per Penyedia'!$K$15)*'Harga per Penyedia'!$M$15)/1000</f>
        <v/>
      </c>
      <c r="I22" s="19">
        <f>(MIN(MAX(0,'Panggilan per Pesanan'!F19-'Harga per Penyedia'!$D$15),'Harga per Penyedia'!$E$15)*'Harga per Penyedia'!$F$15+MAX(0,MIN(MAX(0,'Panggilan per Pesanan'!F19-'Harga per Penyedia'!$D$15),'Harga per Penyedia'!$G$15)-'Harga per Penyedia'!$E$15)*'Harga per Penyedia'!$H$15+MAX(0,MIN(MAX(0,'Panggilan per Pesanan'!F19-'Harga per Penyedia'!$D$15),'Harga per Penyedia'!$I$15)-'Harga per Penyedia'!$G$15)*'Harga per Penyedia'!$J$15+MAX(0,MIN(MAX(0,'Panggilan per Pesanan'!F19-'Harga per Penyedia'!$D$15),'Harga per Penyedia'!$K$15)-'Harga per Penyedia'!$I$15)*'Harga per Penyedia'!$L$15+MAX(0,MAX(0,'Panggilan per Pesanan'!F19-'Harga per Penyedia'!$D$15)-'Harga per Penyedia'!$K$15)*'Harga per Penyedia'!$M$15)/1000</f>
        <v/>
      </c>
      <c r="J22" s="19">
        <f>(MIN(MAX(0,'Panggilan per Pesanan'!G19-'Harga per Penyedia'!$D$15),'Harga per Penyedia'!$E$15)*'Harga per Penyedia'!$F$15+MAX(0,MIN(MAX(0,'Panggilan per Pesanan'!G19-'Harga per Penyedia'!$D$15),'Harga per Penyedia'!$G$15)-'Harga per Penyedia'!$E$15)*'Harga per Penyedia'!$H$15+MAX(0,MIN(MAX(0,'Panggilan per Pesanan'!G19-'Harga per Penyedia'!$D$15),'Harga per Penyedia'!$I$15)-'Harga per Penyedia'!$G$15)*'Harga per Penyedia'!$J$15+MAX(0,MIN(MAX(0,'Panggilan per Pesanan'!G19-'Harga per Penyedia'!$D$15),'Harga per Penyedia'!$K$15)-'Harga per Penyedia'!$I$15)*'Harga per Penyedia'!$L$15+MAX(0,MAX(0,'Panggilan per Pesanan'!G19-'Harga per Penyedia'!$D$15)-'Harga per Penyedia'!$K$15)*'Harga per Penyedia'!$M$15)/1000</f>
        <v/>
      </c>
      <c r="K22" s="5" t="inlineStr"/>
    </row>
    <row r="23">
      <c r="A23" s="5" t="inlineStr">
        <is>
          <t>Biaya tetap paket Flex</t>
        </is>
      </c>
      <c r="E23" s="19">
        <f>'Harga per Penyedia'!$F$16</f>
        <v/>
      </c>
      <c r="F23" s="19">
        <f>'Harga per Penyedia'!$F$16</f>
        <v/>
      </c>
      <c r="G23" s="19">
        <f>'Harga per Penyedia'!$F$16</f>
        <v/>
      </c>
      <c r="H23" s="19">
        <f>'Harga per Penyedia'!$F$16</f>
        <v/>
      </c>
      <c r="I23" s="19">
        <f>'Harga per Penyedia'!$F$16</f>
        <v/>
      </c>
      <c r="J23" s="19">
        <f>'Harga per Penyedia'!$F$16</f>
        <v/>
      </c>
      <c r="K23" s="5" t="inlineStr">
        <is>
          <t>$30/bulan; termasuk 25.000 sesi peta + 3.000 sesi pencarian</t>
        </is>
      </c>
    </row>
    <row r="24">
      <c r="A24" s="20" t="inlineStr">
        <is>
          <t>TOTAL MAPTILER (belum termasuk routing)</t>
        </is>
      </c>
      <c r="B24" s="21" t="n"/>
      <c r="C24" s="21" t="n"/>
      <c r="D24" s="21" t="n"/>
      <c r="E24" s="22">
        <f>SUM(E21:E23)</f>
        <v/>
      </c>
      <c r="F24" s="22">
        <f>SUM(F21:F23)</f>
        <v/>
      </c>
      <c r="G24" s="22">
        <f>SUM(G21:G23)</f>
        <v/>
      </c>
      <c r="H24" s="22">
        <f>SUM(H21:H23)</f>
        <v/>
      </c>
      <c r="I24" s="22">
        <f>SUM(I21:I23)</f>
        <v/>
      </c>
      <c r="J24" s="22">
        <f>SUM(J21:J23)</f>
        <v/>
      </c>
    </row>
    <row r="26">
      <c r="A26" s="17" t="inlineStr">
        <is>
          <t>HERE  —  [S-15] sumber pihak ketiga (Agustus 2026); tarif routing [ASUMSI]</t>
        </is>
      </c>
      <c r="B26" s="18" t="n"/>
      <c r="C26" s="18" t="n"/>
      <c r="D26" s="18" t="n"/>
      <c r="E26" s="18" t="n"/>
      <c r="F26" s="18" t="n"/>
      <c r="G26" s="18" t="n"/>
      <c r="H26" s="18" t="n"/>
      <c r="I26" s="18" t="n"/>
      <c r="J26" s="18" t="n"/>
      <c r="K26" s="18" t="n"/>
    </row>
    <row r="27">
      <c r="A27" s="4" t="inlineStr">
        <is>
          <t>SKU / komponen</t>
        </is>
      </c>
      <c r="B27" s="4" t="inlineStr">
        <is>
          <t>Unit A</t>
        </is>
      </c>
      <c r="C27" s="4" t="inlineStr">
        <is>
          <t>Unit B</t>
        </is>
      </c>
      <c r="D27" s="4" t="inlineStr">
        <is>
          <t>Unit C</t>
        </is>
      </c>
      <c r="E27" s="4" t="inlineStr">
        <is>
          <t>Biaya A ($)</t>
        </is>
      </c>
      <c r="F27" s="4" t="inlineStr">
        <is>
          <t>Biaya B ($)</t>
        </is>
      </c>
      <c r="G27" s="4" t="inlineStr">
        <is>
          <t>Biaya C ($)</t>
        </is>
      </c>
      <c r="H27" s="4" t="inlineStr">
        <is>
          <t>Hemat A ($)</t>
        </is>
      </c>
      <c r="I27" s="4" t="inlineStr">
        <is>
          <t>Hemat B ($)</t>
        </is>
      </c>
      <c r="J27" s="4" t="inlineStr">
        <is>
          <t>Hemat C ($)</t>
        </is>
      </c>
      <c r="K27" s="4" t="inlineStr">
        <is>
          <t>Catatan</t>
        </is>
      </c>
    </row>
    <row r="28">
      <c r="A28" s="5" t="inlineStr">
        <is>
          <t>Geocoding &amp; Search (autocomplete + reverse)</t>
        </is>
      </c>
      <c r="B28" s="11">
        <f>'Panggilan per Pesanan'!B14+'Panggilan per Pesanan'!B15</f>
        <v/>
      </c>
      <c r="C28" s="11">
        <f>'Panggilan per Pesanan'!C14+'Panggilan per Pesanan'!C15</f>
        <v/>
      </c>
      <c r="D28" s="11">
        <f>'Panggilan per Pesanan'!D14+'Panggilan per Pesanan'!D15</f>
        <v/>
      </c>
      <c r="E28" s="19">
        <f>(MIN(MAX(0,('Panggilan per Pesanan'!B14+'Panggilan per Pesanan'!B15)-'Harga per Penyedia'!$D$17),'Harga per Penyedia'!$E$17)*'Harga per Penyedia'!$F$17+MAX(0,MIN(MAX(0,('Panggilan per Pesanan'!B14+'Panggilan per Pesanan'!B15)-'Harga per Penyedia'!$D$17),'Harga per Penyedia'!$G$17)-'Harga per Penyedia'!$E$17)*'Harga per Penyedia'!$H$17+MAX(0,MIN(MAX(0,('Panggilan per Pesanan'!B14+'Panggilan per Pesanan'!B15)-'Harga per Penyedia'!$D$17),'Harga per Penyedia'!$I$17)-'Harga per Penyedia'!$G$17)*'Harga per Penyedia'!$J$17+MAX(0,MIN(MAX(0,('Panggilan per Pesanan'!B14+'Panggilan per Pesanan'!B15)-'Harga per Penyedia'!$D$17),'Harga per Penyedia'!$K$17)-'Harga per Penyedia'!$I$17)*'Harga per Penyedia'!$L$17+MAX(0,MAX(0,('Panggilan per Pesanan'!B14+'Panggilan per Pesanan'!B15)-'Harga per Penyedia'!$D$17)-'Harga per Penyedia'!$K$17)*'Harga per Penyedia'!$M$17)/1000</f>
        <v/>
      </c>
      <c r="F28" s="19">
        <f>(MIN(MAX(0,('Panggilan per Pesanan'!C14+'Panggilan per Pesanan'!C15)-'Harga per Penyedia'!$D$17),'Harga per Penyedia'!$E$17)*'Harga per Penyedia'!$F$17+MAX(0,MIN(MAX(0,('Panggilan per Pesanan'!C14+'Panggilan per Pesanan'!C15)-'Harga per Penyedia'!$D$17),'Harga per Penyedia'!$G$17)-'Harga per Penyedia'!$E$17)*'Harga per Penyedia'!$H$17+MAX(0,MIN(MAX(0,('Panggilan per Pesanan'!C14+'Panggilan per Pesanan'!C15)-'Harga per Penyedia'!$D$17),'Harga per Penyedia'!$I$17)-'Harga per Penyedia'!$G$17)*'Harga per Penyedia'!$J$17+MAX(0,MIN(MAX(0,('Panggilan per Pesanan'!C14+'Panggilan per Pesanan'!C15)-'Harga per Penyedia'!$D$17),'Harga per Penyedia'!$K$17)-'Harga per Penyedia'!$I$17)*'Harga per Penyedia'!$L$17+MAX(0,MAX(0,('Panggilan per Pesanan'!C14+'Panggilan per Pesanan'!C15)-'Harga per Penyedia'!$D$17)-'Harga per Penyedia'!$K$17)*'Harga per Penyedia'!$M$17)/1000</f>
        <v/>
      </c>
      <c r="G28" s="19">
        <f>(MIN(MAX(0,('Panggilan per Pesanan'!D14+'Panggilan per Pesanan'!D15)-'Harga per Penyedia'!$D$17),'Harga per Penyedia'!$E$17)*'Harga per Penyedia'!$F$17+MAX(0,MIN(MAX(0,('Panggilan per Pesanan'!D14+'Panggilan per Pesanan'!D15)-'Harga per Penyedia'!$D$17),'Harga per Penyedia'!$G$17)-'Harga per Penyedia'!$E$17)*'Harga per Penyedia'!$H$17+MAX(0,MIN(MAX(0,('Panggilan per Pesanan'!D14+'Panggilan per Pesanan'!D15)-'Harga per Penyedia'!$D$17),'Harga per Penyedia'!$I$17)-'Harga per Penyedia'!$G$17)*'Harga per Penyedia'!$J$17+MAX(0,MIN(MAX(0,('Panggilan per Pesanan'!D14+'Panggilan per Pesanan'!D15)-'Harga per Penyedia'!$D$17),'Harga per Penyedia'!$K$17)-'Harga per Penyedia'!$I$17)*'Harga per Penyedia'!$L$17+MAX(0,MAX(0,('Panggilan per Pesanan'!D14+'Panggilan per Pesanan'!D15)-'Harga per Penyedia'!$D$17)-'Harga per Penyedia'!$K$17)*'Harga per Penyedia'!$M$17)/1000</f>
        <v/>
      </c>
      <c r="H28" s="19">
        <f>(MIN(MAX(0,('Panggilan per Pesanan'!E14+'Panggilan per Pesanan'!E15)-'Harga per Penyedia'!$D$17),'Harga per Penyedia'!$E$17)*'Harga per Penyedia'!$F$17+MAX(0,MIN(MAX(0,('Panggilan per Pesanan'!E14+'Panggilan per Pesanan'!E15)-'Harga per Penyedia'!$D$17),'Harga per Penyedia'!$G$17)-'Harga per Penyedia'!$E$17)*'Harga per Penyedia'!$H$17+MAX(0,MIN(MAX(0,('Panggilan per Pesanan'!E14+'Panggilan per Pesanan'!E15)-'Harga per Penyedia'!$D$17),'Harga per Penyedia'!$I$17)-'Harga per Penyedia'!$G$17)*'Harga per Penyedia'!$J$17+MAX(0,MIN(MAX(0,('Panggilan per Pesanan'!E14+'Panggilan per Pesanan'!E15)-'Harga per Penyedia'!$D$17),'Harga per Penyedia'!$K$17)-'Harga per Penyedia'!$I$17)*'Harga per Penyedia'!$L$17+MAX(0,MAX(0,('Panggilan per Pesanan'!E14+'Panggilan per Pesanan'!E15)-'Harga per Penyedia'!$D$17)-'Harga per Penyedia'!$K$17)*'Harga per Penyedia'!$M$17)/1000</f>
        <v/>
      </c>
      <c r="I28" s="19">
        <f>(MIN(MAX(0,('Panggilan per Pesanan'!F14+'Panggilan per Pesanan'!F15)-'Harga per Penyedia'!$D$17),'Harga per Penyedia'!$E$17)*'Harga per Penyedia'!$F$17+MAX(0,MIN(MAX(0,('Panggilan per Pesanan'!F14+'Panggilan per Pesanan'!F15)-'Harga per Penyedia'!$D$17),'Harga per Penyedia'!$G$17)-'Harga per Penyedia'!$E$17)*'Harga per Penyedia'!$H$17+MAX(0,MIN(MAX(0,('Panggilan per Pesanan'!F14+'Panggilan per Pesanan'!F15)-'Harga per Penyedia'!$D$17),'Harga per Penyedia'!$I$17)-'Harga per Penyedia'!$G$17)*'Harga per Penyedia'!$J$17+MAX(0,MIN(MAX(0,('Panggilan per Pesanan'!F14+'Panggilan per Pesanan'!F15)-'Harga per Penyedia'!$D$17),'Harga per Penyedia'!$K$17)-'Harga per Penyedia'!$I$17)*'Harga per Penyedia'!$L$17+MAX(0,MAX(0,('Panggilan per Pesanan'!F14+'Panggilan per Pesanan'!F15)-'Harga per Penyedia'!$D$17)-'Harga per Penyedia'!$K$17)*'Harga per Penyedia'!$M$17)/1000</f>
        <v/>
      </c>
      <c r="J28" s="19">
        <f>(MIN(MAX(0,('Panggilan per Pesanan'!G14+'Panggilan per Pesanan'!G15)-'Harga per Penyedia'!$D$17),'Harga per Penyedia'!$E$17)*'Harga per Penyedia'!$F$17+MAX(0,MIN(MAX(0,('Panggilan per Pesanan'!G14+'Panggilan per Pesanan'!G15)-'Harga per Penyedia'!$D$17),'Harga per Penyedia'!$G$17)-'Harga per Penyedia'!$E$17)*'Harga per Penyedia'!$H$17+MAX(0,MIN(MAX(0,('Panggilan per Pesanan'!G14+'Panggilan per Pesanan'!G15)-'Harga per Penyedia'!$D$17),'Harga per Penyedia'!$I$17)-'Harga per Penyedia'!$G$17)*'Harga per Penyedia'!$J$17+MAX(0,MIN(MAX(0,('Panggilan per Pesanan'!G14+'Panggilan per Pesanan'!G15)-'Harga per Penyedia'!$D$17),'Harga per Penyedia'!$K$17)-'Harga per Penyedia'!$I$17)*'Harga per Penyedia'!$L$17+MAX(0,MAX(0,('Panggilan per Pesanan'!G14+'Panggilan per Pesanan'!G15)-'Harga per Penyedia'!$D$17)-'Harga per Penyedia'!$K$17)*'Harga per Penyedia'!$M$17)/1000</f>
        <v/>
      </c>
    </row>
    <row r="29">
      <c r="A29" s="5" t="inlineStr">
        <is>
          <t>Maps (ubin vector)</t>
        </is>
      </c>
      <c r="B29" s="11">
        <f>'Panggilan per Pesanan'!B18</f>
        <v/>
      </c>
      <c r="C29" s="11">
        <f>'Panggilan per Pesanan'!C18</f>
        <v/>
      </c>
      <c r="D29" s="11">
        <f>'Panggilan per Pesanan'!D18</f>
        <v/>
      </c>
      <c r="E29" s="19">
        <f>(MIN(MAX(0,'Panggilan per Pesanan'!B18-'Harga per Penyedia'!$D$18),'Harga per Penyedia'!$E$18)*'Harga per Penyedia'!$F$18+MAX(0,MIN(MAX(0,'Panggilan per Pesanan'!B18-'Harga per Penyedia'!$D$18),'Harga per Penyedia'!$G$18)-'Harga per Penyedia'!$E$18)*'Harga per Penyedia'!$H$18+MAX(0,MIN(MAX(0,'Panggilan per Pesanan'!B18-'Harga per Penyedia'!$D$18),'Harga per Penyedia'!$I$18)-'Harga per Penyedia'!$G$18)*'Harga per Penyedia'!$J$18+MAX(0,MIN(MAX(0,'Panggilan per Pesanan'!B18-'Harga per Penyedia'!$D$18),'Harga per Penyedia'!$K$18)-'Harga per Penyedia'!$I$18)*'Harga per Penyedia'!$L$18+MAX(0,MAX(0,'Panggilan per Pesanan'!B18-'Harga per Penyedia'!$D$18)-'Harga per Penyedia'!$K$18)*'Harga per Penyedia'!$M$18)/1000</f>
        <v/>
      </c>
      <c r="F29" s="19">
        <f>(MIN(MAX(0,'Panggilan per Pesanan'!C18-'Harga per Penyedia'!$D$18),'Harga per Penyedia'!$E$18)*'Harga per Penyedia'!$F$18+MAX(0,MIN(MAX(0,'Panggilan per Pesanan'!C18-'Harga per Penyedia'!$D$18),'Harga per Penyedia'!$G$18)-'Harga per Penyedia'!$E$18)*'Harga per Penyedia'!$H$18+MAX(0,MIN(MAX(0,'Panggilan per Pesanan'!C18-'Harga per Penyedia'!$D$18),'Harga per Penyedia'!$I$18)-'Harga per Penyedia'!$G$18)*'Harga per Penyedia'!$J$18+MAX(0,MIN(MAX(0,'Panggilan per Pesanan'!C18-'Harga per Penyedia'!$D$18),'Harga per Penyedia'!$K$18)-'Harga per Penyedia'!$I$18)*'Harga per Penyedia'!$L$18+MAX(0,MAX(0,'Panggilan per Pesanan'!C18-'Harga per Penyedia'!$D$18)-'Harga per Penyedia'!$K$18)*'Harga per Penyedia'!$M$18)/1000</f>
        <v/>
      </c>
      <c r="G29" s="19">
        <f>(MIN(MAX(0,'Panggilan per Pesanan'!D18-'Harga per Penyedia'!$D$18),'Harga per Penyedia'!$E$18)*'Harga per Penyedia'!$F$18+MAX(0,MIN(MAX(0,'Panggilan per Pesanan'!D18-'Harga per Penyedia'!$D$18),'Harga per Penyedia'!$G$18)-'Harga per Penyedia'!$E$18)*'Harga per Penyedia'!$H$18+MAX(0,MIN(MAX(0,'Panggilan per Pesanan'!D18-'Harga per Penyedia'!$D$18),'Harga per Penyedia'!$I$18)-'Harga per Penyedia'!$G$18)*'Harga per Penyedia'!$J$18+MAX(0,MIN(MAX(0,'Panggilan per Pesanan'!D18-'Harga per Penyedia'!$D$18),'Harga per Penyedia'!$K$18)-'Harga per Penyedia'!$I$18)*'Harga per Penyedia'!$L$18+MAX(0,MAX(0,'Panggilan per Pesanan'!D18-'Harga per Penyedia'!$D$18)-'Harga per Penyedia'!$K$18)*'Harga per Penyedia'!$M$18)/1000</f>
        <v/>
      </c>
      <c r="H29" s="19">
        <f>(MIN(MAX(0,'Panggilan per Pesanan'!E18-'Harga per Penyedia'!$D$18),'Harga per Penyedia'!$E$18)*'Harga per Penyedia'!$F$18+MAX(0,MIN(MAX(0,'Panggilan per Pesanan'!E18-'Harga per Penyedia'!$D$18),'Harga per Penyedia'!$G$18)-'Harga per Penyedia'!$E$18)*'Harga per Penyedia'!$H$18+MAX(0,MIN(MAX(0,'Panggilan per Pesanan'!E18-'Harga per Penyedia'!$D$18),'Harga per Penyedia'!$I$18)-'Harga per Penyedia'!$G$18)*'Harga per Penyedia'!$J$18+MAX(0,MIN(MAX(0,'Panggilan per Pesanan'!E18-'Harga per Penyedia'!$D$18),'Harga per Penyedia'!$K$18)-'Harga per Penyedia'!$I$18)*'Harga per Penyedia'!$L$18+MAX(0,MAX(0,'Panggilan per Pesanan'!E18-'Harga per Penyedia'!$D$18)-'Harga per Penyedia'!$K$18)*'Harga per Penyedia'!$M$18)/1000</f>
        <v/>
      </c>
      <c r="I29" s="19">
        <f>(MIN(MAX(0,'Panggilan per Pesanan'!F18-'Harga per Penyedia'!$D$18),'Harga per Penyedia'!$E$18)*'Harga per Penyedia'!$F$18+MAX(0,MIN(MAX(0,'Panggilan per Pesanan'!F18-'Harga per Penyedia'!$D$18),'Harga per Penyedia'!$G$18)-'Harga per Penyedia'!$E$18)*'Harga per Penyedia'!$H$18+MAX(0,MIN(MAX(0,'Panggilan per Pesanan'!F18-'Harga per Penyedia'!$D$18),'Harga per Penyedia'!$I$18)-'Harga per Penyedia'!$G$18)*'Harga per Penyedia'!$J$18+MAX(0,MIN(MAX(0,'Panggilan per Pesanan'!F18-'Harga per Penyedia'!$D$18),'Harga per Penyedia'!$K$18)-'Harga per Penyedia'!$I$18)*'Harga per Penyedia'!$L$18+MAX(0,MAX(0,'Panggilan per Pesanan'!F18-'Harga per Penyedia'!$D$18)-'Harga per Penyedia'!$K$18)*'Harga per Penyedia'!$M$18)/1000</f>
        <v/>
      </c>
      <c r="J29" s="19">
        <f>(MIN(MAX(0,'Panggilan per Pesanan'!G18-'Harga per Penyedia'!$D$18),'Harga per Penyedia'!$E$18)*'Harga per Penyedia'!$F$18+MAX(0,MIN(MAX(0,'Panggilan per Pesanan'!G18-'Harga per Penyedia'!$D$18),'Harga per Penyedia'!$G$18)-'Harga per Penyedia'!$E$18)*'Harga per Penyedia'!$H$18+MAX(0,MIN(MAX(0,'Panggilan per Pesanan'!G18-'Harga per Penyedia'!$D$18),'Harga per Penyedia'!$I$18)-'Harga per Penyedia'!$G$18)*'Harga per Penyedia'!$J$18+MAX(0,MIN(MAX(0,'Panggilan per Pesanan'!G18-'Harga per Penyedia'!$D$18),'Harga per Penyedia'!$K$18)-'Harga per Penyedia'!$I$18)*'Harga per Penyedia'!$L$18+MAX(0,MAX(0,'Panggilan per Pesanan'!G18-'Harga per Penyedia'!$D$18)-'Harga per Penyedia'!$K$18)*'Harga per Penyedia'!$M$18)/1000</f>
        <v/>
      </c>
      <c r="K29" s="5" t="inlineStr">
        <is>
          <t>$0,088/1.000 — ubin termurah di pasar</t>
        </is>
      </c>
    </row>
    <row r="30">
      <c r="A30" s="5" t="inlineStr">
        <is>
          <t>Routing</t>
        </is>
      </c>
      <c r="B30" s="11">
        <f>'Panggilan per Pesanan'!B16</f>
        <v/>
      </c>
      <c r="C30" s="11">
        <f>'Panggilan per Pesanan'!C16</f>
        <v/>
      </c>
      <c r="D30" s="11">
        <f>'Panggilan per Pesanan'!D16</f>
        <v/>
      </c>
      <c r="E30" s="19">
        <f>(MIN(MAX(0,'Panggilan per Pesanan'!B16-'Harga per Penyedia'!$D$19),'Harga per Penyedia'!$E$19)*'Harga per Penyedia'!$F$19+MAX(0,MIN(MAX(0,'Panggilan per Pesanan'!B16-'Harga per Penyedia'!$D$19),'Harga per Penyedia'!$G$19)-'Harga per Penyedia'!$E$19)*'Harga per Penyedia'!$H$19+MAX(0,MIN(MAX(0,'Panggilan per Pesanan'!B16-'Harga per Penyedia'!$D$19),'Harga per Penyedia'!$I$19)-'Harga per Penyedia'!$G$19)*'Harga per Penyedia'!$J$19+MAX(0,MIN(MAX(0,'Panggilan per Pesanan'!B16-'Harga per Penyedia'!$D$19),'Harga per Penyedia'!$K$19)-'Harga per Penyedia'!$I$19)*'Harga per Penyedia'!$L$19+MAX(0,MAX(0,'Panggilan per Pesanan'!B16-'Harga per Penyedia'!$D$19)-'Harga per Penyedia'!$K$19)*'Harga per Penyedia'!$M$19)/1000</f>
        <v/>
      </c>
      <c r="F30" s="19">
        <f>(MIN(MAX(0,'Panggilan per Pesanan'!C16-'Harga per Penyedia'!$D$19),'Harga per Penyedia'!$E$19)*'Harga per Penyedia'!$F$19+MAX(0,MIN(MAX(0,'Panggilan per Pesanan'!C16-'Harga per Penyedia'!$D$19),'Harga per Penyedia'!$G$19)-'Harga per Penyedia'!$E$19)*'Harga per Penyedia'!$H$19+MAX(0,MIN(MAX(0,'Panggilan per Pesanan'!C16-'Harga per Penyedia'!$D$19),'Harga per Penyedia'!$I$19)-'Harga per Penyedia'!$G$19)*'Harga per Penyedia'!$J$19+MAX(0,MIN(MAX(0,'Panggilan per Pesanan'!C16-'Harga per Penyedia'!$D$19),'Harga per Penyedia'!$K$19)-'Harga per Penyedia'!$I$19)*'Harga per Penyedia'!$L$19+MAX(0,MAX(0,'Panggilan per Pesanan'!C16-'Harga per Penyedia'!$D$19)-'Harga per Penyedia'!$K$19)*'Harga per Penyedia'!$M$19)/1000</f>
        <v/>
      </c>
      <c r="G30" s="19">
        <f>(MIN(MAX(0,'Panggilan per Pesanan'!D16-'Harga per Penyedia'!$D$19),'Harga per Penyedia'!$E$19)*'Harga per Penyedia'!$F$19+MAX(0,MIN(MAX(0,'Panggilan per Pesanan'!D16-'Harga per Penyedia'!$D$19),'Harga per Penyedia'!$G$19)-'Harga per Penyedia'!$E$19)*'Harga per Penyedia'!$H$19+MAX(0,MIN(MAX(0,'Panggilan per Pesanan'!D16-'Harga per Penyedia'!$D$19),'Harga per Penyedia'!$I$19)-'Harga per Penyedia'!$G$19)*'Harga per Penyedia'!$J$19+MAX(0,MIN(MAX(0,'Panggilan per Pesanan'!D16-'Harga per Penyedia'!$D$19),'Harga per Penyedia'!$K$19)-'Harga per Penyedia'!$I$19)*'Harga per Penyedia'!$L$19+MAX(0,MAX(0,'Panggilan per Pesanan'!D16-'Harga per Penyedia'!$D$19)-'Harga per Penyedia'!$K$19)*'Harga per Penyedia'!$M$19)/1000</f>
        <v/>
      </c>
      <c r="H30" s="19">
        <f>(MIN(MAX(0,'Panggilan per Pesanan'!E16-'Harga per Penyedia'!$D$19),'Harga per Penyedia'!$E$19)*'Harga per Penyedia'!$F$19+MAX(0,MIN(MAX(0,'Panggilan per Pesanan'!E16-'Harga per Penyedia'!$D$19),'Harga per Penyedia'!$G$19)-'Harga per Penyedia'!$E$19)*'Harga per Penyedia'!$H$19+MAX(0,MIN(MAX(0,'Panggilan per Pesanan'!E16-'Harga per Penyedia'!$D$19),'Harga per Penyedia'!$I$19)-'Harga per Penyedia'!$G$19)*'Harga per Penyedia'!$J$19+MAX(0,MIN(MAX(0,'Panggilan per Pesanan'!E16-'Harga per Penyedia'!$D$19),'Harga per Penyedia'!$K$19)-'Harga per Penyedia'!$I$19)*'Harga per Penyedia'!$L$19+MAX(0,MAX(0,'Panggilan per Pesanan'!E16-'Harga per Penyedia'!$D$19)-'Harga per Penyedia'!$K$19)*'Harga per Penyedia'!$M$19)/1000</f>
        <v/>
      </c>
      <c r="I30" s="19">
        <f>(MIN(MAX(0,'Panggilan per Pesanan'!F16-'Harga per Penyedia'!$D$19),'Harga per Penyedia'!$E$19)*'Harga per Penyedia'!$F$19+MAX(0,MIN(MAX(0,'Panggilan per Pesanan'!F16-'Harga per Penyedia'!$D$19),'Harga per Penyedia'!$G$19)-'Harga per Penyedia'!$E$19)*'Harga per Penyedia'!$H$19+MAX(0,MIN(MAX(0,'Panggilan per Pesanan'!F16-'Harga per Penyedia'!$D$19),'Harga per Penyedia'!$I$19)-'Harga per Penyedia'!$G$19)*'Harga per Penyedia'!$J$19+MAX(0,MIN(MAX(0,'Panggilan per Pesanan'!F16-'Harga per Penyedia'!$D$19),'Harga per Penyedia'!$K$19)-'Harga per Penyedia'!$I$19)*'Harga per Penyedia'!$L$19+MAX(0,MAX(0,'Panggilan per Pesanan'!F16-'Harga per Penyedia'!$D$19)-'Harga per Penyedia'!$K$19)*'Harga per Penyedia'!$M$19)/1000</f>
        <v/>
      </c>
      <c r="J30" s="19">
        <f>(MIN(MAX(0,'Panggilan per Pesanan'!G16-'Harga per Penyedia'!$D$19),'Harga per Penyedia'!$E$19)*'Harga per Penyedia'!$F$19+MAX(0,MIN(MAX(0,'Panggilan per Pesanan'!G16-'Harga per Penyedia'!$D$19),'Harga per Penyedia'!$G$19)-'Harga per Penyedia'!$E$19)*'Harga per Penyedia'!$H$19+MAX(0,MIN(MAX(0,'Panggilan per Pesanan'!G16-'Harga per Penyedia'!$D$19),'Harga per Penyedia'!$I$19)-'Harga per Penyedia'!$G$19)*'Harga per Penyedia'!$J$19+MAX(0,MIN(MAX(0,'Panggilan per Pesanan'!G16-'Harga per Penyedia'!$D$19),'Harga per Penyedia'!$K$19)-'Harga per Penyedia'!$I$19)*'Harga per Penyedia'!$L$19+MAX(0,MAX(0,'Panggilan per Pesanan'!G16-'Harga per Penyedia'!$D$19)-'Harga per Penyedia'!$K$19)*'Harga per Penyedia'!$M$19)/1000</f>
        <v/>
      </c>
      <c r="K30" s="5" t="inlineStr">
        <is>
          <t>[ASUMSI] $0,50/1.000 — tarif resmi tidak dipublikasikan</t>
        </is>
      </c>
    </row>
    <row r="31">
      <c r="A31" s="20" t="inlineStr">
        <is>
          <t>TOTAL HERE</t>
        </is>
      </c>
      <c r="B31" s="21" t="n"/>
      <c r="C31" s="21" t="n"/>
      <c r="D31" s="21" t="n"/>
      <c r="E31" s="22">
        <f>SUM(E28:E30)</f>
        <v/>
      </c>
      <c r="F31" s="22">
        <f>SUM(F28:F30)</f>
        <v/>
      </c>
      <c r="G31" s="22">
        <f>SUM(G28:G30)</f>
        <v/>
      </c>
      <c r="H31" s="22">
        <f>SUM(H28:H30)</f>
        <v/>
      </c>
      <c r="I31" s="22">
        <f>SUM(I28:I30)</f>
        <v/>
      </c>
      <c r="J31" s="22">
        <f>SUM(J28:J30)</f>
        <v/>
      </c>
    </row>
    <row r="33">
      <c r="A33" s="17" t="inlineStr">
        <is>
          <t>STADIA MAPS  —  [S-18]; model kredit, satu vendor untuk ubin + autocomplete + geocode + rute</t>
        </is>
      </c>
      <c r="B33" s="18" t="n"/>
      <c r="C33" s="18" t="n"/>
      <c r="D33" s="18" t="n"/>
      <c r="E33" s="18" t="n"/>
      <c r="F33" s="18" t="n"/>
      <c r="G33" s="18" t="n"/>
      <c r="H33" s="18" t="n"/>
      <c r="I33" s="18" t="n"/>
      <c r="J33" s="18" t="n"/>
      <c r="K33" s="18" t="n"/>
    </row>
    <row r="34">
      <c r="A34" s="4" t="inlineStr">
        <is>
          <t>SKU / komponen</t>
        </is>
      </c>
      <c r="B34" s="4" t="inlineStr">
        <is>
          <t>Unit A</t>
        </is>
      </c>
      <c r="C34" s="4" t="inlineStr">
        <is>
          <t>Unit B</t>
        </is>
      </c>
      <c r="D34" s="4" t="inlineStr">
        <is>
          <t>Unit C</t>
        </is>
      </c>
      <c r="E34" s="4" t="inlineStr">
        <is>
          <t>Biaya A ($)</t>
        </is>
      </c>
      <c r="F34" s="4" t="inlineStr">
        <is>
          <t>Biaya B ($)</t>
        </is>
      </c>
      <c r="G34" s="4" t="inlineStr">
        <is>
          <t>Biaya C ($)</t>
        </is>
      </c>
      <c r="H34" s="4" t="inlineStr">
        <is>
          <t>Hemat A ($)</t>
        </is>
      </c>
      <c r="I34" s="4" t="inlineStr">
        <is>
          <t>Hemat B ($)</t>
        </is>
      </c>
      <c r="J34" s="4" t="inlineStr">
        <is>
          <t>Hemat C ($)</t>
        </is>
      </c>
      <c r="K34" s="4" t="inlineStr">
        <is>
          <t>Catatan</t>
        </is>
      </c>
    </row>
    <row r="35">
      <c r="A35" s="5" t="inlineStr">
        <is>
          <t>Kredit — ubin peta</t>
        </is>
      </c>
      <c r="B35" s="11">
        <f>'Panggilan per Pesanan'!B18</f>
        <v/>
      </c>
      <c r="C35" s="11">
        <f>'Panggilan per Pesanan'!C18</f>
        <v/>
      </c>
      <c r="D35" s="11">
        <f>'Panggilan per Pesanan'!D18</f>
        <v/>
      </c>
      <c r="E35" s="11">
        <f>'Panggilan per Pesanan'!B18*'Harga per Penyedia'!$F$20</f>
        <v/>
      </c>
      <c r="F35" s="11">
        <f>'Panggilan per Pesanan'!C18*'Harga per Penyedia'!$F$20</f>
        <v/>
      </c>
      <c r="G35" s="11">
        <f>'Panggilan per Pesanan'!D18*'Harga per Penyedia'!$F$20</f>
        <v/>
      </c>
      <c r="H35" s="11">
        <f>'Panggilan per Pesanan'!E18*'Harga per Penyedia'!$F$20</f>
        <v/>
      </c>
      <c r="I35" s="11">
        <f>'Panggilan per Pesanan'!F18*'Harga per Penyedia'!$F$20</f>
        <v/>
      </c>
      <c r="J35" s="11">
        <f>'Panggilan per Pesanan'!G18*'Harga per Penyedia'!$F$20</f>
        <v/>
      </c>
    </row>
    <row r="36">
      <c r="A36" s="5" t="inlineStr">
        <is>
          <t>Kredit — autocomplete</t>
        </is>
      </c>
      <c r="B36" s="11">
        <f>'Panggilan per Pesanan'!B14</f>
        <v/>
      </c>
      <c r="C36" s="11">
        <f>'Panggilan per Pesanan'!C14</f>
        <v/>
      </c>
      <c r="D36" s="11">
        <f>'Panggilan per Pesanan'!D14</f>
        <v/>
      </c>
      <c r="E36" s="11">
        <f>'Panggilan per Pesanan'!B14*'Harga per Penyedia'!$F$21</f>
        <v/>
      </c>
      <c r="F36" s="11">
        <f>'Panggilan per Pesanan'!C14*'Harga per Penyedia'!$F$21</f>
        <v/>
      </c>
      <c r="G36" s="11">
        <f>'Panggilan per Pesanan'!D14*'Harga per Penyedia'!$F$21</f>
        <v/>
      </c>
      <c r="H36" s="11">
        <f>'Panggilan per Pesanan'!E14*'Harga per Penyedia'!$F$21</f>
        <v/>
      </c>
      <c r="I36" s="11">
        <f>'Panggilan per Pesanan'!F14*'Harga per Penyedia'!$F$21</f>
        <v/>
      </c>
      <c r="J36" s="11">
        <f>'Panggilan per Pesanan'!G14*'Harga per Penyedia'!$F$21</f>
        <v/>
      </c>
    </row>
    <row r="37">
      <c r="A37" s="5" t="inlineStr">
        <is>
          <t>Kredit — geocoding (reverse)</t>
        </is>
      </c>
      <c r="B37" s="11">
        <f>'Panggilan per Pesanan'!B15</f>
        <v/>
      </c>
      <c r="C37" s="11">
        <f>'Panggilan per Pesanan'!C15</f>
        <v/>
      </c>
      <c r="D37" s="11">
        <f>'Panggilan per Pesanan'!D15</f>
        <v/>
      </c>
      <c r="E37" s="11">
        <f>'Panggilan per Pesanan'!B15*'Harga per Penyedia'!$F$22</f>
        <v/>
      </c>
      <c r="F37" s="11">
        <f>'Panggilan per Pesanan'!C15*'Harga per Penyedia'!$F$22</f>
        <v/>
      </c>
      <c r="G37" s="11">
        <f>'Panggilan per Pesanan'!D15*'Harga per Penyedia'!$F$22</f>
        <v/>
      </c>
      <c r="H37" s="11">
        <f>'Panggilan per Pesanan'!E15*'Harga per Penyedia'!$F$22</f>
        <v/>
      </c>
      <c r="I37" s="11">
        <f>'Panggilan per Pesanan'!F15*'Harga per Penyedia'!$F$22</f>
        <v/>
      </c>
      <c r="J37" s="11">
        <f>'Panggilan per Pesanan'!G15*'Harga per Penyedia'!$F$22</f>
        <v/>
      </c>
    </row>
    <row r="38">
      <c r="A38" s="5" t="inlineStr">
        <is>
          <t>Kredit — routing</t>
        </is>
      </c>
      <c r="B38" s="11">
        <f>'Panggilan per Pesanan'!B16</f>
        <v/>
      </c>
      <c r="C38" s="11">
        <f>'Panggilan per Pesanan'!C16</f>
        <v/>
      </c>
      <c r="D38" s="11">
        <f>'Panggilan per Pesanan'!D16</f>
        <v/>
      </c>
      <c r="E38" s="11">
        <f>'Panggilan per Pesanan'!B16*'Harga per Penyedia'!$F$23</f>
        <v/>
      </c>
      <c r="F38" s="11">
        <f>'Panggilan per Pesanan'!C16*'Harga per Penyedia'!$F$23</f>
        <v/>
      </c>
      <c r="G38" s="11">
        <f>'Panggilan per Pesanan'!D16*'Harga per Penyedia'!$F$23</f>
        <v/>
      </c>
      <c r="H38" s="11">
        <f>'Panggilan per Pesanan'!E16*'Harga per Penyedia'!$F$23</f>
        <v/>
      </c>
      <c r="I38" s="11">
        <f>'Panggilan per Pesanan'!F16*'Harga per Penyedia'!$F$23</f>
        <v/>
      </c>
      <c r="J38" s="11">
        <f>'Panggilan per Pesanan'!G16*'Harga per Penyedia'!$F$23</f>
        <v/>
      </c>
    </row>
    <row r="39">
      <c r="A39" s="20" t="inlineStr">
        <is>
          <t>TOTAL KREDIT per bulan</t>
        </is>
      </c>
      <c r="E39" s="23">
        <f>SUM(E35:E38)</f>
        <v/>
      </c>
      <c r="F39" s="23">
        <f>SUM(F35:F38)</f>
        <v/>
      </c>
      <c r="G39" s="23">
        <f>SUM(G35:G38)</f>
        <v/>
      </c>
      <c r="H39" s="23">
        <f>SUM(H35:H38)</f>
        <v/>
      </c>
      <c r="I39" s="23">
        <f>SUM(I35:I38)</f>
        <v/>
      </c>
      <c r="J39" s="23">
        <f>SUM(J35:J38)</f>
        <v/>
      </c>
    </row>
    <row r="40">
      <c r="A40" s="20" t="inlineStr">
        <is>
          <t>BIAYA — paket termurah yang cukup (Starter/Standard/Professional)</t>
        </is>
      </c>
      <c r="E40" s="22">
        <f>MIN('Harga per Penyedia'!$F$24+MAX(0,E39-'Harga per Penyedia'!$D$24)*'Harga per Penyedia'!$H$24/1000,'Harga per Penyedia'!$F$25+MAX(0,E39-'Harga per Penyedia'!$D$25)*'Harga per Penyedia'!$H$25/1000,'Harga per Penyedia'!$F$26+MAX(0,E39-'Harga per Penyedia'!$D$26)*'Harga per Penyedia'!$H$26/1000)</f>
        <v/>
      </c>
      <c r="F40" s="22">
        <f>MIN('Harga per Penyedia'!$F$24+MAX(0,F39-'Harga per Penyedia'!$D$24)*'Harga per Penyedia'!$H$24/1000,'Harga per Penyedia'!$F$25+MAX(0,F39-'Harga per Penyedia'!$D$25)*'Harga per Penyedia'!$H$25/1000,'Harga per Penyedia'!$F$26+MAX(0,F39-'Harga per Penyedia'!$D$26)*'Harga per Penyedia'!$H$26/1000)</f>
        <v/>
      </c>
      <c r="G40" s="22">
        <f>MIN('Harga per Penyedia'!$F$24+MAX(0,G39-'Harga per Penyedia'!$D$24)*'Harga per Penyedia'!$H$24/1000,'Harga per Penyedia'!$F$25+MAX(0,G39-'Harga per Penyedia'!$D$25)*'Harga per Penyedia'!$H$25/1000,'Harga per Penyedia'!$F$26+MAX(0,G39-'Harga per Penyedia'!$D$26)*'Harga per Penyedia'!$H$26/1000)</f>
        <v/>
      </c>
      <c r="H40" s="22">
        <f>MIN('Harga per Penyedia'!$F$24+MAX(0,H39-'Harga per Penyedia'!$D$24)*'Harga per Penyedia'!$H$24/1000,'Harga per Penyedia'!$F$25+MAX(0,H39-'Harga per Penyedia'!$D$25)*'Harga per Penyedia'!$H$25/1000,'Harga per Penyedia'!$F$26+MAX(0,H39-'Harga per Penyedia'!$D$26)*'Harga per Penyedia'!$H$26/1000)</f>
        <v/>
      </c>
      <c r="I40" s="22">
        <f>MIN('Harga per Penyedia'!$F$24+MAX(0,I39-'Harga per Penyedia'!$D$24)*'Harga per Penyedia'!$H$24/1000,'Harga per Penyedia'!$F$25+MAX(0,I39-'Harga per Penyedia'!$D$25)*'Harga per Penyedia'!$H$25/1000,'Harga per Penyedia'!$F$26+MAX(0,I39-'Harga per Penyedia'!$D$26)*'Harga per Penyedia'!$H$26/1000)</f>
        <v/>
      </c>
      <c r="J40" s="22">
        <f>MIN('Harga per Penyedia'!$F$24+MAX(0,J39-'Harga per Penyedia'!$D$24)*'Harga per Penyedia'!$H$24/1000,'Harga per Penyedia'!$F$25+MAX(0,J39-'Harga per Penyedia'!$D$25)*'Harga per Penyedia'!$H$25/1000,'Harga per Penyedia'!$F$26+MAX(0,J39-'Harga per Penyedia'!$D$26)*'Harga per Penyedia'!$H$26/1000)</f>
        <v/>
      </c>
      <c r="K40" t="inlineStr">
        <is>
          <t>Bobot kredit: ubin 1, autocomplete 1, geocoding 20, routing 20 [S-18]</t>
        </is>
      </c>
    </row>
    <row r="42">
      <c r="A42" s="17" t="inlineStr">
        <is>
          <t>GEOAPIFY (geocode + rute) + PROTOMAPS PMTiles di CLOUDFLARE R2 (ubin)  —  [S-16] [S-24] [S-25] [S-26]</t>
        </is>
      </c>
      <c r="B42" s="18" t="n"/>
      <c r="C42" s="18" t="n"/>
      <c r="D42" s="18" t="n"/>
      <c r="E42" s="18" t="n"/>
      <c r="F42" s="18" t="n"/>
      <c r="G42" s="18" t="n"/>
      <c r="H42" s="18" t="n"/>
      <c r="I42" s="18" t="n"/>
      <c r="J42" s="18" t="n"/>
      <c r="K42" s="18" t="n"/>
    </row>
    <row r="43">
      <c r="A43" s="4" t="inlineStr">
        <is>
          <t>SKU / komponen</t>
        </is>
      </c>
      <c r="B43" s="4" t="inlineStr">
        <is>
          <t>Unit A</t>
        </is>
      </c>
      <c r="C43" s="4" t="inlineStr">
        <is>
          <t>Unit B</t>
        </is>
      </c>
      <c r="D43" s="4" t="inlineStr">
        <is>
          <t>Unit C</t>
        </is>
      </c>
      <c r="E43" s="4" t="inlineStr">
        <is>
          <t>Biaya A ($)</t>
        </is>
      </c>
      <c r="F43" s="4" t="inlineStr">
        <is>
          <t>Biaya B ($)</t>
        </is>
      </c>
      <c r="G43" s="4" t="inlineStr">
        <is>
          <t>Biaya C ($)</t>
        </is>
      </c>
      <c r="H43" s="4" t="inlineStr">
        <is>
          <t>Hemat A ($)</t>
        </is>
      </c>
      <c r="I43" s="4" t="inlineStr">
        <is>
          <t>Hemat B ($)</t>
        </is>
      </c>
      <c r="J43" s="4" t="inlineStr">
        <is>
          <t>Hemat C ($)</t>
        </is>
      </c>
      <c r="K43" s="4" t="inlineStr">
        <is>
          <t>Catatan</t>
        </is>
      </c>
    </row>
    <row r="44">
      <c r="A44" s="5" t="inlineStr">
        <is>
          <t>Kredit Geoapify per hari (autocomplete + reverse + rute)</t>
        </is>
      </c>
      <c r="E44" s="11">
        <f>('Panggilan per Pesanan'!B14+'Panggilan per Pesanan'!B15+'Panggilan per Pesanan'!B16)/'Asumsi Volume'!$B$10</f>
        <v/>
      </c>
      <c r="F44" s="11">
        <f>('Panggilan per Pesanan'!C14+'Panggilan per Pesanan'!C15+'Panggilan per Pesanan'!C16)/'Asumsi Volume'!$B$10</f>
        <v/>
      </c>
      <c r="G44" s="11">
        <f>('Panggilan per Pesanan'!D14+'Panggilan per Pesanan'!D15+'Panggilan per Pesanan'!D16)/'Asumsi Volume'!$B$10</f>
        <v/>
      </c>
      <c r="H44" s="11">
        <f>('Panggilan per Pesanan'!E14+'Panggilan per Pesanan'!E15+'Panggilan per Pesanan'!E16)/'Asumsi Volume'!$B$10</f>
        <v/>
      </c>
      <c r="I44" s="11">
        <f>('Panggilan per Pesanan'!F14+'Panggilan per Pesanan'!F15+'Panggilan per Pesanan'!F16)/'Asumsi Volume'!$B$10</f>
        <v/>
      </c>
      <c r="J44" s="11">
        <f>('Panggilan per Pesanan'!G14+'Panggilan per Pesanan'!G15+'Panggilan per Pesanan'!G16)/'Asumsi Volume'!$B$10</f>
        <v/>
      </c>
    </row>
    <row r="45">
      <c r="A45" s="5" t="inlineStr">
        <is>
          <t>Biaya paket Geoapify ($)</t>
        </is>
      </c>
      <c r="E45" s="19">
        <f>IF(E44&lt;='Harga per Penyedia'!$D$27,'Harga per Penyedia'!$F$27,IF(E44&lt;='Harga per Penyedia'!$D$28,'Harga per Penyedia'!$F$28,IF(E44&lt;='Harga per Penyedia'!$D$29,'Harga per Penyedia'!$F$29,IF(E44&lt;='Harga per Penyedia'!$D$30,'Harga per Penyedia'!$F$30,IF(E44&lt;='Harga per Penyedia'!$D$31,'Harga per Penyedia'!$F$31,IF(E44&lt;='Harga per Penyedia'!$D$32,'Harga per Penyedia'!$F$32,'Harga per Penyedia'!$F$33))))))</f>
        <v/>
      </c>
      <c r="F45" s="19">
        <f>IF(F44&lt;='Harga per Penyedia'!$D$27,'Harga per Penyedia'!$F$27,IF(F44&lt;='Harga per Penyedia'!$D$28,'Harga per Penyedia'!$F$28,IF(F44&lt;='Harga per Penyedia'!$D$29,'Harga per Penyedia'!$F$29,IF(F44&lt;='Harga per Penyedia'!$D$30,'Harga per Penyedia'!$F$30,IF(F44&lt;='Harga per Penyedia'!$D$31,'Harga per Penyedia'!$F$31,IF(F44&lt;='Harga per Penyedia'!$D$32,'Harga per Penyedia'!$F$32,'Harga per Penyedia'!$F$33))))))</f>
        <v/>
      </c>
      <c r="G45" s="19">
        <f>IF(G44&lt;='Harga per Penyedia'!$D$27,'Harga per Penyedia'!$F$27,IF(G44&lt;='Harga per Penyedia'!$D$28,'Harga per Penyedia'!$F$28,IF(G44&lt;='Harga per Penyedia'!$D$29,'Harga per Penyedia'!$F$29,IF(G44&lt;='Harga per Penyedia'!$D$30,'Harga per Penyedia'!$F$30,IF(G44&lt;='Harga per Penyedia'!$D$31,'Harga per Penyedia'!$F$31,IF(G44&lt;='Harga per Penyedia'!$D$32,'Harga per Penyedia'!$F$32,'Harga per Penyedia'!$F$33))))))</f>
        <v/>
      </c>
      <c r="H45" s="19">
        <f>IF(H44&lt;='Harga per Penyedia'!$D$27,'Harga per Penyedia'!$F$27,IF(H44&lt;='Harga per Penyedia'!$D$28,'Harga per Penyedia'!$F$28,IF(H44&lt;='Harga per Penyedia'!$D$29,'Harga per Penyedia'!$F$29,IF(H44&lt;='Harga per Penyedia'!$D$30,'Harga per Penyedia'!$F$30,IF(H44&lt;='Harga per Penyedia'!$D$31,'Harga per Penyedia'!$F$31,IF(H44&lt;='Harga per Penyedia'!$D$32,'Harga per Penyedia'!$F$32,'Harga per Penyedia'!$F$33))))))</f>
        <v/>
      </c>
      <c r="I45" s="19">
        <f>IF(I44&lt;='Harga per Penyedia'!$D$27,'Harga per Penyedia'!$F$27,IF(I44&lt;='Harga per Penyedia'!$D$28,'Harga per Penyedia'!$F$28,IF(I44&lt;='Harga per Penyedia'!$D$29,'Harga per Penyedia'!$F$29,IF(I44&lt;='Harga per Penyedia'!$D$30,'Harga per Penyedia'!$F$30,IF(I44&lt;='Harga per Penyedia'!$D$31,'Harga per Penyedia'!$F$31,IF(I44&lt;='Harga per Penyedia'!$D$32,'Harga per Penyedia'!$F$32,'Harga per Penyedia'!$F$33))))))</f>
        <v/>
      </c>
      <c r="J45" s="19">
        <f>IF(J44&lt;='Harga per Penyedia'!$D$27,'Harga per Penyedia'!$F$27,IF(J44&lt;='Harga per Penyedia'!$D$28,'Harga per Penyedia'!$F$28,IF(J44&lt;='Harga per Penyedia'!$D$29,'Harga per Penyedia'!$F$29,IF(J44&lt;='Harga per Penyedia'!$D$30,'Harga per Penyedia'!$F$30,IF(J44&lt;='Harga per Penyedia'!$D$31,'Harga per Penyedia'!$F$31,IF(J44&lt;='Harga per Penyedia'!$D$32,'Harga per Penyedia'!$F$32,'Harga per Penyedia'!$F$33))))))</f>
        <v/>
      </c>
    </row>
    <row r="46">
      <c r="A46" s="5" t="inlineStr">
        <is>
          <t>Biaya ubin — Cloudflare R2 Class B ($)</t>
        </is>
      </c>
      <c r="E46" s="19">
        <f>MAX(0,'Panggilan per Pesanan'!B18-'Harga per Penyedia'!$D$34)*'Harga per Penyedia'!$F$34/1000000</f>
        <v/>
      </c>
      <c r="F46" s="19">
        <f>MAX(0,'Panggilan per Pesanan'!C18-'Harga per Penyedia'!$D$34)*'Harga per Penyedia'!$F$34/1000000</f>
        <v/>
      </c>
      <c r="G46" s="19">
        <f>MAX(0,'Panggilan per Pesanan'!D18-'Harga per Penyedia'!$D$34)*'Harga per Penyedia'!$F$34/1000000</f>
        <v/>
      </c>
      <c r="H46" s="19">
        <f>MAX(0,'Panggilan per Pesanan'!E18-'Harga per Penyedia'!$D$34)*'Harga per Penyedia'!$F$34/1000000</f>
        <v/>
      </c>
      <c r="I46" s="19">
        <f>MAX(0,'Panggilan per Pesanan'!F18-'Harga per Penyedia'!$D$34)*'Harga per Penyedia'!$F$34/1000000</f>
        <v/>
      </c>
      <c r="J46" s="19">
        <f>MAX(0,'Panggilan per Pesanan'!G18-'Harga per Penyedia'!$D$34)*'Harga per Penyedia'!$F$34/1000000</f>
        <v/>
      </c>
      <c r="K46" s="5" t="inlineStr">
        <is>
          <t>Egress GRATIS; 10 juta Class B/bulan gratis; penyimpanan 1 GB &lt; kuota gratis 10 GB</t>
        </is>
      </c>
    </row>
    <row r="47">
      <c r="A47" s="20" t="inlineStr">
        <is>
          <t>TOTAL GEOAPIFY + PMTiles/R2</t>
        </is>
      </c>
      <c r="B47" s="21" t="n"/>
      <c r="C47" s="21" t="n"/>
      <c r="D47" s="21" t="n"/>
      <c r="E47" s="22">
        <f>SUM(E45:E46)</f>
        <v/>
      </c>
      <c r="F47" s="22">
        <f>SUM(F45:F46)</f>
        <v/>
      </c>
      <c r="G47" s="22">
        <f>SUM(G45:G46)</f>
        <v/>
      </c>
      <c r="H47" s="22">
        <f>SUM(H45:H46)</f>
        <v/>
      </c>
      <c r="I47" s="22">
        <f>SUM(I45:I46)</f>
        <v/>
      </c>
      <c r="J47" s="22">
        <f>SUM(J45:J46)</f>
        <v/>
      </c>
    </row>
    <row r="49">
      <c r="A49" s="17" t="inlineStr">
        <is>
          <t>SWASEMBADA — Nominatim + OSRM di VPS Biznet Gio (Jakarta) + PMTiles di R2  —  NILAI DALAM RUPIAH</t>
        </is>
      </c>
      <c r="B49" s="18" t="n"/>
      <c r="C49" s="18" t="n"/>
      <c r="D49" s="18" t="n"/>
      <c r="E49" s="18" t="n"/>
      <c r="F49" s="18" t="n"/>
      <c r="G49" s="18" t="n"/>
      <c r="H49" s="18" t="n"/>
      <c r="I49" s="18" t="n"/>
      <c r="J49" s="18" t="n"/>
      <c r="K49" s="18" t="n"/>
    </row>
    <row r="50">
      <c r="A50" s="4" t="inlineStr">
        <is>
          <t>SKU / komponen</t>
        </is>
      </c>
      <c r="B50" s="4" t="inlineStr">
        <is>
          <t>Unit A</t>
        </is>
      </c>
      <c r="C50" s="4" t="inlineStr">
        <is>
          <t>Unit B</t>
        </is>
      </c>
      <c r="D50" s="4" t="inlineStr">
        <is>
          <t>Unit C</t>
        </is>
      </c>
      <c r="E50" s="4" t="inlineStr">
        <is>
          <t>Biaya A ($)</t>
        </is>
      </c>
      <c r="F50" s="4" t="inlineStr">
        <is>
          <t>Biaya B ($)</t>
        </is>
      </c>
      <c r="G50" s="4" t="inlineStr">
        <is>
          <t>Biaya C ($)</t>
        </is>
      </c>
      <c r="H50" s="4" t="inlineStr">
        <is>
          <t>Hemat A ($)</t>
        </is>
      </c>
      <c r="I50" s="4" t="inlineStr">
        <is>
          <t>Hemat B ($)</t>
        </is>
      </c>
      <c r="J50" s="4" t="inlineStr">
        <is>
          <t>Hemat C ($)</t>
        </is>
      </c>
      <c r="K50" s="4" t="inlineStr">
        <is>
          <t>Catatan</t>
        </is>
      </c>
    </row>
    <row r="51">
      <c r="A51" s="5" t="inlineStr">
        <is>
          <t>Jumlah VPS yang dibutuhkan</t>
        </is>
      </c>
      <c r="E51" s="11">
        <f>IF('Asumsi Volume'!B$17&lt;=3000,2,IF('Asumsi Volume'!B$17&lt;=10000,3,4))</f>
        <v/>
      </c>
      <c r="F51" s="11">
        <f>IF('Asumsi Volume'!C$17&lt;=3000,2,IF('Asumsi Volume'!C$17&lt;=10000,3,4))</f>
        <v/>
      </c>
      <c r="G51" s="11">
        <f>IF('Asumsi Volume'!D$17&lt;=3000,2,IF('Asumsi Volume'!D$17&lt;=10000,3,4))</f>
        <v/>
      </c>
      <c r="H51" s="11">
        <f>E51</f>
        <v/>
      </c>
      <c r="I51" s="11">
        <f>F51</f>
        <v/>
      </c>
      <c r="J51" s="11">
        <f>G51</f>
        <v/>
      </c>
      <c r="K51" s="5" t="inlineStr">
        <is>
          <t>[ASUMSI] 2 VPS s.d. 3.000 pesanan/hari; 3 VPS s.d. 10.000; 4 di atas itu</t>
        </is>
      </c>
    </row>
    <row r="52">
      <c r="A52" s="5" t="inlineStr">
        <is>
          <t>Biaya VPS (Rp/bulan, incl. PPN 11%)</t>
        </is>
      </c>
      <c r="E52" s="11">
        <f>E51*'Harga per Penyedia'!$F$35*'Harga per Penyedia'!$F$36</f>
        <v/>
      </c>
      <c r="F52" s="11">
        <f>F51*'Harga per Penyedia'!$F$35*'Harga per Penyedia'!$F$36</f>
        <v/>
      </c>
      <c r="G52" s="11">
        <f>G51*'Harga per Penyedia'!$F$35*'Harga per Penyedia'!$F$36</f>
        <v/>
      </c>
      <c r="H52" s="11">
        <f>H51*'Harga per Penyedia'!$F$35*'Harga per Penyedia'!$F$36</f>
        <v/>
      </c>
      <c r="I52" s="11">
        <f>I51*'Harga per Penyedia'!$F$35*'Harga per Penyedia'!$F$36</f>
        <v/>
      </c>
      <c r="J52" s="11">
        <f>J51*'Harga per Penyedia'!$F$35*'Harga per Penyedia'!$F$36</f>
        <v/>
      </c>
    </row>
    <row r="53">
      <c r="A53" s="5" t="inlineStr">
        <is>
          <t>Biaya Cloudflare R2 (Rp/bulan, incl. PPN PMSE)</t>
        </is>
      </c>
      <c r="E53" s="11">
        <f>MAX(0,'Panggilan per Pesanan'!B18-'Harga per Penyedia'!$D$34)*'Harga per Penyedia'!$F$34/1000000*'Asumsi Volume'!$B$6*'Asumsi Volume'!$B$9</f>
        <v/>
      </c>
      <c r="F53" s="11">
        <f>MAX(0,'Panggilan per Pesanan'!C18-'Harga per Penyedia'!$D$34)*'Harga per Penyedia'!$F$34/1000000*'Asumsi Volume'!$B$6*'Asumsi Volume'!$B$9</f>
        <v/>
      </c>
      <c r="G53" s="11">
        <f>MAX(0,'Panggilan per Pesanan'!D18-'Harga per Penyedia'!$D$34)*'Harga per Penyedia'!$F$34/1000000*'Asumsi Volume'!$B$6*'Asumsi Volume'!$B$9</f>
        <v/>
      </c>
      <c r="H53" s="11">
        <f>MAX(0,'Panggilan per Pesanan'!E18-'Harga per Penyedia'!$D$34)*'Harga per Penyedia'!$F$34/1000000*'Asumsi Volume'!$B$6*'Asumsi Volume'!$B$9</f>
        <v/>
      </c>
      <c r="I53" s="11">
        <f>MAX(0,'Panggilan per Pesanan'!F18-'Harga per Penyedia'!$D$34)*'Harga per Penyedia'!$F$34/1000000*'Asumsi Volume'!$B$6*'Asumsi Volume'!$B$9</f>
        <v/>
      </c>
      <c r="J53" s="11">
        <f>MAX(0,'Panggilan per Pesanan'!G18-'Harga per Penyedia'!$D$34)*'Harga per Penyedia'!$F$34/1000000*'Asumsi Volume'!$B$6*'Asumsi Volume'!$B$9</f>
        <v/>
      </c>
    </row>
    <row r="54">
      <c r="A54" s="5" t="inlineStr">
        <is>
          <t>Pemeliharaan 0,2 FTE (Rp/bulan)</t>
        </is>
      </c>
      <c r="E54" s="11">
        <f>'Harga per Penyedia'!$F$37</f>
        <v/>
      </c>
      <c r="F54" s="11">
        <f>'Harga per Penyedia'!$F$37</f>
        <v/>
      </c>
      <c r="G54" s="11">
        <f>'Harga per Penyedia'!$F$37</f>
        <v/>
      </c>
      <c r="H54" s="11">
        <f>'Harga per Penyedia'!$F$37</f>
        <v/>
      </c>
      <c r="I54" s="11">
        <f>'Harga per Penyedia'!$F$37</f>
        <v/>
      </c>
      <c r="J54" s="11">
        <f>'Harga per Penyedia'!$F$37</f>
        <v/>
      </c>
    </row>
    <row r="55">
      <c r="A55" s="20" t="inlineStr">
        <is>
          <t>TOTAL SWASEMBADA (Rp/bulan)</t>
        </is>
      </c>
      <c r="E55" s="23">
        <f>SUM(E52:E54)</f>
        <v/>
      </c>
      <c r="F55" s="23">
        <f>SUM(F52:F54)</f>
        <v/>
      </c>
      <c r="G55" s="23">
        <f>SUM(G52:G54)</f>
        <v/>
      </c>
      <c r="H55" s="23">
        <f>SUM(H52:H54)</f>
        <v/>
      </c>
      <c r="I55" s="23">
        <f>SUM(I52:I54)</f>
        <v/>
      </c>
      <c r="J55" s="23">
        <f>SUM(J52:J54)</f>
        <v/>
      </c>
      <c r="K55" s="5" t="inlineStr">
        <is>
          <t>Biaya penyiapan sekali jalan [ASUMSI] Rp6,6 juta + 2-3 minggu-orang migrasi MapLibre</t>
        </is>
      </c>
    </row>
    <row r="58">
      <c r="A58" s="24" t="inlineStr">
        <is>
          <t>AMAP / GAODE — TIDAK BOLEH DIPAKAI (tidak dimodelkan)</t>
        </is>
      </c>
      <c r="B58" s="25" t="n"/>
      <c r="C58" s="25" t="n"/>
      <c r="D58" s="25" t="n"/>
      <c r="E58" s="25" t="n"/>
      <c r="F58" s="25" t="n"/>
      <c r="G58" s="25" t="n"/>
      <c r="H58" s="25" t="n"/>
      <c r="I58" s="25" t="n"/>
      <c r="J58" s="25" t="n"/>
      <c r="K58" s="25" t="n"/>
    </row>
    <row r="59">
      <c r="A59" s="26" t="inlineStr">
        <is>
          <t>Perjanjian Layanan Platform Terbuka AMap Pasal 14.1 [S-06]: layanan hanya untuk pengembang di daratan RRT, server di daratan RRT, dan pengguna akhir di daratan RRT. Pemakaian di luar itu tanpa izin tertulis menjadi risiko penuh pengembang. Pasal 8.4 menuntut nomor KTP RRT; Pasal 13.1/13.2 memberlakukan hukum &amp; pengadilan RRT; Pasal 4.10.6 menuntut kepatuhan UU Survei &amp; Pemetaan RRT. Ditambah Pasal 56 UU 27/2022 [S-32] untuk transfer data lokasi ke RRT. Harga hipotetisnya murah (Rp186/pesanan) tetapi tidak dapat diakses.</t>
        </is>
      </c>
    </row>
    <row r="60"/>
    <row r="61"/>
  </sheetData>
  <mergeCells count="1">
    <mergeCell ref="A59:K6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showGridLines="0" workbookViewId="0">
      <pane ySplit="3" topLeftCell="A4" activePane="bottomLeft" state="frozen"/>
      <selection pane="bottomLeft" activeCell="A1" sqref="A1"/>
    </sheetView>
  </sheetViews>
  <sheetFormatPr baseColWidth="8" defaultRowHeight="15"/>
  <cols>
    <col width="3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46" customWidth="1" min="11" max="11"/>
  </cols>
  <sheetData>
    <row r="1">
      <c r="A1" s="1" t="inlineStr">
        <is>
          <t>Biaya Bulanan dalam Rupiah &amp; Biaya per Pesanan — penentu unit economics</t>
        </is>
      </c>
    </row>
    <row r="2">
      <c r="A2" s="2" t="inlineStr">
        <is>
          <t>Seluruh penyedia luar negeri sudah termasuk PPN PMSE 11% [S-31]. Kolom "% pendapatan" dibandingkan dengan pendapatan platform Rp1.640/pesanan pada komisi patuh 8% Perpres 27/2026.</t>
        </is>
      </c>
    </row>
    <row r="4">
      <c r="A4" s="4" t="inlineStr">
        <is>
          <t>Penyedia</t>
        </is>
      </c>
      <c r="B4" s="4" t="inlineStr">
        <is>
          <t>Rp/bulan A</t>
        </is>
      </c>
      <c r="C4" s="4" t="inlineStr">
        <is>
          <t>Rp/bulan B</t>
        </is>
      </c>
      <c r="D4" s="4" t="inlineStr">
        <is>
          <t>Rp/bulan C</t>
        </is>
      </c>
      <c r="E4" s="4" t="inlineStr">
        <is>
          <t>Rp/pesanan A</t>
        </is>
      </c>
      <c r="F4" s="4" t="inlineStr">
        <is>
          <t>Rp/pesanan B</t>
        </is>
      </c>
      <c r="G4" s="4" t="inlineStr">
        <is>
          <t>Rp/pesanan C</t>
        </is>
      </c>
      <c r="H4" s="4" t="inlineStr">
        <is>
          <t>% pendapatan A</t>
        </is>
      </c>
      <c r="I4" s="4" t="inlineStr">
        <is>
          <t>% pendapatan B</t>
        </is>
      </c>
      <c r="J4" s="4" t="inlineStr">
        <is>
          <t>% pendapatan C</t>
        </is>
      </c>
      <c r="K4" s="4" t="inlineStr">
        <is>
          <t>Catatan</t>
        </is>
      </c>
    </row>
    <row r="5">
      <c r="A5" s="5" t="inlineStr">
        <is>
          <t>Google Maps Platform</t>
        </is>
      </c>
      <c r="B5" s="11">
        <f>'Biaya Bulanan 3 Skenario'!E10*'Asumsi Volume'!$B$9*'Asumsi Volume'!$B$6</f>
        <v/>
      </c>
      <c r="C5" s="11">
        <f>'Biaya Bulanan 3 Skenario'!F10*'Asumsi Volume'!$B$9*'Asumsi Volume'!$B$6</f>
        <v/>
      </c>
      <c r="D5" s="11">
        <f>'Biaya Bulanan 3 Skenario'!G10*'Asumsi Volume'!$B$9*'Asumsi Volume'!$B$6</f>
        <v/>
      </c>
      <c r="E5" s="11">
        <f>B5/'Asumsi Volume'!B$18</f>
        <v/>
      </c>
      <c r="F5" s="11">
        <f>C5/'Asumsi Volume'!C$18</f>
        <v/>
      </c>
      <c r="G5" s="11">
        <f>D5/'Asumsi Volume'!D$18</f>
        <v/>
      </c>
      <c r="H5" s="27">
        <f>E5/'Asumsi Volume'!$B$12</f>
        <v/>
      </c>
      <c r="I5" s="27">
        <f>F5/'Asumsi Volume'!$B$12</f>
        <v/>
      </c>
      <c r="J5" s="27">
        <f>G5/'Asumsi Volume'!$B$12</f>
        <v/>
      </c>
      <c r="K5" s="5" t="inlineStr">
        <is>
          <t>Termahal — memakan 56-67% pendapatan platform per pesanan</t>
        </is>
      </c>
    </row>
    <row r="6">
      <c r="A6" s="5" t="inlineStr">
        <is>
          <t>HERE</t>
        </is>
      </c>
      <c r="B6" s="11">
        <f>'Biaya Bulanan 3 Skenario'!E31*'Asumsi Volume'!$B$9*'Asumsi Volume'!$B$6</f>
        <v/>
      </c>
      <c r="C6" s="11">
        <f>'Biaya Bulanan 3 Skenario'!F31*'Asumsi Volume'!$B$9*'Asumsi Volume'!$B$6</f>
        <v/>
      </c>
      <c r="D6" s="11">
        <f>'Biaya Bulanan 3 Skenario'!G31*'Asumsi Volume'!$B$9*'Asumsi Volume'!$B$6</f>
        <v/>
      </c>
      <c r="E6" s="11">
        <f>B6/'Asumsi Volume'!B$18</f>
        <v/>
      </c>
      <c r="F6" s="11">
        <f>C6/'Asumsi Volume'!C$18</f>
        <v/>
      </c>
      <c r="G6" s="11">
        <f>D6/'Asumsi Volume'!D$18</f>
        <v/>
      </c>
      <c r="H6" s="27">
        <f>E6/'Asumsi Volume'!$B$12</f>
        <v/>
      </c>
      <c r="I6" s="27">
        <f>F6/'Asumsi Volume'!$B$12</f>
        <v/>
      </c>
      <c r="J6" s="27">
        <f>G6/'Asumsi Volume'!$B$12</f>
        <v/>
      </c>
      <c r="K6" s="5" t="inlineStr">
        <is>
          <t>Tarif routing [ASUMSI]; data peta independen dari OSM</t>
        </is>
      </c>
    </row>
    <row r="7">
      <c r="A7" s="5" t="inlineStr">
        <is>
          <t>MapTiler Flex</t>
        </is>
      </c>
      <c r="B7" s="11">
        <f>'Biaya Bulanan 3 Skenario'!E24*'Asumsi Volume'!$B$9*'Asumsi Volume'!$B$6</f>
        <v/>
      </c>
      <c r="C7" s="11">
        <f>'Biaya Bulanan 3 Skenario'!F24*'Asumsi Volume'!$B$9*'Asumsi Volume'!$B$6</f>
        <v/>
      </c>
      <c r="D7" s="11">
        <f>'Biaya Bulanan 3 Skenario'!G24*'Asumsi Volume'!$B$9*'Asumsi Volume'!$B$6</f>
        <v/>
      </c>
      <c r="E7" s="11">
        <f>B7/'Asumsi Volume'!B$18</f>
        <v/>
      </c>
      <c r="F7" s="11">
        <f>C7/'Asumsi Volume'!C$18</f>
        <v/>
      </c>
      <c r="G7" s="11">
        <f>D7/'Asumsi Volume'!D$18</f>
        <v/>
      </c>
      <c r="H7" s="27">
        <f>E7/'Asumsi Volume'!$B$12</f>
        <v/>
      </c>
      <c r="I7" s="27">
        <f>F7/'Asumsi Volume'!$B$12</f>
        <v/>
      </c>
      <c r="J7" s="27">
        <f>G7/'Asumsi Volume'!$B$12</f>
        <v/>
      </c>
      <c r="K7" s="5" t="inlineStr">
        <is>
          <t>BELUM termasuk routing — perlu penyedia rute tambahan</t>
        </is>
      </c>
    </row>
    <row r="8">
      <c r="A8" s="5" t="inlineStr">
        <is>
          <t>Mapbox</t>
        </is>
      </c>
      <c r="B8" s="11">
        <f>'Biaya Bulanan 3 Skenario'!E17*'Asumsi Volume'!$B$9*'Asumsi Volume'!$B$6</f>
        <v/>
      </c>
      <c r="C8" s="11">
        <f>'Biaya Bulanan 3 Skenario'!F17*'Asumsi Volume'!$B$9*'Asumsi Volume'!$B$6</f>
        <v/>
      </c>
      <c r="D8" s="11">
        <f>'Biaya Bulanan 3 Skenario'!G17*'Asumsi Volume'!$B$9*'Asumsi Volume'!$B$6</f>
        <v/>
      </c>
      <c r="E8" s="11">
        <f>B8/'Asumsi Volume'!B$18</f>
        <v/>
      </c>
      <c r="F8" s="11">
        <f>C8/'Asumsi Volume'!C$18</f>
        <v/>
      </c>
      <c r="G8" s="11">
        <f>D8/'Asumsi Volume'!D$18</f>
        <v/>
      </c>
      <c r="H8" s="27">
        <f>E8/'Asumsi Volume'!$B$12</f>
        <v/>
      </c>
      <c r="I8" s="27">
        <f>F8/'Asumsi Volume'!$B$12</f>
        <v/>
      </c>
      <c r="J8" s="27">
        <f>G8/'Asumsi Volume'!$B$12</f>
        <v/>
      </c>
      <c r="K8" s="5" t="inlineStr">
        <is>
          <t>CADANGAN. Per MAU, kebal terhadap gambar-ulang peta yang boros</t>
        </is>
      </c>
    </row>
    <row r="9">
      <c r="A9" s="5" t="inlineStr">
        <is>
          <t>Stadia Maps</t>
        </is>
      </c>
      <c r="B9" s="11">
        <f>'Biaya Bulanan 3 Skenario'!E40*'Asumsi Volume'!$B$9*'Asumsi Volume'!$B$6</f>
        <v/>
      </c>
      <c r="C9" s="11">
        <f>'Biaya Bulanan 3 Skenario'!F40*'Asumsi Volume'!$B$9*'Asumsi Volume'!$B$6</f>
        <v/>
      </c>
      <c r="D9" s="11">
        <f>'Biaya Bulanan 3 Skenario'!G40*'Asumsi Volume'!$B$9*'Asumsi Volume'!$B$6</f>
        <v/>
      </c>
      <c r="E9" s="11">
        <f>B9/'Asumsi Volume'!B$18</f>
        <v/>
      </c>
      <c r="F9" s="11">
        <f>C9/'Asumsi Volume'!C$18</f>
        <v/>
      </c>
      <c r="G9" s="11">
        <f>D9/'Asumsi Volume'!D$18</f>
        <v/>
      </c>
      <c r="H9" s="27">
        <f>E9/'Asumsi Volume'!$B$12</f>
        <v/>
      </c>
      <c r="I9" s="27">
        <f>F9/'Asumsi Volume'!$B$12</f>
        <v/>
      </c>
      <c r="J9" s="27">
        <f>G9/'Asumsi Volume'!$B$12</f>
        <v/>
      </c>
      <c r="K9" s="5" t="inlineStr">
        <is>
          <t>PILIHAN UTAMA. Satu vendor, kompatibel Leaflet, berbasis OSM</t>
        </is>
      </c>
    </row>
    <row r="10">
      <c r="A10" s="5" t="inlineStr">
        <is>
          <t>Geoapify + PMTiles/R2</t>
        </is>
      </c>
      <c r="B10" s="11">
        <f>'Biaya Bulanan 3 Skenario'!E47*'Asumsi Volume'!$B$9*'Asumsi Volume'!$B$6</f>
        <v/>
      </c>
      <c r="C10" s="11">
        <f>'Biaya Bulanan 3 Skenario'!F47*'Asumsi Volume'!$B$9*'Asumsi Volume'!$B$6</f>
        <v/>
      </c>
      <c r="D10" s="11">
        <f>'Biaya Bulanan 3 Skenario'!G47*'Asumsi Volume'!$B$9*'Asumsi Volume'!$B$6</f>
        <v/>
      </c>
      <c r="E10" s="11">
        <f>B10/'Asumsi Volume'!B$18</f>
        <v/>
      </c>
      <c r="F10" s="11">
        <f>C10/'Asumsi Volume'!C$18</f>
        <v/>
      </c>
      <c r="G10" s="11">
        <f>D10/'Asumsi Volume'!D$18</f>
        <v/>
      </c>
      <c r="H10" s="27">
        <f>E10/'Asumsi Volume'!$B$12</f>
        <v/>
      </c>
      <c r="I10" s="27">
        <f>F10/'Asumsi Volume'!$B$12</f>
        <v/>
      </c>
      <c r="J10" s="27">
        <f>G10/'Asumsi Volume'!$B$12</f>
        <v/>
      </c>
      <c r="K10" s="5" t="inlineStr">
        <is>
          <t>Termurah terkelola; perlu ganti renderer ke MapLibre GL</t>
        </is>
      </c>
    </row>
    <row r="11">
      <c r="A11" s="5" t="inlineStr">
        <is>
          <t>Swasembada (VPS Jakarta + R2)</t>
        </is>
      </c>
      <c r="B11" s="11">
        <f>'Biaya Bulanan 3 Skenario'!E55</f>
        <v/>
      </c>
      <c r="C11" s="11">
        <f>'Biaya Bulanan 3 Skenario'!F55</f>
        <v/>
      </c>
      <c r="D11" s="11">
        <f>'Biaya Bulanan 3 Skenario'!G55</f>
        <v/>
      </c>
      <c r="E11" s="11">
        <f>B11/'Asumsi Volume'!B$18</f>
        <v/>
      </c>
      <c r="F11" s="11">
        <f>C11/'Asumsi Volume'!C$18</f>
        <v/>
      </c>
      <c r="G11" s="11">
        <f>D11/'Asumsi Volume'!D$18</f>
        <v/>
      </c>
      <c r="H11" s="27">
        <f>E11/'Asumsi Volume'!$B$12</f>
        <v/>
      </c>
      <c r="I11" s="27">
        <f>F11/'Asumsi Volume'!$B$12</f>
        <v/>
      </c>
      <c r="J11" s="27">
        <f>G11/'Asumsi Volume'!$B$12</f>
        <v/>
      </c>
      <c r="K11" s="5" t="inlineStr">
        <is>
          <t>Termurah pada skala; perlu 0,2 FTE + migrasi MapLibre</t>
        </is>
      </c>
    </row>
    <row r="13">
      <c r="A13" s="3" t="inlineStr">
        <is>
          <t>SETELAH STRATEGI HEMAT §5 (cache + debounce + tunda rute + kurangi gambar-ulang)</t>
        </is>
      </c>
    </row>
    <row r="14">
      <c r="A14" s="4" t="inlineStr">
        <is>
          <t>Penyedia</t>
        </is>
      </c>
      <c r="B14" s="4" t="inlineStr">
        <is>
          <t>Rp/bulan A</t>
        </is>
      </c>
      <c r="C14" s="4" t="inlineStr">
        <is>
          <t>Rp/bulan B</t>
        </is>
      </c>
      <c r="D14" s="4" t="inlineStr">
        <is>
          <t>Rp/bulan C</t>
        </is>
      </c>
      <c r="E14" s="4" t="inlineStr">
        <is>
          <t>Rp/pesanan A</t>
        </is>
      </c>
      <c r="F14" s="4" t="inlineStr">
        <is>
          <t>Rp/pesanan B</t>
        </is>
      </c>
      <c r="G14" s="4" t="inlineStr">
        <is>
          <t>Rp/pesanan C</t>
        </is>
      </c>
      <c r="H14" s="4" t="inlineStr">
        <is>
          <t>% pendapatan A</t>
        </is>
      </c>
      <c r="I14" s="4" t="inlineStr">
        <is>
          <t>% pendapatan B</t>
        </is>
      </c>
      <c r="J14" s="4" t="inlineStr">
        <is>
          <t>% pendapatan C</t>
        </is>
      </c>
      <c r="K14" s="4" t="inlineStr">
        <is>
          <t>Catatan</t>
        </is>
      </c>
    </row>
    <row r="15">
      <c r="A15" s="5" t="inlineStr">
        <is>
          <t>Google Maps Platform — hemat</t>
        </is>
      </c>
      <c r="B15" s="11">
        <f>'Biaya Bulanan 3 Skenario'!H10*'Asumsi Volume'!$B$9*'Asumsi Volume'!$B$6</f>
        <v/>
      </c>
      <c r="C15" s="11">
        <f>'Biaya Bulanan 3 Skenario'!I10*'Asumsi Volume'!$B$9*'Asumsi Volume'!$B$6</f>
        <v/>
      </c>
      <c r="D15" s="11">
        <f>'Biaya Bulanan 3 Skenario'!J10*'Asumsi Volume'!$B$9*'Asumsi Volume'!$B$6</f>
        <v/>
      </c>
      <c r="E15" s="11">
        <f>B15/'Asumsi Volume'!B$18</f>
        <v/>
      </c>
      <c r="F15" s="11">
        <f>C15/'Asumsi Volume'!C$18</f>
        <v/>
      </c>
      <c r="G15" s="11">
        <f>D15/'Asumsi Volume'!D$18</f>
        <v/>
      </c>
      <c r="H15" s="27">
        <f>E15/'Asumsi Volume'!$B$12</f>
        <v/>
      </c>
      <c r="I15" s="27">
        <f>F15/'Asumsi Volume'!$B$12</f>
        <v/>
      </c>
      <c r="J15" s="27">
        <f>G15/'Asumsi Volume'!$B$12</f>
        <v/>
      </c>
      <c r="K15" s="5" t="inlineStr">
        <is>
          <t>Penghematan C: =B5… lihat baris pasangannya di atas</t>
        </is>
      </c>
    </row>
    <row r="16">
      <c r="A16" s="5" t="inlineStr">
        <is>
          <t>HERE — hemat</t>
        </is>
      </c>
      <c r="B16" s="11">
        <f>'Biaya Bulanan 3 Skenario'!H31*'Asumsi Volume'!$B$9*'Asumsi Volume'!$B$6</f>
        <v/>
      </c>
      <c r="C16" s="11">
        <f>'Biaya Bulanan 3 Skenario'!I31*'Asumsi Volume'!$B$9*'Asumsi Volume'!$B$6</f>
        <v/>
      </c>
      <c r="D16" s="11">
        <f>'Biaya Bulanan 3 Skenario'!J31*'Asumsi Volume'!$B$9*'Asumsi Volume'!$B$6</f>
        <v/>
      </c>
      <c r="E16" s="11">
        <f>B16/'Asumsi Volume'!B$18</f>
        <v/>
      </c>
      <c r="F16" s="11">
        <f>C16/'Asumsi Volume'!C$18</f>
        <v/>
      </c>
      <c r="G16" s="11">
        <f>D16/'Asumsi Volume'!D$18</f>
        <v/>
      </c>
      <c r="H16" s="27">
        <f>E16/'Asumsi Volume'!$B$12</f>
        <v/>
      </c>
      <c r="I16" s="27">
        <f>F16/'Asumsi Volume'!$B$12</f>
        <v/>
      </c>
      <c r="J16" s="27">
        <f>G16/'Asumsi Volume'!$B$12</f>
        <v/>
      </c>
      <c r="K16" s="5" t="inlineStr">
        <is>
          <t>Penghematan C: =B6… lihat baris pasangannya di atas</t>
        </is>
      </c>
    </row>
    <row r="17">
      <c r="A17" s="5" t="inlineStr">
        <is>
          <t>MapTiler Flex — hemat</t>
        </is>
      </c>
      <c r="B17" s="11">
        <f>'Biaya Bulanan 3 Skenario'!H24*'Asumsi Volume'!$B$9*'Asumsi Volume'!$B$6</f>
        <v/>
      </c>
      <c r="C17" s="11">
        <f>'Biaya Bulanan 3 Skenario'!I24*'Asumsi Volume'!$B$9*'Asumsi Volume'!$B$6</f>
        <v/>
      </c>
      <c r="D17" s="11">
        <f>'Biaya Bulanan 3 Skenario'!J24*'Asumsi Volume'!$B$9*'Asumsi Volume'!$B$6</f>
        <v/>
      </c>
      <c r="E17" s="11">
        <f>B17/'Asumsi Volume'!B$18</f>
        <v/>
      </c>
      <c r="F17" s="11">
        <f>C17/'Asumsi Volume'!C$18</f>
        <v/>
      </c>
      <c r="G17" s="11">
        <f>D17/'Asumsi Volume'!D$18</f>
        <v/>
      </c>
      <c r="H17" s="27">
        <f>E17/'Asumsi Volume'!$B$12</f>
        <v/>
      </c>
      <c r="I17" s="27">
        <f>F17/'Asumsi Volume'!$B$12</f>
        <v/>
      </c>
      <c r="J17" s="27">
        <f>G17/'Asumsi Volume'!$B$12</f>
        <v/>
      </c>
      <c r="K17" s="5" t="inlineStr">
        <is>
          <t>Penghematan C: =B7… lihat baris pasangannya di atas</t>
        </is>
      </c>
    </row>
    <row r="18">
      <c r="A18" s="5" t="inlineStr">
        <is>
          <t>Mapbox — hemat</t>
        </is>
      </c>
      <c r="B18" s="11">
        <f>'Biaya Bulanan 3 Skenario'!H17*'Asumsi Volume'!$B$9*'Asumsi Volume'!$B$6</f>
        <v/>
      </c>
      <c r="C18" s="11">
        <f>'Biaya Bulanan 3 Skenario'!I17*'Asumsi Volume'!$B$9*'Asumsi Volume'!$B$6</f>
        <v/>
      </c>
      <c r="D18" s="11">
        <f>'Biaya Bulanan 3 Skenario'!J17*'Asumsi Volume'!$B$9*'Asumsi Volume'!$B$6</f>
        <v/>
      </c>
      <c r="E18" s="11">
        <f>B18/'Asumsi Volume'!B$18</f>
        <v/>
      </c>
      <c r="F18" s="11">
        <f>C18/'Asumsi Volume'!C$18</f>
        <v/>
      </c>
      <c r="G18" s="11">
        <f>D18/'Asumsi Volume'!D$18</f>
        <v/>
      </c>
      <c r="H18" s="27">
        <f>E18/'Asumsi Volume'!$B$12</f>
        <v/>
      </c>
      <c r="I18" s="27">
        <f>F18/'Asumsi Volume'!$B$12</f>
        <v/>
      </c>
      <c r="J18" s="27">
        <f>G18/'Asumsi Volume'!$B$12</f>
        <v/>
      </c>
      <c r="K18" s="5" t="inlineStr">
        <is>
          <t>Penghematan C: =B8… lihat baris pasangannya di atas</t>
        </is>
      </c>
    </row>
    <row r="19">
      <c r="A19" s="5" t="inlineStr">
        <is>
          <t>Stadia Maps — hemat</t>
        </is>
      </c>
      <c r="B19" s="11">
        <f>'Biaya Bulanan 3 Skenario'!H40*'Asumsi Volume'!$B$9*'Asumsi Volume'!$B$6</f>
        <v/>
      </c>
      <c r="C19" s="11">
        <f>'Biaya Bulanan 3 Skenario'!I40*'Asumsi Volume'!$B$9*'Asumsi Volume'!$B$6</f>
        <v/>
      </c>
      <c r="D19" s="11">
        <f>'Biaya Bulanan 3 Skenario'!J40*'Asumsi Volume'!$B$9*'Asumsi Volume'!$B$6</f>
        <v/>
      </c>
      <c r="E19" s="11">
        <f>B19/'Asumsi Volume'!B$18</f>
        <v/>
      </c>
      <c r="F19" s="11">
        <f>C19/'Asumsi Volume'!C$18</f>
        <v/>
      </c>
      <c r="G19" s="11">
        <f>D19/'Asumsi Volume'!D$18</f>
        <v/>
      </c>
      <c r="H19" s="27">
        <f>E19/'Asumsi Volume'!$B$12</f>
        <v/>
      </c>
      <c r="I19" s="27">
        <f>F19/'Asumsi Volume'!$B$12</f>
        <v/>
      </c>
      <c r="J19" s="27">
        <f>G19/'Asumsi Volume'!$B$12</f>
        <v/>
      </c>
      <c r="K19" s="5" t="inlineStr">
        <is>
          <t>Penghematan C: =B9… lihat baris pasangannya di atas</t>
        </is>
      </c>
    </row>
    <row r="20">
      <c r="A20" s="5" t="inlineStr">
        <is>
          <t>Geoapify + PMTiles/R2 — hemat</t>
        </is>
      </c>
      <c r="B20" s="11">
        <f>'Biaya Bulanan 3 Skenario'!H47*'Asumsi Volume'!$B$9*'Asumsi Volume'!$B$6</f>
        <v/>
      </c>
      <c r="C20" s="11">
        <f>'Biaya Bulanan 3 Skenario'!I47*'Asumsi Volume'!$B$9*'Asumsi Volume'!$B$6</f>
        <v/>
      </c>
      <c r="D20" s="11">
        <f>'Biaya Bulanan 3 Skenario'!J47*'Asumsi Volume'!$B$9*'Asumsi Volume'!$B$6</f>
        <v/>
      </c>
      <c r="E20" s="11">
        <f>B20/'Asumsi Volume'!B$18</f>
        <v/>
      </c>
      <c r="F20" s="11">
        <f>C20/'Asumsi Volume'!C$18</f>
        <v/>
      </c>
      <c r="G20" s="11">
        <f>D20/'Asumsi Volume'!D$18</f>
        <v/>
      </c>
      <c r="H20" s="27">
        <f>E20/'Asumsi Volume'!$B$12</f>
        <v/>
      </c>
      <c r="I20" s="27">
        <f>F20/'Asumsi Volume'!$B$12</f>
        <v/>
      </c>
      <c r="J20" s="27">
        <f>G20/'Asumsi Volume'!$B$12</f>
        <v/>
      </c>
      <c r="K20" s="5" t="inlineStr">
        <is>
          <t>Penghematan C: =B10… lihat baris pasangannya di atas</t>
        </is>
      </c>
    </row>
    <row r="21">
      <c r="A21" s="5" t="inlineStr">
        <is>
          <t>Swasembada (VPS Jakarta + R2) — hemat</t>
        </is>
      </c>
      <c r="B21" s="11">
        <f>'Biaya Bulanan 3 Skenario'!H55</f>
        <v/>
      </c>
      <c r="C21" s="11">
        <f>'Biaya Bulanan 3 Skenario'!I55</f>
        <v/>
      </c>
      <c r="D21" s="11">
        <f>'Biaya Bulanan 3 Skenario'!J55</f>
        <v/>
      </c>
      <c r="E21" s="11">
        <f>B21/'Asumsi Volume'!B$18</f>
        <v/>
      </c>
      <c r="F21" s="11">
        <f>C21/'Asumsi Volume'!C$18</f>
        <v/>
      </c>
      <c r="G21" s="11">
        <f>D21/'Asumsi Volume'!D$18</f>
        <v/>
      </c>
      <c r="H21" s="27">
        <f>E21/'Asumsi Volume'!$B$12</f>
        <v/>
      </c>
      <c r="I21" s="27">
        <f>F21/'Asumsi Volume'!$B$12</f>
        <v/>
      </c>
      <c r="J21" s="27">
        <f>G21/'Asumsi Volume'!$B$12</f>
        <v/>
      </c>
      <c r="K21" s="5" t="inlineStr">
        <is>
          <t>Penghematan C: =B11… lihat baris pasangannya di atas</t>
        </is>
      </c>
    </row>
    <row r="23">
      <c r="A23" s="3" t="inlineStr">
        <is>
          <t>PENGHEMATAN TAHUNAN DARI STRATEGI §5 (Rp/tahun)</t>
        </is>
      </c>
    </row>
    <row r="24">
      <c r="A24" s="4" t="inlineStr">
        <is>
          <t>Penyedia</t>
        </is>
      </c>
      <c r="B24" s="4" t="inlineStr">
        <is>
          <t>Skenario A</t>
        </is>
      </c>
      <c r="C24" s="4" t="inlineStr">
        <is>
          <t>Skenario B</t>
        </is>
      </c>
      <c r="D24" s="4" t="inlineStr">
        <is>
          <t>Skenario C</t>
        </is>
      </c>
    </row>
    <row r="25">
      <c r="A25" s="5" t="inlineStr">
        <is>
          <t>Google Maps Platform</t>
        </is>
      </c>
      <c r="B25" s="11">
        <f>(B5-B15)*12</f>
        <v/>
      </c>
      <c r="C25" s="11">
        <f>(C5-C15)*12</f>
        <v/>
      </c>
      <c r="D25" s="11">
        <f>(D5-D15)*12</f>
        <v/>
      </c>
    </row>
    <row r="26">
      <c r="A26" s="5" t="inlineStr">
        <is>
          <t>HERE</t>
        </is>
      </c>
      <c r="B26" s="11">
        <f>(B6-B16)*12</f>
        <v/>
      </c>
      <c r="C26" s="11">
        <f>(C6-C16)*12</f>
        <v/>
      </c>
      <c r="D26" s="11">
        <f>(D6-D16)*12</f>
        <v/>
      </c>
    </row>
    <row r="27">
      <c r="A27" s="5" t="inlineStr">
        <is>
          <t>MapTiler Flex</t>
        </is>
      </c>
      <c r="B27" s="11">
        <f>(B7-B17)*12</f>
        <v/>
      </c>
      <c r="C27" s="11">
        <f>(C7-C17)*12</f>
        <v/>
      </c>
      <c r="D27" s="11">
        <f>(D7-D17)*12</f>
        <v/>
      </c>
    </row>
    <row r="28">
      <c r="A28" s="5" t="inlineStr">
        <is>
          <t>Mapbox</t>
        </is>
      </c>
      <c r="B28" s="11">
        <f>(B8-B18)*12</f>
        <v/>
      </c>
      <c r="C28" s="11">
        <f>(C8-C18)*12</f>
        <v/>
      </c>
      <c r="D28" s="11">
        <f>(D8-D18)*12</f>
        <v/>
      </c>
    </row>
    <row r="29">
      <c r="A29" s="5" t="inlineStr">
        <is>
          <t>Stadia Maps</t>
        </is>
      </c>
      <c r="B29" s="11">
        <f>(B9-B19)*12</f>
        <v/>
      </c>
      <c r="C29" s="11">
        <f>(C9-C19)*12</f>
        <v/>
      </c>
      <c r="D29" s="11">
        <f>(D9-D19)*12</f>
        <v/>
      </c>
    </row>
    <row r="30">
      <c r="A30" s="5" t="inlineStr">
        <is>
          <t>Geoapify + PMTiles/R2</t>
        </is>
      </c>
      <c r="B30" s="11">
        <f>(B10-B20)*12</f>
        <v/>
      </c>
      <c r="C30" s="11">
        <f>(C10-C20)*12</f>
        <v/>
      </c>
      <c r="D30" s="11">
        <f>(D10-D20)*12</f>
        <v/>
      </c>
    </row>
    <row r="31">
      <c r="A31" s="5" t="inlineStr">
        <is>
          <t>Swasembada (VPS Jakarta + R2)</t>
        </is>
      </c>
      <c r="B31" s="11">
        <f>(B11-B21)*12</f>
        <v/>
      </c>
      <c r="C31" s="11">
        <f>(C11-C21)*12</f>
        <v/>
      </c>
      <c r="D31" s="11">
        <f>(D11-D21)*12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9"/>
  <sheetViews>
    <sheetView showGridLines="0" workbookViewId="0">
      <pane ySplit="3" topLeftCell="A4" activePane="bottomLeft" state="frozen"/>
      <selection pane="bottomLeft"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56" customWidth="1" min="8" max="8"/>
  </cols>
  <sheetData>
    <row r="1">
      <c r="A1" s="1" t="inlineStr">
        <is>
          <t>Sensitivitas — seberapa jauh kesimpulan bertahan bila asumsi meleset</t>
        </is>
      </c>
    </row>
    <row r="2">
      <c r="A2" s="2" t="inlineStr">
        <is>
          <t>Bagian 1 menguji satu parameter sekaligus terhadap total Skenario B. Bagian 2 mencari titik pindah ke swasembada. Semua sel adalah rumus hidup.</t>
        </is>
      </c>
    </row>
    <row r="4">
      <c r="A4" s="3" t="inlineStr">
        <is>
          <t>1. DAMPAK MENGGANDAKAN SATU PARAMETER PANGGILAN/PESANAN (Skenario B, USD/bulan)</t>
        </is>
      </c>
    </row>
    <row r="5">
      <c r="A5" s="4" t="inlineStr">
        <is>
          <t>Parameter yang digandakan</t>
        </is>
      </c>
      <c r="B5" s="4" t="inlineStr">
        <is>
          <t>Google</t>
        </is>
      </c>
      <c r="C5" s="4" t="inlineStr">
        <is>
          <t>Mapbox</t>
        </is>
      </c>
      <c r="D5" s="4" t="inlineStr">
        <is>
          <t>Stadia Maps</t>
        </is>
      </c>
      <c r="E5" s="4" t="inlineStr">
        <is>
          <t>HERE</t>
        </is>
      </c>
      <c r="F5" s="4" t="inlineStr">
        <is>
          <t>Geoapify + R2</t>
        </is>
      </c>
      <c r="G5" s="4" t="inlineStr">
        <is>
          <t>Swasembada (Rp)</t>
        </is>
      </c>
      <c r="H5" s="4" t="inlineStr">
        <is>
          <t>Mengapa</t>
        </is>
      </c>
    </row>
    <row r="6">
      <c r="A6" s="5" t="inlineStr">
        <is>
          <t>Basis (asumsi dokumen riset)</t>
        </is>
      </c>
      <c r="B6" s="19">
        <f>'Biaya Bulanan 3 Skenario'!F10</f>
        <v/>
      </c>
      <c r="C6" s="19">
        <f>'Biaya Bulanan 3 Skenario'!F17</f>
        <v/>
      </c>
      <c r="D6" s="19">
        <f>'Biaya Bulanan 3 Skenario'!F40</f>
        <v/>
      </c>
      <c r="E6" s="19">
        <f>'Biaya Bulanan 3 Skenario'!F31</f>
        <v/>
      </c>
      <c r="F6" s="19">
        <f>'Biaya Bulanan 3 Skenario'!F47</f>
        <v/>
      </c>
      <c r="G6" s="11">
        <f>'Biaya Bulanan 3 Skenario'!F55</f>
        <v/>
      </c>
      <c r="H6" s="5" t="inlineStr">
        <is>
          <t>Titik acuan</t>
        </is>
      </c>
    </row>
    <row r="7">
      <c r="A7" s="5" t="inlineStr">
        <is>
          <t>Permintaan ubin/pesanan: 100 → 200</t>
        </is>
      </c>
      <c r="B7" s="19">
        <f>(MIN(MAX(0,'Panggilan per Pesanan'!C17-'Harga per Penyedia'!$D$4),'Harga per Penyedia'!$E$4)*'Harga per Penyedia'!$F$4+MAX(0,MIN(MAX(0,'Panggilan per Pesanan'!C17-'Harga per Penyedia'!$D$4),'Harga per Penyedia'!$G$4)-'Harga per Penyedia'!$E$4)*'Harga per Penyedia'!$H$4+MAX(0,MIN(MAX(0,'Panggilan per Pesanan'!C17-'Harga per Penyedia'!$D$4),'Harga per Penyedia'!$I$4)-'Harga per Penyedia'!$G$4)*'Harga per Penyedia'!$J$4+MAX(0,MIN(MAX(0,'Panggilan per Pesanan'!C17-'Harga per Penyedia'!$D$4),'Harga per Penyedia'!$K$4)-'Harga per Penyedia'!$I$4)*'Harga per Penyedia'!$L$4+MAX(0,MAX(0,'Panggilan per Pesanan'!C17-'Harga per Penyedia'!$D$4)-'Harga per Penyedia'!$K$4)*'Harga per Penyedia'!$M$4)/1000+(MIN(MAX(0,'Panggilan per Pesanan'!C14-'Harga per Penyedia'!$D$5),'Harga per Penyedia'!$E$5)*'Harga per Penyedia'!$F$5+MAX(0,MIN(MAX(0,'Panggilan per Pesanan'!C14-'Harga per Penyedia'!$D$5),'Harga per Penyedia'!$G$5)-'Harga per Penyedia'!$E$5)*'Harga per Penyedia'!$H$5+MAX(0,MIN(MAX(0,'Panggilan per Pesanan'!C14-'Harga per Penyedia'!$D$5),'Harga per Penyedia'!$I$5)-'Harga per Penyedia'!$G$5)*'Harga per Penyedia'!$J$5+MAX(0,MIN(MAX(0,'Panggilan per Pesanan'!C14-'Harga per Penyedia'!$D$5),'Harga per Penyedia'!$K$5)-'Harga per Penyedia'!$I$5)*'Harga per Penyedia'!$L$5+MAX(0,MAX(0,'Panggilan per Pesanan'!C14-'Harga per Penyedia'!$D$5)-'Harga per Penyedia'!$K$5)*'Harga per Penyedia'!$M$5)/1000+(MIN(MAX(0,'Panggilan per Pesanan'!C15-'Harga per Penyedia'!$D$6),'Harga per Penyedia'!$E$6)*'Harga per Penyedia'!$F$6+MAX(0,MIN(MAX(0,'Panggilan per Pesanan'!C15-'Harga per Penyedia'!$D$6),'Harga per Penyedia'!$G$6)-'Harga per Penyedia'!$E$6)*'Harga per Penyedia'!$H$6+MAX(0,MIN(MAX(0,'Panggilan per Pesanan'!C15-'Harga per Penyedia'!$D$6),'Harga per Penyedia'!$I$6)-'Harga per Penyedia'!$G$6)*'Harga per Penyedia'!$J$6+MAX(0,MIN(MAX(0,'Panggilan per Pesanan'!C15-'Harga per Penyedia'!$D$6),'Harga per Penyedia'!$K$6)-'Harga per Penyedia'!$I$6)*'Harga per Penyedia'!$L$6+MAX(0,MAX(0,'Panggilan per Pesanan'!C15-'Harga per Penyedia'!$D$6)-'Harga per Penyedia'!$K$6)*'Harga per Penyedia'!$M$6)/1000+(MIN(MAX(0,'Panggilan per Pesanan'!C16-'Harga per Penyedia'!$D$7),'Harga per Penyedia'!$E$7)*'Harga per Penyedia'!$F$7+MAX(0,MIN(MAX(0,'Panggilan per Pesanan'!C16-'Harga per Penyedia'!$D$7),'Harga per Penyedia'!$G$7)-'Harga per Penyedia'!$E$7)*'Harga per Penyedia'!$H$7+MAX(0,MIN(MAX(0,'Panggilan per Pesanan'!C16-'Harga per Penyedia'!$D$7),'Harga per Penyedia'!$I$7)-'Harga per Penyedia'!$G$7)*'Harga per Penyedia'!$J$7+MAX(0,MIN(MAX(0,'Panggilan per Pesanan'!C16-'Harga per Penyedia'!$D$7),'Harga per Penyedia'!$K$7)-'Harga per Penyedia'!$I$7)*'Harga per Penyedia'!$L$7+MAX(0,MAX(0,'Panggilan per Pesanan'!C16-'Harga per Penyedia'!$D$7)-'Harga per Penyedia'!$K$7)*'Harga per Penyedia'!$M$7)/1000</f>
        <v/>
      </c>
      <c r="C7" s="19">
        <f>(MIN(MAX(0,'Panggilan per Pesanan'!C20-'Harga per Penyedia'!$D$10),'Harga per Penyedia'!$E$10)*'Harga per Penyedia'!$F$10+MAX(0,MIN(MAX(0,'Panggilan per Pesanan'!C20-'Harga per Penyedia'!$D$10),'Harga per Penyedia'!$G$10)-'Harga per Penyedia'!$E$10)*'Harga per Penyedia'!$H$10+MAX(0,MIN(MAX(0,'Panggilan per Pesanan'!C20-'Harga per Penyedia'!$D$10),'Harga per Penyedia'!$I$10)-'Harga per Penyedia'!$G$10)*'Harga per Penyedia'!$J$10+MAX(0,MIN(MAX(0,'Panggilan per Pesanan'!C20-'Harga per Penyedia'!$D$10),'Harga per Penyedia'!$K$10)-'Harga per Penyedia'!$I$10)*'Harga per Penyedia'!$L$10+MAX(0,MAX(0,'Panggilan per Pesanan'!C20-'Harga per Penyedia'!$D$10)-'Harga per Penyedia'!$K$10)*'Harga per Penyedia'!$M$10)/1000+(MIN(MAX(0,'Panggilan per Pesanan'!C19-'Harga per Penyedia'!$D$11),'Harga per Penyedia'!$E$11)*'Harga per Penyedia'!$F$11+MAX(0,MIN(MAX(0,'Panggilan per Pesanan'!C19-'Harga per Penyedia'!$D$11),'Harga per Penyedia'!$G$11)-'Harga per Penyedia'!$E$11)*'Harga per Penyedia'!$H$11+MAX(0,MIN(MAX(0,'Panggilan per Pesanan'!C19-'Harga per Penyedia'!$D$11),'Harga per Penyedia'!$I$11)-'Harga per Penyedia'!$G$11)*'Harga per Penyedia'!$J$11+MAX(0,MIN(MAX(0,'Panggilan per Pesanan'!C19-'Harga per Penyedia'!$D$11),'Harga per Penyedia'!$K$11)-'Harga per Penyedia'!$I$11)*'Harga per Penyedia'!$L$11+MAX(0,MAX(0,'Panggilan per Pesanan'!C19-'Harga per Penyedia'!$D$11)-'Harga per Penyedia'!$K$11)*'Harga per Penyedia'!$M$11)/1000+(MIN(MAX(0,'Panggilan per Pesanan'!C16-'Harga per Penyedia'!$D$12),'Harga per Penyedia'!$E$12)*'Harga per Penyedia'!$F$12+MAX(0,MIN(MAX(0,'Panggilan per Pesanan'!C16-'Harga per Penyedia'!$D$12),'Harga per Penyedia'!$G$12)-'Harga per Penyedia'!$E$12)*'Harga per Penyedia'!$H$12+MAX(0,MIN(MAX(0,'Panggilan per Pesanan'!C16-'Harga per Penyedia'!$D$12),'Harga per Penyedia'!$I$12)-'Harga per Penyedia'!$G$12)*'Harga per Penyedia'!$J$12+MAX(0,MIN(MAX(0,'Panggilan per Pesanan'!C16-'Harga per Penyedia'!$D$12),'Harga per Penyedia'!$K$12)-'Harga per Penyedia'!$I$12)*'Harga per Penyedia'!$L$12+MAX(0,MAX(0,'Panggilan per Pesanan'!C16-'Harga per Penyedia'!$D$12)-'Harga per Penyedia'!$K$12)*'Harga per Penyedia'!$M$12)/1000</f>
        <v/>
      </c>
      <c r="D7" s="19">
        <f>MIN('Harga per Penyedia'!$F$24+MAX(0,(('Panggilan per Pesanan'!C18*2)*'Harga per Penyedia'!$F$20+'Panggilan per Pesanan'!C14*'Harga per Penyedia'!$F$21+'Panggilan per Pesanan'!C15*'Harga per Penyedia'!$F$22+'Panggilan per Pesanan'!C16*'Harga per Penyedia'!$F$23)-'Harga per Penyedia'!$D$24)*'Harga per Penyedia'!$H$24/1000,'Harga per Penyedia'!$F$25+MAX(0,(('Panggilan per Pesanan'!C18*2)*'Harga per Penyedia'!$F$20+'Panggilan per Pesanan'!C14*'Harga per Penyedia'!$F$21+'Panggilan per Pesanan'!C15*'Harga per Penyedia'!$F$22+'Panggilan per Pesanan'!C16*'Harga per Penyedia'!$F$23)-'Harga per Penyedia'!$D$25)*'Harga per Penyedia'!$H$25/1000,'Harga per Penyedia'!$F$26+MAX(0,(('Panggilan per Pesanan'!C18*2)*'Harga per Penyedia'!$F$20+'Panggilan per Pesanan'!C14*'Harga per Penyedia'!$F$21+'Panggilan per Pesanan'!C15*'Harga per Penyedia'!$F$22+'Panggilan per Pesanan'!C16*'Harga per Penyedia'!$F$23)-'Harga per Penyedia'!$D$26)*'Harga per Penyedia'!$H$26/1000)</f>
        <v/>
      </c>
      <c r="E7" s="19">
        <f>(MIN(MAX(0,('Panggilan per Pesanan'!C14+'Panggilan per Pesanan'!C15)-'Harga per Penyedia'!$D$17),'Harga per Penyedia'!$E$17)*'Harga per Penyedia'!$F$17+MAX(0,MIN(MAX(0,('Panggilan per Pesanan'!C14+'Panggilan per Pesanan'!C15)-'Harga per Penyedia'!$D$17),'Harga per Penyedia'!$G$17)-'Harga per Penyedia'!$E$17)*'Harga per Penyedia'!$H$17+MAX(0,MIN(MAX(0,('Panggilan per Pesanan'!C14+'Panggilan per Pesanan'!C15)-'Harga per Penyedia'!$D$17),'Harga per Penyedia'!$I$17)-'Harga per Penyedia'!$G$17)*'Harga per Penyedia'!$J$17+MAX(0,MIN(MAX(0,('Panggilan per Pesanan'!C14+'Panggilan per Pesanan'!C15)-'Harga per Penyedia'!$D$17),'Harga per Penyedia'!$K$17)-'Harga per Penyedia'!$I$17)*'Harga per Penyedia'!$L$17+MAX(0,MAX(0,('Panggilan per Pesanan'!C14+'Panggilan per Pesanan'!C15)-'Harga per Penyedia'!$D$17)-'Harga per Penyedia'!$K$17)*'Harga per Penyedia'!$M$17)/1000+(MIN(MAX(0,('Panggilan per Pesanan'!C18*2)-'Harga per Penyedia'!$D$18),'Harga per Penyedia'!$E$18)*'Harga per Penyedia'!$F$18+MAX(0,MIN(MAX(0,('Panggilan per Pesanan'!C18*2)-'Harga per Penyedia'!$D$18),'Harga per Penyedia'!$G$18)-'Harga per Penyedia'!$E$18)*'Harga per Penyedia'!$H$18+MAX(0,MIN(MAX(0,('Panggilan per Pesanan'!C18*2)-'Harga per Penyedia'!$D$18),'Harga per Penyedia'!$I$18)-'Harga per Penyedia'!$G$18)*'Harga per Penyedia'!$J$18+MAX(0,MIN(MAX(0,('Panggilan per Pesanan'!C18*2)-'Harga per Penyedia'!$D$18),'Harga per Penyedia'!$K$18)-'Harga per Penyedia'!$I$18)*'Harga per Penyedia'!$L$18+MAX(0,MAX(0,('Panggilan per Pesanan'!C18*2)-'Harga per Penyedia'!$D$18)-'Harga per Penyedia'!$K$18)*'Harga per Penyedia'!$M$18)/1000+(MIN(MAX(0,'Panggilan per Pesanan'!C16-'Harga per Penyedia'!$D$19),'Harga per Penyedia'!$E$19)*'Harga per Penyedia'!$F$19+MAX(0,MIN(MAX(0,'Panggilan per Pesanan'!C16-'Harga per Penyedia'!$D$19),'Harga per Penyedia'!$G$19)-'Harga per Penyedia'!$E$19)*'Harga per Penyedia'!$H$19+MAX(0,MIN(MAX(0,'Panggilan per Pesanan'!C16-'Harga per Penyedia'!$D$19),'Harga per Penyedia'!$I$19)-'Harga per Penyedia'!$G$19)*'Harga per Penyedia'!$J$19+MAX(0,MIN(MAX(0,'Panggilan per Pesanan'!C16-'Harga per Penyedia'!$D$19),'Harga per Penyedia'!$K$19)-'Harga per Penyedia'!$I$19)*'Harga per Penyedia'!$L$19+MAX(0,MAX(0,'Panggilan per Pesanan'!C16-'Harga per Penyedia'!$D$19)-'Harga per Penyedia'!$K$19)*'Harga per Penyedia'!$M$19)/1000</f>
        <v/>
      </c>
      <c r="F7" s="19">
        <f>IF((('Panggilan per Pesanan'!C14+'Panggilan per Pesanan'!C15+'Panggilan per Pesanan'!C16)/'Asumsi Volume'!$B$10)&lt;='Harga per Penyedia'!$D$27,'Harga per Penyedia'!$F$27,IF((('Panggilan per Pesanan'!C14+'Panggilan per Pesanan'!C15+'Panggilan per Pesanan'!C16)/'Asumsi Volume'!$B$10)&lt;='Harga per Penyedia'!$D$28,'Harga per Penyedia'!$F$28,IF((('Panggilan per Pesanan'!C14+'Panggilan per Pesanan'!C15+'Panggilan per Pesanan'!C16)/'Asumsi Volume'!$B$10)&lt;='Harga per Penyedia'!$D$29,'Harga per Penyedia'!$F$29,IF((('Panggilan per Pesanan'!C14+'Panggilan per Pesanan'!C15+'Panggilan per Pesanan'!C16)/'Asumsi Volume'!$B$10)&lt;='Harga per Penyedia'!$D$30,'Harga per Penyedia'!$F$30,IF((('Panggilan per Pesanan'!C14+'Panggilan per Pesanan'!C15+'Panggilan per Pesanan'!C16)/'Asumsi Volume'!$B$10)&lt;='Harga per Penyedia'!$D$31,'Harga per Penyedia'!$F$31,IF((('Panggilan per Pesanan'!C14+'Panggilan per Pesanan'!C15+'Panggilan per Pesanan'!C16)/'Asumsi Volume'!$B$10)&lt;='Harga per Penyedia'!$D$32,'Harga per Penyedia'!$F$32,'Harga per Penyedia'!$F$33))))))+MAX(0,('Panggilan per Pesanan'!C18*2)-'Harga per Penyedia'!$D$34)*'Harga per Penyedia'!$F$34/1000000</f>
        <v/>
      </c>
      <c r="G7" s="11">
        <f>'Biaya Bulanan 3 Skenario'!F55-'Biaya Bulanan 3 Skenario'!F53+MAX(0,('Panggilan per Pesanan'!C18*2)-'Harga per Penyedia'!$D$34)*'Harga per Penyedia'!$F$34/1000000*'Asumsi Volume'!$B$6*'Asumsi Volume'!$B$9</f>
        <v/>
      </c>
      <c r="H7" s="28" t="inlineStr">
        <is>
          <t>Google &amp; Mapbox kebal (per map load / per MAU). HERE &amp; Stadia terpengaruh langsung.</t>
        </is>
      </c>
    </row>
    <row r="8">
      <c r="A8" s="5" t="inlineStr">
        <is>
          <t>Autocomplete/pesanan: 4,0 → 8,0</t>
        </is>
      </c>
      <c r="B8" s="19">
        <f>(MIN(MAX(0,'Panggilan per Pesanan'!C17-'Harga per Penyedia'!$D$4),'Harga per Penyedia'!$E$4)*'Harga per Penyedia'!$F$4+MAX(0,MIN(MAX(0,'Panggilan per Pesanan'!C17-'Harga per Penyedia'!$D$4),'Harga per Penyedia'!$G$4)-'Harga per Penyedia'!$E$4)*'Harga per Penyedia'!$H$4+MAX(0,MIN(MAX(0,'Panggilan per Pesanan'!C17-'Harga per Penyedia'!$D$4),'Harga per Penyedia'!$I$4)-'Harga per Penyedia'!$G$4)*'Harga per Penyedia'!$J$4+MAX(0,MIN(MAX(0,'Panggilan per Pesanan'!C17-'Harga per Penyedia'!$D$4),'Harga per Penyedia'!$K$4)-'Harga per Penyedia'!$I$4)*'Harga per Penyedia'!$L$4+MAX(0,MAX(0,'Panggilan per Pesanan'!C17-'Harga per Penyedia'!$D$4)-'Harga per Penyedia'!$K$4)*'Harga per Penyedia'!$M$4)/1000+(MIN(MAX(0,('Panggilan per Pesanan'!C14*2)-'Harga per Penyedia'!$D$5),'Harga per Penyedia'!$E$5)*'Harga per Penyedia'!$F$5+MAX(0,MIN(MAX(0,('Panggilan per Pesanan'!C14*2)-'Harga per Penyedia'!$D$5),'Harga per Penyedia'!$G$5)-'Harga per Penyedia'!$E$5)*'Harga per Penyedia'!$H$5+MAX(0,MIN(MAX(0,('Panggilan per Pesanan'!C14*2)-'Harga per Penyedia'!$D$5),'Harga per Penyedia'!$I$5)-'Harga per Penyedia'!$G$5)*'Harga per Penyedia'!$J$5+MAX(0,MIN(MAX(0,('Panggilan per Pesanan'!C14*2)-'Harga per Penyedia'!$D$5),'Harga per Penyedia'!$K$5)-'Harga per Penyedia'!$I$5)*'Harga per Penyedia'!$L$5+MAX(0,MAX(0,('Panggilan per Pesanan'!C14*2)-'Harga per Penyedia'!$D$5)-'Harga per Penyedia'!$K$5)*'Harga per Penyedia'!$M$5)/1000+(MIN(MAX(0,'Panggilan per Pesanan'!C15-'Harga per Penyedia'!$D$6),'Harga per Penyedia'!$E$6)*'Harga per Penyedia'!$F$6+MAX(0,MIN(MAX(0,'Panggilan per Pesanan'!C15-'Harga per Penyedia'!$D$6),'Harga per Penyedia'!$G$6)-'Harga per Penyedia'!$E$6)*'Harga per Penyedia'!$H$6+MAX(0,MIN(MAX(0,'Panggilan per Pesanan'!C15-'Harga per Penyedia'!$D$6),'Harga per Penyedia'!$I$6)-'Harga per Penyedia'!$G$6)*'Harga per Penyedia'!$J$6+MAX(0,MIN(MAX(0,'Panggilan per Pesanan'!C15-'Harga per Penyedia'!$D$6),'Harga per Penyedia'!$K$6)-'Harga per Penyedia'!$I$6)*'Harga per Penyedia'!$L$6+MAX(0,MAX(0,'Panggilan per Pesanan'!C15-'Harga per Penyedia'!$D$6)-'Harga per Penyedia'!$K$6)*'Harga per Penyedia'!$M$6)/1000+(MIN(MAX(0,'Panggilan per Pesanan'!C16-'Harga per Penyedia'!$D$7),'Harga per Penyedia'!$E$7)*'Harga per Penyedia'!$F$7+MAX(0,MIN(MAX(0,'Panggilan per Pesanan'!C16-'Harga per Penyedia'!$D$7),'Harga per Penyedia'!$G$7)-'Harga per Penyedia'!$E$7)*'Harga per Penyedia'!$H$7+MAX(0,MIN(MAX(0,'Panggilan per Pesanan'!C16-'Harga per Penyedia'!$D$7),'Harga per Penyedia'!$I$7)-'Harga per Penyedia'!$G$7)*'Harga per Penyedia'!$J$7+MAX(0,MIN(MAX(0,'Panggilan per Pesanan'!C16-'Harga per Penyedia'!$D$7),'Harga per Penyedia'!$K$7)-'Harga per Penyedia'!$I$7)*'Harga per Penyedia'!$L$7+MAX(0,MAX(0,'Panggilan per Pesanan'!C16-'Harga per Penyedia'!$D$7)-'Harga per Penyedia'!$K$7)*'Harga per Penyedia'!$M$7)/1000</f>
        <v/>
      </c>
      <c r="C8" s="19">
        <f>(MIN(MAX(0,'Panggilan per Pesanan'!C20-'Harga per Penyedia'!$D$10),'Harga per Penyedia'!$E$10)*'Harga per Penyedia'!$F$10+MAX(0,MIN(MAX(0,'Panggilan per Pesanan'!C20-'Harga per Penyedia'!$D$10),'Harga per Penyedia'!$G$10)-'Harga per Penyedia'!$E$10)*'Harga per Penyedia'!$H$10+MAX(0,MIN(MAX(0,'Panggilan per Pesanan'!C20-'Harga per Penyedia'!$D$10),'Harga per Penyedia'!$I$10)-'Harga per Penyedia'!$G$10)*'Harga per Penyedia'!$J$10+MAX(0,MIN(MAX(0,'Panggilan per Pesanan'!C20-'Harga per Penyedia'!$D$10),'Harga per Penyedia'!$K$10)-'Harga per Penyedia'!$I$10)*'Harga per Penyedia'!$L$10+MAX(0,MAX(0,'Panggilan per Pesanan'!C20-'Harga per Penyedia'!$D$10)-'Harga per Penyedia'!$K$10)*'Harga per Penyedia'!$M$10)/1000+(MIN(MAX(0,'Panggilan per Pesanan'!C19-'Harga per Penyedia'!$D$11),'Harga per Penyedia'!$E$11)*'Harga per Penyedia'!$F$11+MAX(0,MIN(MAX(0,'Panggilan per Pesanan'!C19-'Harga per Penyedia'!$D$11),'Harga per Penyedia'!$G$11)-'Harga per Penyedia'!$E$11)*'Harga per Penyedia'!$H$11+MAX(0,MIN(MAX(0,'Panggilan per Pesanan'!C19-'Harga per Penyedia'!$D$11),'Harga per Penyedia'!$I$11)-'Harga per Penyedia'!$G$11)*'Harga per Penyedia'!$J$11+MAX(0,MIN(MAX(0,'Panggilan per Pesanan'!C19-'Harga per Penyedia'!$D$11),'Harga per Penyedia'!$K$11)-'Harga per Penyedia'!$I$11)*'Harga per Penyedia'!$L$11+MAX(0,MAX(0,'Panggilan per Pesanan'!C19-'Harga per Penyedia'!$D$11)-'Harga per Penyedia'!$K$11)*'Harga per Penyedia'!$M$11)/1000+(MIN(MAX(0,'Panggilan per Pesanan'!C16-'Harga per Penyedia'!$D$12),'Harga per Penyedia'!$E$12)*'Harga per Penyedia'!$F$12+MAX(0,MIN(MAX(0,'Panggilan per Pesanan'!C16-'Harga per Penyedia'!$D$12),'Harga per Penyedia'!$G$12)-'Harga per Penyedia'!$E$12)*'Harga per Penyedia'!$H$12+MAX(0,MIN(MAX(0,'Panggilan per Pesanan'!C16-'Harga per Penyedia'!$D$12),'Harga per Penyedia'!$I$12)-'Harga per Penyedia'!$G$12)*'Harga per Penyedia'!$J$12+MAX(0,MIN(MAX(0,'Panggilan per Pesanan'!C16-'Harga per Penyedia'!$D$12),'Harga per Penyedia'!$K$12)-'Harga per Penyedia'!$I$12)*'Harga per Penyedia'!$L$12+MAX(0,MAX(0,'Panggilan per Pesanan'!C16-'Harga per Penyedia'!$D$12)-'Harga per Penyedia'!$K$12)*'Harga per Penyedia'!$M$12)/1000</f>
        <v/>
      </c>
      <c r="D8" s="19">
        <f>MIN('Harga per Penyedia'!$F$24+MAX(0,('Panggilan per Pesanan'!C18*'Harga per Penyedia'!$F$20+('Panggilan per Pesanan'!C14*2)*'Harga per Penyedia'!$F$21+'Panggilan per Pesanan'!C15*'Harga per Penyedia'!$F$22+'Panggilan per Pesanan'!C16*'Harga per Penyedia'!$F$23)-'Harga per Penyedia'!$D$24)*'Harga per Penyedia'!$H$24/1000,'Harga per Penyedia'!$F$25+MAX(0,('Panggilan per Pesanan'!C18*'Harga per Penyedia'!$F$20+('Panggilan per Pesanan'!C14*2)*'Harga per Penyedia'!$F$21+'Panggilan per Pesanan'!C15*'Harga per Penyedia'!$F$22+'Panggilan per Pesanan'!C16*'Harga per Penyedia'!$F$23)-'Harga per Penyedia'!$D$25)*'Harga per Penyedia'!$H$25/1000,'Harga per Penyedia'!$F$26+MAX(0,('Panggilan per Pesanan'!C18*'Harga per Penyedia'!$F$20+('Panggilan per Pesanan'!C14*2)*'Harga per Penyedia'!$F$21+'Panggilan per Pesanan'!C15*'Harga per Penyedia'!$F$22+'Panggilan per Pesanan'!C16*'Harga per Penyedia'!$F$23)-'Harga per Penyedia'!$D$26)*'Harga per Penyedia'!$H$26/1000)</f>
        <v/>
      </c>
      <c r="E8" s="19">
        <f>(MIN(MAX(0,(('Panggilan per Pesanan'!C14*2)+'Panggilan per Pesanan'!C15)-'Harga per Penyedia'!$D$17),'Harga per Penyedia'!$E$17)*'Harga per Penyedia'!$F$17+MAX(0,MIN(MAX(0,(('Panggilan per Pesanan'!C14*2)+'Panggilan per Pesanan'!C15)-'Harga per Penyedia'!$D$17),'Harga per Penyedia'!$G$17)-'Harga per Penyedia'!$E$17)*'Harga per Penyedia'!$H$17+MAX(0,MIN(MAX(0,(('Panggilan per Pesanan'!C14*2)+'Panggilan per Pesanan'!C15)-'Harga per Penyedia'!$D$17),'Harga per Penyedia'!$I$17)-'Harga per Penyedia'!$G$17)*'Harga per Penyedia'!$J$17+MAX(0,MIN(MAX(0,(('Panggilan per Pesanan'!C14*2)+'Panggilan per Pesanan'!C15)-'Harga per Penyedia'!$D$17),'Harga per Penyedia'!$K$17)-'Harga per Penyedia'!$I$17)*'Harga per Penyedia'!$L$17+MAX(0,MAX(0,(('Panggilan per Pesanan'!C14*2)+'Panggilan per Pesanan'!C15)-'Harga per Penyedia'!$D$17)-'Harga per Penyedia'!$K$17)*'Harga per Penyedia'!$M$17)/1000+(MIN(MAX(0,'Panggilan per Pesanan'!C18-'Harga per Penyedia'!$D$18),'Harga per Penyedia'!$E$18)*'Harga per Penyedia'!$F$18+MAX(0,MIN(MAX(0,'Panggilan per Pesanan'!C18-'Harga per Penyedia'!$D$18),'Harga per Penyedia'!$G$18)-'Harga per Penyedia'!$E$18)*'Harga per Penyedia'!$H$18+MAX(0,MIN(MAX(0,'Panggilan per Pesanan'!C18-'Harga per Penyedia'!$D$18),'Harga per Penyedia'!$I$18)-'Harga per Penyedia'!$G$18)*'Harga per Penyedia'!$J$18+MAX(0,MIN(MAX(0,'Panggilan per Pesanan'!C18-'Harga per Penyedia'!$D$18),'Harga per Penyedia'!$K$18)-'Harga per Penyedia'!$I$18)*'Harga per Penyedia'!$L$18+MAX(0,MAX(0,'Panggilan per Pesanan'!C18-'Harga per Penyedia'!$D$18)-'Harga per Penyedia'!$K$18)*'Harga per Penyedia'!$M$18)/1000+(MIN(MAX(0,'Panggilan per Pesanan'!C16-'Harga per Penyedia'!$D$19),'Harga per Penyedia'!$E$19)*'Harga per Penyedia'!$F$19+MAX(0,MIN(MAX(0,'Panggilan per Pesanan'!C16-'Harga per Penyedia'!$D$19),'Harga per Penyedia'!$G$19)-'Harga per Penyedia'!$E$19)*'Harga per Penyedia'!$H$19+MAX(0,MIN(MAX(0,'Panggilan per Pesanan'!C16-'Harga per Penyedia'!$D$19),'Harga per Penyedia'!$I$19)-'Harga per Penyedia'!$G$19)*'Harga per Penyedia'!$J$19+MAX(0,MIN(MAX(0,'Panggilan per Pesanan'!C16-'Harga per Penyedia'!$D$19),'Harga per Penyedia'!$K$19)-'Harga per Penyedia'!$I$19)*'Harga per Penyedia'!$L$19+MAX(0,MAX(0,'Panggilan per Pesanan'!C16-'Harga per Penyedia'!$D$19)-'Harga per Penyedia'!$K$19)*'Harga per Penyedia'!$M$19)/1000</f>
        <v/>
      </c>
      <c r="F8" s="19">
        <f>IF(((('Panggilan per Pesanan'!C14*2)+'Panggilan per Pesanan'!C15+'Panggilan per Pesanan'!C16)/'Asumsi Volume'!$B$10)&lt;='Harga per Penyedia'!$D$27,'Harga per Penyedia'!$F$27,IF(((('Panggilan per Pesanan'!C14*2)+'Panggilan per Pesanan'!C15+'Panggilan per Pesanan'!C16)/'Asumsi Volume'!$B$10)&lt;='Harga per Penyedia'!$D$28,'Harga per Penyedia'!$F$28,IF(((('Panggilan per Pesanan'!C14*2)+'Panggilan per Pesanan'!C15+'Panggilan per Pesanan'!C16)/'Asumsi Volume'!$B$10)&lt;='Harga per Penyedia'!$D$29,'Harga per Penyedia'!$F$29,IF(((('Panggilan per Pesanan'!C14*2)+'Panggilan per Pesanan'!C15+'Panggilan per Pesanan'!C16)/'Asumsi Volume'!$B$10)&lt;='Harga per Penyedia'!$D$30,'Harga per Penyedia'!$F$30,IF(((('Panggilan per Pesanan'!C14*2)+'Panggilan per Pesanan'!C15+'Panggilan per Pesanan'!C16)/'Asumsi Volume'!$B$10)&lt;='Harga per Penyedia'!$D$31,'Harga per Penyedia'!$F$31,IF(((('Panggilan per Pesanan'!C14*2)+'Panggilan per Pesanan'!C15+'Panggilan per Pesanan'!C16)/'Asumsi Volume'!$B$10)&lt;='Harga per Penyedia'!$D$32,'Harga per Penyedia'!$F$32,'Harga per Penyedia'!$F$33))))))+MAX(0,'Panggilan per Pesanan'!C18-'Harga per Penyedia'!$D$34)*'Harga per Penyedia'!$F$34/1000000</f>
        <v/>
      </c>
      <c r="G8" s="11">
        <f>'Biaya Bulanan 3 Skenario'!F55-'Biaya Bulanan 3 Skenario'!F53+MAX(0,'Panggilan per Pesanan'!C18-'Harga per Penyedia'!$D$34)*'Harga per Penyedia'!$F$34/1000000*'Asumsi Volume'!$B$6*'Asumsi Volume'!$B$9</f>
        <v/>
      </c>
      <c r="H8" s="28" t="inlineStr">
        <is>
          <t>Google terpengaruh paling keras; Mapbox kebal karena ditagih per SESI, bukan per ketikan.</t>
        </is>
      </c>
    </row>
    <row r="9">
      <c r="A9" s="5" t="inlineStr">
        <is>
          <t>Reverse geocode/pesanan: 2,5 → 5,0</t>
        </is>
      </c>
      <c r="B9" s="19">
        <f>(MIN(MAX(0,'Panggilan per Pesanan'!C17-'Harga per Penyedia'!$D$4),'Harga per Penyedia'!$E$4)*'Harga per Penyedia'!$F$4+MAX(0,MIN(MAX(0,'Panggilan per Pesanan'!C17-'Harga per Penyedia'!$D$4),'Harga per Penyedia'!$G$4)-'Harga per Penyedia'!$E$4)*'Harga per Penyedia'!$H$4+MAX(0,MIN(MAX(0,'Panggilan per Pesanan'!C17-'Harga per Penyedia'!$D$4),'Harga per Penyedia'!$I$4)-'Harga per Penyedia'!$G$4)*'Harga per Penyedia'!$J$4+MAX(0,MIN(MAX(0,'Panggilan per Pesanan'!C17-'Harga per Penyedia'!$D$4),'Harga per Penyedia'!$K$4)-'Harga per Penyedia'!$I$4)*'Harga per Penyedia'!$L$4+MAX(0,MAX(0,'Panggilan per Pesanan'!C17-'Harga per Penyedia'!$D$4)-'Harga per Penyedia'!$K$4)*'Harga per Penyedia'!$M$4)/1000+(MIN(MAX(0,'Panggilan per Pesanan'!C14-'Harga per Penyedia'!$D$5),'Harga per Penyedia'!$E$5)*'Harga per Penyedia'!$F$5+MAX(0,MIN(MAX(0,'Panggilan per Pesanan'!C14-'Harga per Penyedia'!$D$5),'Harga per Penyedia'!$G$5)-'Harga per Penyedia'!$E$5)*'Harga per Penyedia'!$H$5+MAX(0,MIN(MAX(0,'Panggilan per Pesanan'!C14-'Harga per Penyedia'!$D$5),'Harga per Penyedia'!$I$5)-'Harga per Penyedia'!$G$5)*'Harga per Penyedia'!$J$5+MAX(0,MIN(MAX(0,'Panggilan per Pesanan'!C14-'Harga per Penyedia'!$D$5),'Harga per Penyedia'!$K$5)-'Harga per Penyedia'!$I$5)*'Harga per Penyedia'!$L$5+MAX(0,MAX(0,'Panggilan per Pesanan'!C14-'Harga per Penyedia'!$D$5)-'Harga per Penyedia'!$K$5)*'Harga per Penyedia'!$M$5)/1000+(MIN(MAX(0,('Panggilan per Pesanan'!C15*2)-'Harga per Penyedia'!$D$6),'Harga per Penyedia'!$E$6)*'Harga per Penyedia'!$F$6+MAX(0,MIN(MAX(0,('Panggilan per Pesanan'!C15*2)-'Harga per Penyedia'!$D$6),'Harga per Penyedia'!$G$6)-'Harga per Penyedia'!$E$6)*'Harga per Penyedia'!$H$6+MAX(0,MIN(MAX(0,('Panggilan per Pesanan'!C15*2)-'Harga per Penyedia'!$D$6),'Harga per Penyedia'!$I$6)-'Harga per Penyedia'!$G$6)*'Harga per Penyedia'!$J$6+MAX(0,MIN(MAX(0,('Panggilan per Pesanan'!C15*2)-'Harga per Penyedia'!$D$6),'Harga per Penyedia'!$K$6)-'Harga per Penyedia'!$I$6)*'Harga per Penyedia'!$L$6+MAX(0,MAX(0,('Panggilan per Pesanan'!C15*2)-'Harga per Penyedia'!$D$6)-'Harga per Penyedia'!$K$6)*'Harga per Penyedia'!$M$6)/1000+(MIN(MAX(0,'Panggilan per Pesanan'!C16-'Harga per Penyedia'!$D$7),'Harga per Penyedia'!$E$7)*'Harga per Penyedia'!$F$7+MAX(0,MIN(MAX(0,'Panggilan per Pesanan'!C16-'Harga per Penyedia'!$D$7),'Harga per Penyedia'!$G$7)-'Harga per Penyedia'!$E$7)*'Harga per Penyedia'!$H$7+MAX(0,MIN(MAX(0,'Panggilan per Pesanan'!C16-'Harga per Penyedia'!$D$7),'Harga per Penyedia'!$I$7)-'Harga per Penyedia'!$G$7)*'Harga per Penyedia'!$J$7+MAX(0,MIN(MAX(0,'Panggilan per Pesanan'!C16-'Harga per Penyedia'!$D$7),'Harga per Penyedia'!$K$7)-'Harga per Penyedia'!$I$7)*'Harga per Penyedia'!$L$7+MAX(0,MAX(0,'Panggilan per Pesanan'!C16-'Harga per Penyedia'!$D$7)-'Harga per Penyedia'!$K$7)*'Harga per Penyedia'!$M$7)/1000</f>
        <v/>
      </c>
      <c r="C9" s="19">
        <f>(MIN(MAX(0,'Panggilan per Pesanan'!C20-'Harga per Penyedia'!$D$10),'Harga per Penyedia'!$E$10)*'Harga per Penyedia'!$F$10+MAX(0,MIN(MAX(0,'Panggilan per Pesanan'!C20-'Harga per Penyedia'!$D$10),'Harga per Penyedia'!$G$10)-'Harga per Penyedia'!$E$10)*'Harga per Penyedia'!$H$10+MAX(0,MIN(MAX(0,'Panggilan per Pesanan'!C20-'Harga per Penyedia'!$D$10),'Harga per Penyedia'!$I$10)-'Harga per Penyedia'!$G$10)*'Harga per Penyedia'!$J$10+MAX(0,MIN(MAX(0,'Panggilan per Pesanan'!C20-'Harga per Penyedia'!$D$10),'Harga per Penyedia'!$K$10)-'Harga per Penyedia'!$I$10)*'Harga per Penyedia'!$L$10+MAX(0,MAX(0,'Panggilan per Pesanan'!C20-'Harga per Penyedia'!$D$10)-'Harga per Penyedia'!$K$10)*'Harga per Penyedia'!$M$10)/1000+(MIN(MAX(0,'Panggilan per Pesanan'!C19-'Harga per Penyedia'!$D$11),'Harga per Penyedia'!$E$11)*'Harga per Penyedia'!$F$11+MAX(0,MIN(MAX(0,'Panggilan per Pesanan'!C19-'Harga per Penyedia'!$D$11),'Harga per Penyedia'!$G$11)-'Harga per Penyedia'!$E$11)*'Harga per Penyedia'!$H$11+MAX(0,MIN(MAX(0,'Panggilan per Pesanan'!C19-'Harga per Penyedia'!$D$11),'Harga per Penyedia'!$I$11)-'Harga per Penyedia'!$G$11)*'Harga per Penyedia'!$J$11+MAX(0,MIN(MAX(0,'Panggilan per Pesanan'!C19-'Harga per Penyedia'!$D$11),'Harga per Penyedia'!$K$11)-'Harga per Penyedia'!$I$11)*'Harga per Penyedia'!$L$11+MAX(0,MAX(0,'Panggilan per Pesanan'!C19-'Harga per Penyedia'!$D$11)-'Harga per Penyedia'!$K$11)*'Harga per Penyedia'!$M$11)/1000+(MIN(MAX(0,'Panggilan per Pesanan'!C16-'Harga per Penyedia'!$D$12),'Harga per Penyedia'!$E$12)*'Harga per Penyedia'!$F$12+MAX(0,MIN(MAX(0,'Panggilan per Pesanan'!C16-'Harga per Penyedia'!$D$12),'Harga per Penyedia'!$G$12)-'Harga per Penyedia'!$E$12)*'Harga per Penyedia'!$H$12+MAX(0,MIN(MAX(0,'Panggilan per Pesanan'!C16-'Harga per Penyedia'!$D$12),'Harga per Penyedia'!$I$12)-'Harga per Penyedia'!$G$12)*'Harga per Penyedia'!$J$12+MAX(0,MIN(MAX(0,'Panggilan per Pesanan'!C16-'Harga per Penyedia'!$D$12),'Harga per Penyedia'!$K$12)-'Harga per Penyedia'!$I$12)*'Harga per Penyedia'!$L$12+MAX(0,MAX(0,'Panggilan per Pesanan'!C16-'Harga per Penyedia'!$D$12)-'Harga per Penyedia'!$K$12)*'Harga per Penyedia'!$M$12)/1000</f>
        <v/>
      </c>
      <c r="D9" s="19">
        <f>MIN('Harga per Penyedia'!$F$24+MAX(0,('Panggilan per Pesanan'!C18*'Harga per Penyedia'!$F$20+'Panggilan per Pesanan'!C14*'Harga per Penyedia'!$F$21+('Panggilan per Pesanan'!C15*2)*'Harga per Penyedia'!$F$22+'Panggilan per Pesanan'!C16*'Harga per Penyedia'!$F$23)-'Harga per Penyedia'!$D$24)*'Harga per Penyedia'!$H$24/1000,'Harga per Penyedia'!$F$25+MAX(0,('Panggilan per Pesanan'!C18*'Harga per Penyedia'!$F$20+'Panggilan per Pesanan'!C14*'Harga per Penyedia'!$F$21+('Panggilan per Pesanan'!C15*2)*'Harga per Penyedia'!$F$22+'Panggilan per Pesanan'!C16*'Harga per Penyedia'!$F$23)-'Harga per Penyedia'!$D$25)*'Harga per Penyedia'!$H$25/1000,'Harga per Penyedia'!$F$26+MAX(0,('Panggilan per Pesanan'!C18*'Harga per Penyedia'!$F$20+'Panggilan per Pesanan'!C14*'Harga per Penyedia'!$F$21+('Panggilan per Pesanan'!C15*2)*'Harga per Penyedia'!$F$22+'Panggilan per Pesanan'!C16*'Harga per Penyedia'!$F$23)-'Harga per Penyedia'!$D$26)*'Harga per Penyedia'!$H$26/1000)</f>
        <v/>
      </c>
      <c r="E9" s="19">
        <f>(MIN(MAX(0,('Panggilan per Pesanan'!C14+('Panggilan per Pesanan'!C15*2))-'Harga per Penyedia'!$D$17),'Harga per Penyedia'!$E$17)*'Harga per Penyedia'!$F$17+MAX(0,MIN(MAX(0,('Panggilan per Pesanan'!C14+('Panggilan per Pesanan'!C15*2))-'Harga per Penyedia'!$D$17),'Harga per Penyedia'!$G$17)-'Harga per Penyedia'!$E$17)*'Harga per Penyedia'!$H$17+MAX(0,MIN(MAX(0,('Panggilan per Pesanan'!C14+('Panggilan per Pesanan'!C15*2))-'Harga per Penyedia'!$D$17),'Harga per Penyedia'!$I$17)-'Harga per Penyedia'!$G$17)*'Harga per Penyedia'!$J$17+MAX(0,MIN(MAX(0,('Panggilan per Pesanan'!C14+('Panggilan per Pesanan'!C15*2))-'Harga per Penyedia'!$D$17),'Harga per Penyedia'!$K$17)-'Harga per Penyedia'!$I$17)*'Harga per Penyedia'!$L$17+MAX(0,MAX(0,('Panggilan per Pesanan'!C14+('Panggilan per Pesanan'!C15*2))-'Harga per Penyedia'!$D$17)-'Harga per Penyedia'!$K$17)*'Harga per Penyedia'!$M$17)/1000+(MIN(MAX(0,'Panggilan per Pesanan'!C18-'Harga per Penyedia'!$D$18),'Harga per Penyedia'!$E$18)*'Harga per Penyedia'!$F$18+MAX(0,MIN(MAX(0,'Panggilan per Pesanan'!C18-'Harga per Penyedia'!$D$18),'Harga per Penyedia'!$G$18)-'Harga per Penyedia'!$E$18)*'Harga per Penyedia'!$H$18+MAX(0,MIN(MAX(0,'Panggilan per Pesanan'!C18-'Harga per Penyedia'!$D$18),'Harga per Penyedia'!$I$18)-'Harga per Penyedia'!$G$18)*'Harga per Penyedia'!$J$18+MAX(0,MIN(MAX(0,'Panggilan per Pesanan'!C18-'Harga per Penyedia'!$D$18),'Harga per Penyedia'!$K$18)-'Harga per Penyedia'!$I$18)*'Harga per Penyedia'!$L$18+MAX(0,MAX(0,'Panggilan per Pesanan'!C18-'Harga per Penyedia'!$D$18)-'Harga per Penyedia'!$K$18)*'Harga per Penyedia'!$M$18)/1000+(MIN(MAX(0,'Panggilan per Pesanan'!C16-'Harga per Penyedia'!$D$19),'Harga per Penyedia'!$E$19)*'Harga per Penyedia'!$F$19+MAX(0,MIN(MAX(0,'Panggilan per Pesanan'!C16-'Harga per Penyedia'!$D$19),'Harga per Penyedia'!$G$19)-'Harga per Penyedia'!$E$19)*'Harga per Penyedia'!$H$19+MAX(0,MIN(MAX(0,'Panggilan per Pesanan'!C16-'Harga per Penyedia'!$D$19),'Harga per Penyedia'!$I$19)-'Harga per Penyedia'!$G$19)*'Harga per Penyedia'!$J$19+MAX(0,MIN(MAX(0,'Panggilan per Pesanan'!C16-'Harga per Penyedia'!$D$19),'Harga per Penyedia'!$K$19)-'Harga per Penyedia'!$I$19)*'Harga per Penyedia'!$L$19+MAX(0,MAX(0,'Panggilan per Pesanan'!C16-'Harga per Penyedia'!$D$19)-'Harga per Penyedia'!$K$19)*'Harga per Penyedia'!$M$19)/1000</f>
        <v/>
      </c>
      <c r="F9" s="19">
        <f>IF((('Panggilan per Pesanan'!C14+('Panggilan per Pesanan'!C15*2)+'Panggilan per Pesanan'!C16)/'Asumsi Volume'!$B$10)&lt;='Harga per Penyedia'!$D$27,'Harga per Penyedia'!$F$27,IF((('Panggilan per Pesanan'!C14+('Panggilan per Pesanan'!C15*2)+'Panggilan per Pesanan'!C16)/'Asumsi Volume'!$B$10)&lt;='Harga per Penyedia'!$D$28,'Harga per Penyedia'!$F$28,IF((('Panggilan per Pesanan'!C14+('Panggilan per Pesanan'!C15*2)+'Panggilan per Pesanan'!C16)/'Asumsi Volume'!$B$10)&lt;='Harga per Penyedia'!$D$29,'Harga per Penyedia'!$F$29,IF((('Panggilan per Pesanan'!C14+('Panggilan per Pesanan'!C15*2)+'Panggilan per Pesanan'!C16)/'Asumsi Volume'!$B$10)&lt;='Harga per Penyedia'!$D$30,'Harga per Penyedia'!$F$30,IF((('Panggilan per Pesanan'!C14+('Panggilan per Pesanan'!C15*2)+'Panggilan per Pesanan'!C16)/'Asumsi Volume'!$B$10)&lt;='Harga per Penyedia'!$D$31,'Harga per Penyedia'!$F$31,IF((('Panggilan per Pesanan'!C14+('Panggilan per Pesanan'!C15*2)+'Panggilan per Pesanan'!C16)/'Asumsi Volume'!$B$10)&lt;='Harga per Penyedia'!$D$32,'Harga per Penyedia'!$F$32,'Harga per Penyedia'!$F$33))))))+MAX(0,'Panggilan per Pesanan'!C18-'Harga per Penyedia'!$D$34)*'Harga per Penyedia'!$F$34/1000000</f>
        <v/>
      </c>
      <c r="G9" s="11">
        <f>'Biaya Bulanan 3 Skenario'!F55-'Biaya Bulanan 3 Skenario'!F53+MAX(0,'Panggilan per Pesanan'!C18-'Harga per Penyedia'!$D$34)*'Harga per Penyedia'!$F$34/1000000*'Asumsi Volume'!$B$6*'Asumsi Volume'!$B$9</f>
        <v/>
      </c>
      <c r="H9" s="28" t="inlineStr">
        <is>
          <t>Pos terbesar kedua Google. Justru pos yang paling mudah dipangkas dengan cache Supabase (§5.1).</t>
        </is>
      </c>
    </row>
    <row r="10">
      <c r="A10" s="5" t="inlineStr">
        <is>
          <t>Rute/pesanan: 1,3 → 2,6</t>
        </is>
      </c>
      <c r="B10" s="19">
        <f>(MIN(MAX(0,'Panggilan per Pesanan'!C17-'Harga per Penyedia'!$D$4),'Harga per Penyedia'!$E$4)*'Harga per Penyedia'!$F$4+MAX(0,MIN(MAX(0,'Panggilan per Pesanan'!C17-'Harga per Penyedia'!$D$4),'Harga per Penyedia'!$G$4)-'Harga per Penyedia'!$E$4)*'Harga per Penyedia'!$H$4+MAX(0,MIN(MAX(0,'Panggilan per Pesanan'!C17-'Harga per Penyedia'!$D$4),'Harga per Penyedia'!$I$4)-'Harga per Penyedia'!$G$4)*'Harga per Penyedia'!$J$4+MAX(0,MIN(MAX(0,'Panggilan per Pesanan'!C17-'Harga per Penyedia'!$D$4),'Harga per Penyedia'!$K$4)-'Harga per Penyedia'!$I$4)*'Harga per Penyedia'!$L$4+MAX(0,MAX(0,'Panggilan per Pesanan'!C17-'Harga per Penyedia'!$D$4)-'Harga per Penyedia'!$K$4)*'Harga per Penyedia'!$M$4)/1000+(MIN(MAX(0,'Panggilan per Pesanan'!C14-'Harga per Penyedia'!$D$5),'Harga per Penyedia'!$E$5)*'Harga per Penyedia'!$F$5+MAX(0,MIN(MAX(0,'Panggilan per Pesanan'!C14-'Harga per Penyedia'!$D$5),'Harga per Penyedia'!$G$5)-'Harga per Penyedia'!$E$5)*'Harga per Penyedia'!$H$5+MAX(0,MIN(MAX(0,'Panggilan per Pesanan'!C14-'Harga per Penyedia'!$D$5),'Harga per Penyedia'!$I$5)-'Harga per Penyedia'!$G$5)*'Harga per Penyedia'!$J$5+MAX(0,MIN(MAX(0,'Panggilan per Pesanan'!C14-'Harga per Penyedia'!$D$5),'Harga per Penyedia'!$K$5)-'Harga per Penyedia'!$I$5)*'Harga per Penyedia'!$L$5+MAX(0,MAX(0,'Panggilan per Pesanan'!C14-'Harga per Penyedia'!$D$5)-'Harga per Penyedia'!$K$5)*'Harga per Penyedia'!$M$5)/1000+(MIN(MAX(0,'Panggilan per Pesanan'!C15-'Harga per Penyedia'!$D$6),'Harga per Penyedia'!$E$6)*'Harga per Penyedia'!$F$6+MAX(0,MIN(MAX(0,'Panggilan per Pesanan'!C15-'Harga per Penyedia'!$D$6),'Harga per Penyedia'!$G$6)-'Harga per Penyedia'!$E$6)*'Harga per Penyedia'!$H$6+MAX(0,MIN(MAX(0,'Panggilan per Pesanan'!C15-'Harga per Penyedia'!$D$6),'Harga per Penyedia'!$I$6)-'Harga per Penyedia'!$G$6)*'Harga per Penyedia'!$J$6+MAX(0,MIN(MAX(0,'Panggilan per Pesanan'!C15-'Harga per Penyedia'!$D$6),'Harga per Penyedia'!$K$6)-'Harga per Penyedia'!$I$6)*'Harga per Penyedia'!$L$6+MAX(0,MAX(0,'Panggilan per Pesanan'!C15-'Harga per Penyedia'!$D$6)-'Harga per Penyedia'!$K$6)*'Harga per Penyedia'!$M$6)/1000+(MIN(MAX(0,('Panggilan per Pesanan'!C16*2)-'Harga per Penyedia'!$D$7),'Harga per Penyedia'!$E$7)*'Harga per Penyedia'!$F$7+MAX(0,MIN(MAX(0,('Panggilan per Pesanan'!C16*2)-'Harga per Penyedia'!$D$7),'Harga per Penyedia'!$G$7)-'Harga per Penyedia'!$E$7)*'Harga per Penyedia'!$H$7+MAX(0,MIN(MAX(0,('Panggilan per Pesanan'!C16*2)-'Harga per Penyedia'!$D$7),'Harga per Penyedia'!$I$7)-'Harga per Penyedia'!$G$7)*'Harga per Penyedia'!$J$7+MAX(0,MIN(MAX(0,('Panggilan per Pesanan'!C16*2)-'Harga per Penyedia'!$D$7),'Harga per Penyedia'!$K$7)-'Harga per Penyedia'!$I$7)*'Harga per Penyedia'!$L$7+MAX(0,MAX(0,('Panggilan per Pesanan'!C16*2)-'Harga per Penyedia'!$D$7)-'Harga per Penyedia'!$K$7)*'Harga per Penyedia'!$M$7)/1000</f>
        <v/>
      </c>
      <c r="C10" s="19">
        <f>(MIN(MAX(0,'Panggilan per Pesanan'!C20-'Harga per Penyedia'!$D$10),'Harga per Penyedia'!$E$10)*'Harga per Penyedia'!$F$10+MAX(0,MIN(MAX(0,'Panggilan per Pesanan'!C20-'Harga per Penyedia'!$D$10),'Harga per Penyedia'!$G$10)-'Harga per Penyedia'!$E$10)*'Harga per Penyedia'!$H$10+MAX(0,MIN(MAX(0,'Panggilan per Pesanan'!C20-'Harga per Penyedia'!$D$10),'Harga per Penyedia'!$I$10)-'Harga per Penyedia'!$G$10)*'Harga per Penyedia'!$J$10+MAX(0,MIN(MAX(0,'Panggilan per Pesanan'!C20-'Harga per Penyedia'!$D$10),'Harga per Penyedia'!$K$10)-'Harga per Penyedia'!$I$10)*'Harga per Penyedia'!$L$10+MAX(0,MAX(0,'Panggilan per Pesanan'!C20-'Harga per Penyedia'!$D$10)-'Harga per Penyedia'!$K$10)*'Harga per Penyedia'!$M$10)/1000+(MIN(MAX(0,'Panggilan per Pesanan'!C19-'Harga per Penyedia'!$D$11),'Harga per Penyedia'!$E$11)*'Harga per Penyedia'!$F$11+MAX(0,MIN(MAX(0,'Panggilan per Pesanan'!C19-'Harga per Penyedia'!$D$11),'Harga per Penyedia'!$G$11)-'Harga per Penyedia'!$E$11)*'Harga per Penyedia'!$H$11+MAX(0,MIN(MAX(0,'Panggilan per Pesanan'!C19-'Harga per Penyedia'!$D$11),'Harga per Penyedia'!$I$11)-'Harga per Penyedia'!$G$11)*'Harga per Penyedia'!$J$11+MAX(0,MIN(MAX(0,'Panggilan per Pesanan'!C19-'Harga per Penyedia'!$D$11),'Harga per Penyedia'!$K$11)-'Harga per Penyedia'!$I$11)*'Harga per Penyedia'!$L$11+MAX(0,MAX(0,'Panggilan per Pesanan'!C19-'Harga per Penyedia'!$D$11)-'Harga per Penyedia'!$K$11)*'Harga per Penyedia'!$M$11)/1000+(MIN(MAX(0,('Panggilan per Pesanan'!C16*2)-'Harga per Penyedia'!$D$12),'Harga per Penyedia'!$E$12)*'Harga per Penyedia'!$F$12+MAX(0,MIN(MAX(0,('Panggilan per Pesanan'!C16*2)-'Harga per Penyedia'!$D$12),'Harga per Penyedia'!$G$12)-'Harga per Penyedia'!$E$12)*'Harga per Penyedia'!$H$12+MAX(0,MIN(MAX(0,('Panggilan per Pesanan'!C16*2)-'Harga per Penyedia'!$D$12),'Harga per Penyedia'!$I$12)-'Harga per Penyedia'!$G$12)*'Harga per Penyedia'!$J$12+MAX(0,MIN(MAX(0,('Panggilan per Pesanan'!C16*2)-'Harga per Penyedia'!$D$12),'Harga per Penyedia'!$K$12)-'Harga per Penyedia'!$I$12)*'Harga per Penyedia'!$L$12+MAX(0,MAX(0,('Panggilan per Pesanan'!C16*2)-'Harga per Penyedia'!$D$12)-'Harga per Penyedia'!$K$12)*'Harga per Penyedia'!$M$12)/1000</f>
        <v/>
      </c>
      <c r="D10" s="19">
        <f>MIN('Harga per Penyedia'!$F$24+MAX(0,('Panggilan per Pesanan'!C18*'Harga per Penyedia'!$F$20+'Panggilan per Pesanan'!C14*'Harga per Penyedia'!$F$21+'Panggilan per Pesanan'!C15*'Harga per Penyedia'!$F$22+('Panggilan per Pesanan'!C16*2)*'Harga per Penyedia'!$F$23)-'Harga per Penyedia'!$D$24)*'Harga per Penyedia'!$H$24/1000,'Harga per Penyedia'!$F$25+MAX(0,('Panggilan per Pesanan'!C18*'Harga per Penyedia'!$F$20+'Panggilan per Pesanan'!C14*'Harga per Penyedia'!$F$21+'Panggilan per Pesanan'!C15*'Harga per Penyedia'!$F$22+('Panggilan per Pesanan'!C16*2)*'Harga per Penyedia'!$F$23)-'Harga per Penyedia'!$D$25)*'Harga per Penyedia'!$H$25/1000,'Harga per Penyedia'!$F$26+MAX(0,('Panggilan per Pesanan'!C18*'Harga per Penyedia'!$F$20+'Panggilan per Pesanan'!C14*'Harga per Penyedia'!$F$21+'Panggilan per Pesanan'!C15*'Harga per Penyedia'!$F$22+('Panggilan per Pesanan'!C16*2)*'Harga per Penyedia'!$F$23)-'Harga per Penyedia'!$D$26)*'Harga per Penyedia'!$H$26/1000)</f>
        <v/>
      </c>
      <c r="E10" s="19">
        <f>(MIN(MAX(0,('Panggilan per Pesanan'!C14+'Panggilan per Pesanan'!C15)-'Harga per Penyedia'!$D$17),'Harga per Penyedia'!$E$17)*'Harga per Penyedia'!$F$17+MAX(0,MIN(MAX(0,('Panggilan per Pesanan'!C14+'Panggilan per Pesanan'!C15)-'Harga per Penyedia'!$D$17),'Harga per Penyedia'!$G$17)-'Harga per Penyedia'!$E$17)*'Harga per Penyedia'!$H$17+MAX(0,MIN(MAX(0,('Panggilan per Pesanan'!C14+'Panggilan per Pesanan'!C15)-'Harga per Penyedia'!$D$17),'Harga per Penyedia'!$I$17)-'Harga per Penyedia'!$G$17)*'Harga per Penyedia'!$J$17+MAX(0,MIN(MAX(0,('Panggilan per Pesanan'!C14+'Panggilan per Pesanan'!C15)-'Harga per Penyedia'!$D$17),'Harga per Penyedia'!$K$17)-'Harga per Penyedia'!$I$17)*'Harga per Penyedia'!$L$17+MAX(0,MAX(0,('Panggilan per Pesanan'!C14+'Panggilan per Pesanan'!C15)-'Harga per Penyedia'!$D$17)-'Harga per Penyedia'!$K$17)*'Harga per Penyedia'!$M$17)/1000+(MIN(MAX(0,'Panggilan per Pesanan'!C18-'Harga per Penyedia'!$D$18),'Harga per Penyedia'!$E$18)*'Harga per Penyedia'!$F$18+MAX(0,MIN(MAX(0,'Panggilan per Pesanan'!C18-'Harga per Penyedia'!$D$18),'Harga per Penyedia'!$G$18)-'Harga per Penyedia'!$E$18)*'Harga per Penyedia'!$H$18+MAX(0,MIN(MAX(0,'Panggilan per Pesanan'!C18-'Harga per Penyedia'!$D$18),'Harga per Penyedia'!$I$18)-'Harga per Penyedia'!$G$18)*'Harga per Penyedia'!$J$18+MAX(0,MIN(MAX(0,'Panggilan per Pesanan'!C18-'Harga per Penyedia'!$D$18),'Harga per Penyedia'!$K$18)-'Harga per Penyedia'!$I$18)*'Harga per Penyedia'!$L$18+MAX(0,MAX(0,'Panggilan per Pesanan'!C18-'Harga per Penyedia'!$D$18)-'Harga per Penyedia'!$K$18)*'Harga per Penyedia'!$M$18)/1000+(MIN(MAX(0,('Panggilan per Pesanan'!C16*2)-'Harga per Penyedia'!$D$19),'Harga per Penyedia'!$E$19)*'Harga per Penyedia'!$F$19+MAX(0,MIN(MAX(0,('Panggilan per Pesanan'!C16*2)-'Harga per Penyedia'!$D$19),'Harga per Penyedia'!$G$19)-'Harga per Penyedia'!$E$19)*'Harga per Penyedia'!$H$19+MAX(0,MIN(MAX(0,('Panggilan per Pesanan'!C16*2)-'Harga per Penyedia'!$D$19),'Harga per Penyedia'!$I$19)-'Harga per Penyedia'!$G$19)*'Harga per Penyedia'!$J$19+MAX(0,MIN(MAX(0,('Panggilan per Pesanan'!C16*2)-'Harga per Penyedia'!$D$19),'Harga per Penyedia'!$K$19)-'Harga per Penyedia'!$I$19)*'Harga per Penyedia'!$L$19+MAX(0,MAX(0,('Panggilan per Pesanan'!C16*2)-'Harga per Penyedia'!$D$19)-'Harga per Penyedia'!$K$19)*'Harga per Penyedia'!$M$19)/1000</f>
        <v/>
      </c>
      <c r="F10" s="19">
        <f>IF((('Panggilan per Pesanan'!C14+'Panggilan per Pesanan'!C15+('Panggilan per Pesanan'!C16*2))/'Asumsi Volume'!$B$10)&lt;='Harga per Penyedia'!$D$27,'Harga per Penyedia'!$F$27,IF((('Panggilan per Pesanan'!C14+'Panggilan per Pesanan'!C15+('Panggilan per Pesanan'!C16*2))/'Asumsi Volume'!$B$10)&lt;='Harga per Penyedia'!$D$28,'Harga per Penyedia'!$F$28,IF((('Panggilan per Pesanan'!C14+'Panggilan per Pesanan'!C15+('Panggilan per Pesanan'!C16*2))/'Asumsi Volume'!$B$10)&lt;='Harga per Penyedia'!$D$29,'Harga per Penyedia'!$F$29,IF((('Panggilan per Pesanan'!C14+'Panggilan per Pesanan'!C15+('Panggilan per Pesanan'!C16*2))/'Asumsi Volume'!$B$10)&lt;='Harga per Penyedia'!$D$30,'Harga per Penyedia'!$F$30,IF((('Panggilan per Pesanan'!C14+'Panggilan per Pesanan'!C15+('Panggilan per Pesanan'!C16*2))/'Asumsi Volume'!$B$10)&lt;='Harga per Penyedia'!$D$31,'Harga per Penyedia'!$F$31,IF((('Panggilan per Pesanan'!C14+'Panggilan per Pesanan'!C15+('Panggilan per Pesanan'!C16*2))/'Asumsi Volume'!$B$10)&lt;='Harga per Penyedia'!$D$32,'Harga per Penyedia'!$F$32,'Harga per Penyedia'!$F$33))))))+MAX(0,'Panggilan per Pesanan'!C18-'Harga per Penyedia'!$D$34)*'Harga per Penyedia'!$F$34/1000000</f>
        <v/>
      </c>
      <c r="G10" s="11">
        <f>'Biaya Bulanan 3 Skenario'!F55-'Biaya Bulanan 3 Skenario'!F53+MAX(0,'Panggilan per Pesanan'!C18-'Harga per Penyedia'!$D$34)*'Harga per Penyedia'!$F$34/1000000*'Asumsi Volume'!$B$6*'Asumsi Volume'!$B$9</f>
        <v/>
      </c>
      <c r="H10" s="28" t="inlineStr">
        <is>
          <t>Kecil bagi semua, karena orders.route_geometry sudah disimpan permanen.</t>
        </is>
      </c>
    </row>
    <row r="13">
      <c r="A13" s="3" t="inlineStr">
        <is>
          <t>2. TITIK PINDAH KE SWASEMBADA</t>
        </is>
      </c>
    </row>
    <row r="14">
      <c r="A14" s="4" t="inlineStr">
        <is>
          <t>Metrik</t>
        </is>
      </c>
      <c r="B14" s="4" t="inlineStr">
        <is>
          <t>Skenario A</t>
        </is>
      </c>
      <c r="C14" s="4" t="inlineStr">
        <is>
          <t>Skenario B</t>
        </is>
      </c>
      <c r="D14" s="4" t="inlineStr">
        <is>
          <t>Skenario C</t>
        </is>
      </c>
      <c r="E14" s="4" t="inlineStr"/>
      <c r="F14" s="4" t="inlineStr"/>
      <c r="G14" s="4" t="inlineStr"/>
      <c r="H14" s="4" t="inlineStr">
        <is>
          <t>Tafsir</t>
        </is>
      </c>
    </row>
    <row r="15">
      <c r="A15" s="5" t="inlineStr">
        <is>
          <t>Stadia Maps (Rp/bulan)</t>
        </is>
      </c>
      <c r="B15" s="11">
        <f>'Biaya Bulanan 3 Skenario'!E40*'Asumsi Volume'!$B$9*'Asumsi Volume'!$B$6</f>
        <v/>
      </c>
      <c r="C15" s="11">
        <f>'Biaya Bulanan 3 Skenario'!F40*'Asumsi Volume'!$B$9*'Asumsi Volume'!$B$6</f>
        <v/>
      </c>
      <c r="D15" s="11">
        <f>'Biaya Bulanan 3 Skenario'!G40*'Asumsi Volume'!$B$9*'Asumsi Volume'!$B$6</f>
        <v/>
      </c>
    </row>
    <row r="16">
      <c r="A16" s="5" t="inlineStr">
        <is>
          <t>Swasembada (Rp/bulan)</t>
        </is>
      </c>
      <c r="B16" s="11">
        <f>'Biaya Bulanan 3 Skenario'!E55</f>
        <v/>
      </c>
      <c r="C16" s="11">
        <f>'Biaya Bulanan 3 Skenario'!F55</f>
        <v/>
      </c>
      <c r="D16" s="11">
        <f>'Biaya Bulanan 3 Skenario'!G55</f>
        <v/>
      </c>
    </row>
    <row r="17">
      <c r="A17" s="5" t="inlineStr">
        <is>
          <t>Selisih (Stadia - Swasembada)</t>
        </is>
      </c>
      <c r="B17" s="11">
        <f>B15-B16</f>
        <v/>
      </c>
      <c r="C17" s="11">
        <f>C15-C16</f>
        <v/>
      </c>
      <c r="D17" s="11">
        <f>D15-D16</f>
        <v/>
      </c>
      <c r="H17" s="5" t="inlineStr">
        <is>
          <t>Nilai NEGATIF = Stadia lebih murah (tetap terkelola). Nilai POSITIF = swasembada mulai menang.</t>
        </is>
      </c>
    </row>
    <row r="18">
      <c r="A18" s="5" t="inlineStr">
        <is>
          <t>Keputusan</t>
        </is>
      </c>
      <c r="B18" s="29">
        <f>IF(B15&lt;B16,"Tetap Stadia","Pindah swasembada")</f>
        <v/>
      </c>
      <c r="C18" s="29">
        <f>IF(C15&lt;C16,"Tetap Stadia","Pindah swasembada")</f>
        <v/>
      </c>
      <c r="D18" s="29">
        <f>IF(D15&lt;D16,"Tetap Stadia","Pindah swasembada")</f>
        <v/>
      </c>
    </row>
    <row r="21">
      <c r="A21" s="3" t="inlineStr">
        <is>
          <t>3. ASUMSI YANG PALING MENENTUKAN — urut dari dampak terbesar</t>
        </is>
      </c>
    </row>
    <row r="22">
      <c r="A22" s="4" t="inlineStr">
        <is>
          <t>Asumsi</t>
        </is>
      </c>
      <c r="B22" s="4" t="inlineStr">
        <is>
          <t>Nilai basis</t>
        </is>
      </c>
      <c r="C22" s="4" t="inlineStr">
        <is>
          <t>Rentang wajar</t>
        </is>
      </c>
      <c r="D22" s="4" t="inlineStr">
        <is>
          <t>Dampak bila salah</t>
        </is>
      </c>
      <c r="E22" s="4" t="inlineStr"/>
      <c r="F22" s="4" t="inlineStr"/>
      <c r="G22" s="4" t="inlineStr"/>
      <c r="H22" s="4" t="inlineStr">
        <is>
          <t>Cara memvalidasi</t>
        </is>
      </c>
    </row>
    <row r="23">
      <c r="A23" s="5" t="inlineStr">
        <is>
          <t>[ASUMSI A8] Pesanan per hari</t>
        </is>
      </c>
      <c r="B23" s="5" t="inlineStr">
        <is>
          <t>600 / 2.400 / 8.000</t>
        </is>
      </c>
      <c r="C23" s="5" t="inlineStr">
        <is>
          <t>± faktor 3</t>
        </is>
      </c>
      <c r="D23" s="5" t="inlineStr">
        <is>
          <t>Menggerakkan SELURUH model secara proporsional</t>
        </is>
      </c>
      <c r="H23" s="5" t="inlineStr">
        <is>
          <t>Data order nyata 90 hari pertama peluncuran</t>
        </is>
      </c>
    </row>
    <row r="24">
      <c r="A24" s="5" t="inlineStr">
        <is>
          <t>[ASUMSI A6] Permintaan ubin/pesanan</t>
        </is>
      </c>
      <c r="B24" s="5" t="inlineStr">
        <is>
          <t>100</t>
        </is>
      </c>
      <c r="C24" s="5" t="inlineStr">
        <is>
          <t>50 – 300</t>
        </is>
      </c>
      <c r="D24" s="5" t="inlineStr">
        <is>
          <t>Besar untuk HERE &amp; Stadia; nol untuk Google Dynamic Maps &amp; Mapbox MAU</t>
        </is>
      </c>
      <c r="H24" s="5" t="inlineStr">
        <is>
          <t>Ukur dengan proxy HTTP pada satu perangkat uji selama 20 pesanan nyata</t>
        </is>
      </c>
    </row>
    <row r="25">
      <c r="A25" s="5" t="inlineStr">
        <is>
          <t>[ASUMSI A2] Autocomplete/pesanan</t>
        </is>
      </c>
      <c r="B25" s="5" t="inlineStr">
        <is>
          <t>4,0</t>
        </is>
      </c>
      <c r="C25" s="5" t="inlineStr">
        <is>
          <t>2 – 7</t>
        </is>
      </c>
      <c r="D25" s="5" t="inlineStr">
        <is>
          <t>Besar untuk Google; nol untuk Mapbox (per sesi)</t>
        </is>
      </c>
      <c r="H25" s="5" t="inlineStr">
        <is>
          <t>Instrumentasi analitik pada place-picker.tsx sebelum peluncuran</t>
        </is>
      </c>
    </row>
    <row r="26">
      <c r="A26" s="5" t="inlineStr">
        <is>
          <t>[ASUMSI A3] Reverse geocode/pesanan</t>
        </is>
      </c>
      <c r="B26" s="5" t="inlineStr">
        <is>
          <t>2,5</t>
        </is>
      </c>
      <c r="C26" s="5" t="inlineStr">
        <is>
          <t>1,5 – 5</t>
        </is>
      </c>
      <c r="D26" s="5" t="inlineStr">
        <is>
          <t>Besar untuk Google &amp; Stadia (bobot 20 kredit)</t>
        </is>
      </c>
      <c r="H26" s="5" t="inlineStr">
        <is>
          <t>Hitung moveend per sesi pemilihan lokasi di uji tertutup</t>
        </is>
      </c>
    </row>
    <row r="27">
      <c r="A27" s="5" t="inlineStr">
        <is>
          <t>[ASUMSI A7] Pengali sesi menjelajah</t>
        </is>
      </c>
      <c r="B27" s="5" t="inlineStr">
        <is>
          <t>1,35</t>
        </is>
      </c>
      <c r="C27" s="5" t="inlineStr">
        <is>
          <t>1,1 – 2,0</t>
        </is>
      </c>
      <c r="D27" s="5" t="inlineStr">
        <is>
          <t>Proporsional pada ubin, autocomplete, reverse</t>
        </is>
      </c>
      <c r="H27" s="5" t="inlineStr">
        <is>
          <t>Rasio sesi:pesanan dari analitik aplikasi</t>
        </is>
      </c>
    </row>
    <row r="28">
      <c r="A28" s="5" t="inlineStr">
        <is>
          <t>[ASUMSI] Rasio hit cache geocoding §5.1</t>
        </is>
      </c>
      <c r="B28" s="5" t="inlineStr">
        <is>
          <t>70%</t>
        </is>
      </c>
      <c r="C28" s="5" t="inlineStr">
        <is>
          <t>50% – 85%</t>
        </is>
      </c>
      <c r="D28" s="5" t="inlineStr">
        <is>
          <t>Menentukan besar penghematan, bukan biaya basis</t>
        </is>
      </c>
      <c r="H28" s="5" t="inlineStr">
        <is>
          <t>Ukur setelah satu bulan tabel geocode_cache berjalan</t>
        </is>
      </c>
    </row>
    <row r="29">
      <c r="A29" s="5" t="inlineStr">
        <is>
          <t>[ASUMSI] Tarif routing HERE</t>
        </is>
      </c>
      <c r="B29" s="5" t="inlineStr">
        <is>
          <t>$0,50/1.000</t>
        </is>
      </c>
      <c r="C29" s="5" t="inlineStr">
        <is>
          <t>tidak diketahui</t>
        </is>
      </c>
      <c r="D29" s="5" t="inlineStr">
        <is>
          <t>Hanya memengaruhi peringkat HERE</t>
        </is>
      </c>
      <c r="H29" s="5" t="inlineStr">
        <is>
          <t>Minta penawaran tertulis dari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1"/>
  <sheetViews>
    <sheetView showGridLines="0" workbookViewId="0">
      <pane ySplit="3" topLeftCell="A4" activePane="bottomLeft" state="frozen"/>
      <selection pane="bottomLeft" activeCell="A1" sqref="A1"/>
    </sheetView>
  </sheetViews>
  <sheetFormatPr baseColWidth="8" defaultRowHeight="15"/>
  <cols>
    <col width="10" customWidth="1" min="1" max="1"/>
    <col width="74" customWidth="1" min="2" max="2"/>
    <col width="86" customWidth="1" min="3" max="3"/>
    <col width="20" customWidth="1" min="4" max="4"/>
  </cols>
  <sheetData>
    <row r="1">
      <c r="A1" s="1" t="inlineStr">
        <is>
          <t>Daftar Pustaka — seluruh sumber daring diakses 9 September 2026</t>
        </is>
      </c>
    </row>
    <row r="3">
      <c r="A3" s="4" t="inlineStr">
        <is>
          <t>Kode</t>
        </is>
      </c>
      <c r="B3" s="4" t="inlineStr">
        <is>
          <t>Sumber</t>
        </is>
      </c>
      <c r="C3" s="4" t="inlineStr">
        <is>
          <t>URL</t>
        </is>
      </c>
      <c r="D3" s="4" t="inlineStr">
        <is>
          <t>Tanggal akses</t>
        </is>
      </c>
    </row>
    <row r="4">
      <c r="A4" s="5" t="inlineStr">
        <is>
          <t>[S-01]</t>
        </is>
      </c>
      <c r="B4" s="5" t="inlineStr">
        <is>
          <t>OpenStreetMap Foundation — Tile Usage Policy</t>
        </is>
      </c>
      <c r="C4" s="30" t="inlineStr">
        <is>
          <t>https://operations.osmfoundation.org/policies/tiles/</t>
        </is>
      </c>
      <c r="D4" s="5" t="inlineStr">
        <is>
          <t>9 September 2026</t>
        </is>
      </c>
    </row>
    <row r="5">
      <c r="A5" s="5" t="inlineStr">
        <is>
          <t>[S-02]</t>
        </is>
      </c>
      <c r="B5" s="5" t="inlineStr">
        <is>
          <t>OpenStreetMap Foundation — Nominatim Usage Policy</t>
        </is>
      </c>
      <c r="C5" s="30" t="inlineStr">
        <is>
          <t>https://operations.osmfoundation.org/policies/nominatim/</t>
        </is>
      </c>
      <c r="D5" s="5" t="inlineStr">
        <is>
          <t>9 September 2026</t>
        </is>
      </c>
    </row>
    <row r="6">
      <c r="A6" s="5" t="inlineStr">
        <is>
          <t>[S-03]</t>
        </is>
      </c>
      <c r="B6" s="5" t="inlineStr">
        <is>
          <t>OSM Community Forum — "OSRM Route API rate limit" (pengelola: layanan demo, melarang pemakaian berat)</t>
        </is>
      </c>
      <c r="C6" s="30" t="inlineStr">
        <is>
          <t>https://community.openstreetmap.org/t/osrm-route-api-rate-limit/114082</t>
        </is>
      </c>
      <c r="D6" s="5" t="inlineStr">
        <is>
          <t>9 September 2026</t>
        </is>
      </c>
    </row>
    <row r="7">
      <c r="A7" s="5" t="inlineStr">
        <is>
          <t>[S-04]</t>
        </is>
      </c>
      <c r="B7" s="5" t="inlineStr">
        <is>
          <t>komoot/photon — README, ketentuan API publik</t>
        </is>
      </c>
      <c r="C7" s="30" t="inlineStr">
        <is>
          <t>https://github.com/komoot/photon</t>
        </is>
      </c>
      <c r="D7" s="5" t="inlineStr">
        <is>
          <t>9 September 2026</t>
        </is>
      </c>
    </row>
    <row r="8">
      <c r="A8" s="5" t="inlineStr">
        <is>
          <t>[S-05]</t>
        </is>
      </c>
      <c r="B8" s="5" t="inlineStr">
        <is>
          <t>komoot/photon — Discussion #598 "Business usage of the komoot hosted photon API?"</t>
        </is>
      </c>
      <c r="C8" s="30" t="inlineStr">
        <is>
          <t>https://github.com/komoot/photon/discussions/598</t>
        </is>
      </c>
      <c r="D8" s="5" t="inlineStr">
        <is>
          <t>9 September 2026</t>
        </is>
      </c>
    </row>
    <row r="9">
      <c r="A9" s="5" t="inlineStr">
        <is>
          <t>[S-06]</t>
        </is>
      </c>
      <c r="B9" s="5" t="inlineStr">
        <is>
          <t>高德地图开放平台服务协议 (Perjanjian Layanan Platform Terbuka AMap) — Pasal 4.8, 4.10.6, 8.4, 13.1, 13.2, 14.1, 14.2</t>
        </is>
      </c>
      <c r="C9" s="30" t="inlineStr">
        <is>
          <t>https://lbs.amap.com/pages/terms/</t>
        </is>
      </c>
      <c r="D9" s="5" t="inlineStr">
        <is>
          <t>9 September 2026</t>
        </is>
      </c>
    </row>
    <row r="10">
      <c r="A10" s="5" t="inlineStr">
        <is>
          <t>[S-07]</t>
        </is>
      </c>
      <c r="B10" s="5" t="inlineStr">
        <is>
          <t>高德地图开放平台技术服务使用许可协议 (Perjanjian Lisensi Layanan Teknis AMap)</t>
        </is>
      </c>
      <c r="C10" s="30" t="inlineStr">
        <is>
          <t>https://lbs.amap.com/pages/authorization</t>
        </is>
      </c>
      <c r="D10" s="5" t="inlineStr">
        <is>
          <t>9 September 2026</t>
        </is>
      </c>
    </row>
    <row r="11">
      <c r="A11" s="5" t="inlineStr">
        <is>
          <t>[S-08]</t>
        </is>
      </c>
      <c r="B11" s="5" t="inlineStr">
        <is>
          <t>高德开放平台 — 服务升级 / 定价 (kuota gratis &amp; harga berbayar)</t>
        </is>
      </c>
      <c r="C11" s="30" t="inlineStr">
        <is>
          <t>https://lbs.amap.com/upgrade</t>
        </is>
      </c>
      <c r="D11" s="5" t="inlineStr">
        <is>
          <t>9 September 2026</t>
        </is>
      </c>
    </row>
    <row r="12">
      <c r="A12" s="5" t="inlineStr">
        <is>
          <t>[S-09]</t>
        </is>
      </c>
      <c r="B12" s="5" t="inlineStr">
        <is>
          <t>高德开放平台世界地图正式发布 (pengumuman resmi Peta Dunia AMap)</t>
        </is>
      </c>
      <c r="C12" s="30" t="inlineStr">
        <is>
          <t>https://lbs.amap.com/news/work_map</t>
        </is>
      </c>
      <c r="D12" s="5" t="inlineStr">
        <is>
          <t>9 September 2026</t>
        </is>
      </c>
    </row>
    <row r="13">
      <c r="A13" s="5" t="inlineStr">
        <is>
          <t>[S-10]</t>
        </is>
      </c>
      <c r="B13" s="5" t="inlineStr">
        <is>
          <t>证券时报 (Securities Times) 11 Agu 2025 — 高德开放平台推出全新世界地图服务 (200+ negara, 1,2 juta POI luar negeri)</t>
        </is>
      </c>
      <c r="C13" s="30" t="inlineStr">
        <is>
          <t>https://www.stcn.com/article/detail/3042831.html</t>
        </is>
      </c>
      <c r="D13" s="5" t="inlineStr">
        <is>
          <t>9 September 2026</t>
        </is>
      </c>
    </row>
    <row r="14">
      <c r="A14" s="5" t="inlineStr">
        <is>
          <t>[S-11]</t>
        </is>
      </c>
      <c r="B14" s="5" t="inlineStr">
        <is>
          <t>Google Maps Platform — daftar harga per SKU</t>
        </is>
      </c>
      <c r="C14" s="30" t="inlineStr">
        <is>
          <t>https://developers.google.com/maps/billing-and-pricing/pricing</t>
        </is>
      </c>
      <c r="D14" s="5" t="inlineStr">
        <is>
          <t>9 September 2026</t>
        </is>
      </c>
    </row>
    <row r="15">
      <c r="A15" s="5" t="inlineStr">
        <is>
          <t>[S-12]</t>
        </is>
      </c>
      <c r="B15" s="5" t="inlineStr">
        <is>
          <t>Google Maps Platform — harga &amp; struktur Essentials/Pro/Enterprise; kredit US$200 dihapus 1 Mar 2025</t>
        </is>
      </c>
      <c r="C15" s="30" t="inlineStr">
        <is>
          <t>https://mapsplatform.google.com/pricing/</t>
        </is>
      </c>
      <c r="D15" s="5" t="inlineStr">
        <is>
          <t>9 September 2026</t>
        </is>
      </c>
    </row>
    <row r="16">
      <c r="A16" s="5" t="inlineStr">
        <is>
          <t>[S-13]</t>
        </is>
      </c>
      <c r="B16" s="5" t="inlineStr">
        <is>
          <t>Mapbox — Pricing</t>
        </is>
      </c>
      <c r="C16" s="30" t="inlineStr">
        <is>
          <t>https://www.mapbox.com/pricing</t>
        </is>
      </c>
      <c r="D16" s="5" t="inlineStr">
        <is>
          <t>9 September 2026</t>
        </is>
      </c>
    </row>
    <row r="17">
      <c r="A17" s="5" t="inlineStr">
        <is>
          <t>[S-14]</t>
        </is>
      </c>
      <c r="B17" s="5" t="inlineStr">
        <is>
          <t>MapTiler Cloud — Pricing</t>
        </is>
      </c>
      <c r="C17" s="30" t="inlineStr">
        <is>
          <t>https://www.maptiler.com/cloud/pricing/</t>
        </is>
      </c>
      <c r="D17" s="5" t="inlineStr">
        <is>
          <t>9 September 2026</t>
        </is>
      </c>
    </row>
    <row r="18">
      <c r="A18" s="5" t="inlineStr">
        <is>
          <t>[S-15]</t>
        </is>
      </c>
      <c r="B18" s="5" t="inlineStr">
        <is>
          <t>Placematic — "HERE API Pricing 2026" (Agu 2026). SUMBER PIHAK KETIGA — wajib dikonfirmasi ke HERE</t>
        </is>
      </c>
      <c r="C18" s="30" t="inlineStr">
        <is>
          <t>https://placematic.com/here-location-services/here-pricing/</t>
        </is>
      </c>
      <c r="D18" s="5" t="inlineStr">
        <is>
          <t>9 September 2026</t>
        </is>
      </c>
    </row>
    <row r="19">
      <c r="A19" s="5" t="inlineStr">
        <is>
          <t>[S-16]</t>
        </is>
      </c>
      <c r="B19" s="5" t="inlineStr">
        <is>
          <t>Geoapify — Pricing</t>
        </is>
      </c>
      <c r="C19" s="30" t="inlineStr">
        <is>
          <t>https://www.geoapify.com/pricing/</t>
        </is>
      </c>
      <c r="D19" s="5" t="inlineStr">
        <is>
          <t>9 September 2026</t>
        </is>
      </c>
    </row>
    <row r="20">
      <c r="A20" s="5" t="inlineStr">
        <is>
          <t>[S-17]</t>
        </is>
      </c>
      <c r="B20" s="5" t="inlineStr">
        <is>
          <t>LocationIQ — Pricing</t>
        </is>
      </c>
      <c r="C20" s="30" t="inlineStr">
        <is>
          <t>https://locationiq.com/pricing</t>
        </is>
      </c>
      <c r="D20" s="5" t="inlineStr">
        <is>
          <t>9 September 2026</t>
        </is>
      </c>
    </row>
    <row r="21">
      <c r="A21" s="5" t="inlineStr">
        <is>
          <t>[S-18]</t>
        </is>
      </c>
      <c r="B21" s="5" t="inlineStr">
        <is>
          <t>Stadia Maps — Pricing</t>
        </is>
      </c>
      <c r="C21" s="30" t="inlineStr">
        <is>
          <t>https://stadiamaps.com/pricing/</t>
        </is>
      </c>
      <c r="D21" s="5" t="inlineStr">
        <is>
          <t>9 September 2026</t>
        </is>
      </c>
    </row>
    <row r="22">
      <c r="A22" s="5" t="inlineStr">
        <is>
          <t>[S-19]</t>
        </is>
      </c>
      <c r="B22" s="5" t="inlineStr">
        <is>
          <t>Radar — Pricing (tanpa paket gratis; wajib komitmen tahunan)</t>
        </is>
      </c>
      <c r="C22" s="30" t="inlineStr">
        <is>
          <t>https://radar.com/pricing</t>
        </is>
      </c>
      <c r="D22" s="5" t="inlineStr">
        <is>
          <t>9 September 2026</t>
        </is>
      </c>
    </row>
    <row r="23">
      <c r="A23" s="5" t="inlineStr">
        <is>
          <t>[S-20]</t>
        </is>
      </c>
      <c r="B23" s="5" t="inlineStr">
        <is>
          <t>Geofabrik — ekstrak OSM Indonesia 1,6 GB; Sumatra 269 MB (per 8 Sep 2026)</t>
        </is>
      </c>
      <c r="C23" s="30" t="inlineStr">
        <is>
          <t>https://download.geofabrik.de/asia/indonesia.html</t>
        </is>
      </c>
      <c r="D23" s="5" t="inlineStr">
        <is>
          <t>9 September 2026</t>
        </is>
      </c>
    </row>
    <row r="24">
      <c r="A24" s="5" t="inlineStr">
        <is>
          <t>[S-21]</t>
        </is>
      </c>
      <c r="B24" s="5" t="inlineStr">
        <is>
          <t>Nominatim — Installation / kebutuhan perangkat keras</t>
        </is>
      </c>
      <c r="C24" s="30" t="inlineStr">
        <is>
          <t>https://nominatim.org/release-docs/latest/admin/Installation/</t>
        </is>
      </c>
      <c r="D24" s="5" t="inlineStr">
        <is>
          <t>9 September 2026</t>
        </is>
      </c>
    </row>
    <row r="25">
      <c r="A25" s="5" t="inlineStr">
        <is>
          <t>[S-22]</t>
        </is>
      </c>
      <c r="B25" s="5" t="inlineStr">
        <is>
          <t>Nominatim — Import (flatnode, osm2pgsql-cache, saran ekstrak kecil)</t>
        </is>
      </c>
      <c r="C25" s="30" t="inlineStr">
        <is>
          <t>https://nominatim.org/release-docs/latest/admin/Import/</t>
        </is>
      </c>
      <c r="D25" s="5" t="inlineStr">
        <is>
          <t>9 September 2026</t>
        </is>
      </c>
    </row>
    <row r="26">
      <c r="A26" s="5" t="inlineStr">
        <is>
          <t>[S-23]</t>
        </is>
      </c>
      <c r="B26" s="5" t="inlineStr">
        <is>
          <t>afi.io — Hosting OSRM API di Amazon EC2 (aturan praktis RAM ≈ 5x ukuran pbf)</t>
        </is>
      </c>
      <c r="C26" s="30" t="inlineStr">
        <is>
          <t>https://blog.afi.io/blog/hosting-the-osrm-api-on-amazon-ec2-running-osrm-backend-as-a-web-service/</t>
        </is>
      </c>
      <c r="D26" s="5" t="inlineStr">
        <is>
          <t>9 September 2026</t>
        </is>
      </c>
    </row>
    <row r="27">
      <c r="A27" s="5" t="inlineStr">
        <is>
          <t>[S-24]</t>
        </is>
      </c>
      <c r="B27" s="5" t="inlineStr">
        <is>
          <t>Protomaps — Basemap downloads (planet z0-15 ≈120 GB; pmtiles extract)</t>
        </is>
      </c>
      <c r="C27" s="30" t="inlineStr">
        <is>
          <t>https://docs.protomaps.com/basemaps/downloads</t>
        </is>
      </c>
      <c r="D27" s="5" t="inlineStr">
        <is>
          <t>9 September 2026</t>
        </is>
      </c>
    </row>
    <row r="28">
      <c r="A28" s="5" t="inlineStr">
        <is>
          <t>[S-25]</t>
        </is>
      </c>
      <c r="B28" s="5" t="inlineStr">
        <is>
          <t>Protomaps — PMTiles di cloud storage (HTTP Range, CORS, R2 tanpa biaya bandwidth)</t>
        </is>
      </c>
      <c r="C28" s="30" t="inlineStr">
        <is>
          <t>https://docs.protomaps.com/pmtiles/cloud-storage</t>
        </is>
      </c>
      <c r="D28" s="5" t="inlineStr">
        <is>
          <t>9 September 2026</t>
        </is>
      </c>
    </row>
    <row r="29">
      <c r="A29" s="5" t="inlineStr">
        <is>
          <t>[S-26]</t>
        </is>
      </c>
      <c r="B29" s="5" t="inlineStr">
        <is>
          <t>Cloudflare R2 — Pricing (egress GRATIS; gratis 10 GB / 1 juta Class A / 10 juta Class B per bulan)</t>
        </is>
      </c>
      <c r="C29" s="30" t="inlineStr">
        <is>
          <t>https://developers.cloudflare.com/r2/pricing/</t>
        </is>
      </c>
      <c r="D29" s="5" t="inlineStr">
        <is>
          <t>9 September 2026</t>
        </is>
      </c>
    </row>
    <row r="30">
      <c r="A30" s="5" t="inlineStr">
        <is>
          <t>[S-27]</t>
        </is>
      </c>
      <c r="B30" s="5" t="inlineStr">
        <is>
          <t>Hetzner Docs — Price Adjustment 15 Juni 2026</t>
        </is>
      </c>
      <c r="C30" s="30" t="inlineStr">
        <is>
          <t>https://docs.hetzner.com/general/infrastructure-and-availability/price-adjustment/</t>
        </is>
      </c>
      <c r="D30" s="5" t="inlineStr">
        <is>
          <t>9 September 2026</t>
        </is>
      </c>
    </row>
    <row r="31">
      <c r="A31" s="5" t="inlineStr">
        <is>
          <t>[S-28]</t>
        </is>
      </c>
      <c r="B31" s="5" t="inlineStr">
        <is>
          <t>DigitalOcean — Droplet pricing</t>
        </is>
      </c>
      <c r="C31" s="30" t="inlineStr">
        <is>
          <t>https://www.digitalocean.com/pricing/droplets</t>
        </is>
      </c>
      <c r="D31" s="5" t="inlineStr">
        <is>
          <t>9 September 2026</t>
        </is>
      </c>
    </row>
    <row r="32">
      <c r="A32" s="5" t="inlineStr">
        <is>
          <t>[S-29]</t>
        </is>
      </c>
      <c r="B32" s="5" t="inlineStr">
        <is>
          <t>Biznet Gio — NEO Lite (harga Rupiah, Jakarta)</t>
        </is>
      </c>
      <c r="C32" s="30" t="inlineStr">
        <is>
          <t>https://www.biznetgio.com/product/neo-lite</t>
        </is>
      </c>
      <c r="D32" s="5" t="inlineStr">
        <is>
          <t>9 September 2026</t>
        </is>
      </c>
    </row>
    <row r="33">
      <c r="A33" s="5" t="inlineStr">
        <is>
          <t>[S-30]</t>
        </is>
      </c>
      <c r="B33" s="5" t="inlineStr">
        <is>
          <t>Bank Indonesia — Kurs Transaksi BI 9 Sep 2026 (USD 17.706,09/17.529,91; EUR 20.563,85/20.355,73; CNY 2.638,56/2.612,04)</t>
        </is>
      </c>
      <c r="C33" s="30" t="inlineStr">
        <is>
          <t>https://www.bi.go.id/id/statistik/informasi-kurs/transaksi-bi/default.aspx</t>
        </is>
      </c>
      <c r="D33" s="5" t="inlineStr">
        <is>
          <t>9 September 2026</t>
        </is>
      </c>
    </row>
    <row r="34">
      <c r="A34" s="5" t="inlineStr">
        <is>
          <t>[S-31]</t>
        </is>
      </c>
      <c r="B34" s="5" t="inlineStr">
        <is>
          <t>Ortax — Ketentuan terbaru PPN PMSE (PER-12/2025: 12% x DPP nilai lain 11/12 = 11% efektif)</t>
        </is>
      </c>
      <c r="C34" s="30" t="inlineStr">
        <is>
          <t>https://ortax.org/simak-ketentuan-terbaru-ppn-pmse</t>
        </is>
      </c>
      <c r="D34" s="5" t="inlineStr">
        <is>
          <t>9 September 2026</t>
        </is>
      </c>
    </row>
    <row r="35">
      <c r="A35" s="5" t="inlineStr">
        <is>
          <t>[S-32]</t>
        </is>
      </c>
      <c r="B35" s="5" t="inlineStr">
        <is>
          <t>Hukumonline Klinik 4 Nov 2025 — Aturan &amp; Risiko Transfer Data Pribadi Antarnegara (Pasal 56 ayat 2-4 UU 27/2022)</t>
        </is>
      </c>
      <c r="C35" s="30" t="inlineStr">
        <is>
          <t>https://www.hukumonline.com/klinik/a/aturan-dan-risiko-transfer-data-pribadi-antarnegara-lt690aac9c5fd49/</t>
        </is>
      </c>
      <c r="D35" s="5" t="inlineStr">
        <is>
          <t>9 September 2026</t>
        </is>
      </c>
    </row>
    <row r="36">
      <c r="A36" s="5" t="inlineStr">
        <is>
          <t>[S-33]</t>
        </is>
      </c>
      <c r="B36" s="5" t="inlineStr">
        <is>
          <t>JDIH Komdigi — UU No. 27 Tahun 2022 tentang Pelindungan Data Pribadi</t>
        </is>
      </c>
      <c r="C36" s="30" t="inlineStr">
        <is>
          <t>https://jdih.komdigi.go.id/produk_hukum/view/id/832/t/undangundang+nomor+27+tahun+2022</t>
        </is>
      </c>
      <c r="D36" s="5" t="inlineStr">
        <is>
          <t>9 September 2026</t>
        </is>
      </c>
    </row>
    <row r="37">
      <c r="A37" s="5" t="inlineStr">
        <is>
          <t>[S-34]</t>
        </is>
      </c>
      <c r="B37" s="5" t="inlineStr">
        <is>
          <t>Hetzner Cloud — lokasi pusat data (Singapura tersedia sejak 2024)</t>
        </is>
      </c>
      <c r="C37" s="30" t="inlineStr">
        <is>
          <t>https://www.hetzner.com/cloud/</t>
        </is>
      </c>
      <c r="D37" s="5" t="inlineStr">
        <is>
          <t>9 September 2026</t>
        </is>
      </c>
    </row>
    <row r="38">
      <c r="A38" s="5" t="inlineStr">
        <is>
          <t>[S-35]</t>
        </is>
      </c>
      <c r="B38" s="5" t="inlineStr">
        <is>
          <t>CostGoat — snapshot harga Hetzner Cloud 5 Sep 2026 termasuk surcharge Singapura (agregator pihak ketiga)</t>
        </is>
      </c>
      <c r="C38" s="30" t="inlineStr">
        <is>
          <t>https://costgoat.com/pricing/hetzner</t>
        </is>
      </c>
      <c r="D38" s="5" t="inlineStr">
        <is>
          <t>9 September 2026</t>
        </is>
      </c>
    </row>
    <row r="39">
      <c r="A39" s="5" t="inlineStr">
        <is>
          <t>[S-36]</t>
        </is>
      </c>
      <c r="B39" s="5" t="inlineStr">
        <is>
          <t>Perkumpulan OpenStreetMap Indonesia — kolaborasi HOT-Meta pemetaan jaringan jalan (TANPA data provinsi/kelengkapan)</t>
        </is>
      </c>
      <c r="C39" s="30" t="inlineStr">
        <is>
          <t>https://openstreetmap.or.id/komunitas-osm-lokal-dan-facebook-berkolaborasi-meningkatkan-cakupan-peta-jaringan-jalan-di-indonesia/</t>
        </is>
      </c>
      <c r="D39" s="5" t="inlineStr">
        <is>
          <t>9 September 2026</t>
        </is>
      </c>
    </row>
    <row r="42">
      <c r="A42" s="3" t="inlineStr">
        <is>
          <t>RUJUKAN INTERNAL [INT]</t>
        </is>
      </c>
    </row>
    <row r="43">
      <c r="B43" s="5" t="inlineStr">
        <is>
          <t>src/lib/geo.ts</t>
        </is>
      </c>
    </row>
    <row r="44">
      <c r="B44" s="5" t="inlineStr">
        <is>
          <t>src/components/map/shared.ts</t>
        </is>
      </c>
    </row>
    <row r="45">
      <c r="B45" s="5" t="inlineStr">
        <is>
          <t>src/components/map/MapView.tsx</t>
        </is>
      </c>
    </row>
    <row r="46">
      <c r="B46" s="5" t="inlineStr">
        <is>
          <t>src/components/map/MapView.web.tsx</t>
        </is>
      </c>
    </row>
    <row r="47">
      <c r="B47" s="5" t="inlineStr">
        <is>
          <t>src/screens/place-picker.tsx</t>
        </is>
      </c>
    </row>
    <row r="48">
      <c r="B48" s="5" t="inlineStr">
        <is>
          <t>src/screens/ride/index.tsx</t>
        </is>
      </c>
    </row>
    <row r="49">
      <c r="B49" s="5" t="inlineStr">
        <is>
          <t>src/screens/order/detail.tsx</t>
        </is>
      </c>
    </row>
    <row r="50">
      <c r="B50" s="5" t="inlineStr">
        <is>
          <t>src/screens/driver/order.tsx</t>
        </is>
      </c>
    </row>
    <row r="51">
      <c r="B51" s="5" t="inlineStr">
        <is>
          <t>src/components/BookingExtras.tsx</t>
        </is>
      </c>
    </row>
    <row r="52">
      <c r="B52" s="5" t="inlineStr">
        <is>
          <t>src/hooks/useOrder.ts</t>
        </is>
      </c>
    </row>
    <row r="53">
      <c r="B53" s="5" t="inlineStr">
        <is>
          <t>src/hooks/useDriver.ts</t>
        </is>
      </c>
    </row>
    <row r="54">
      <c r="B54" s="5" t="inlineStr">
        <is>
          <t>src/hooks/useLocation.ts</t>
        </is>
      </c>
    </row>
    <row r="55">
      <c r="B55" s="5" t="inlineStr">
        <is>
          <t>supabase/migrations/0001_schema.sql</t>
        </is>
      </c>
    </row>
    <row r="56">
      <c r="B56" s="5" t="inlineStr">
        <is>
          <t>supabase/migrations/0002_functions_rls.sql</t>
        </is>
      </c>
    </row>
    <row r="57">
      <c r="B57" s="5" t="inlineStr">
        <is>
          <t>supabase/migrations/0007_phase4.sql</t>
        </is>
      </c>
    </row>
    <row r="58">
      <c r="B58" s="5" t="inlineStr">
        <is>
          <t>supabase/migrations/0021_tahap8_batas_jarak_impor_tempat_toggle_layanan.sql</t>
        </is>
      </c>
    </row>
    <row r="59">
      <c r="B59" s="5" t="inlineStr">
        <is>
          <t>supabase/migrations/0031_batas_komisi_perpres_27_2026.sql</t>
        </is>
      </c>
    </row>
    <row r="60">
      <c r="B60" s="5" t="inlineStr">
        <is>
          <t>docs/investor/CATATAN-SUMBER-DECK.md</t>
        </is>
      </c>
    </row>
    <row r="61">
      <c r="B61" s="5" t="inlineStr">
        <is>
          <t>docs/organisasi/AntarKita-Model-Biaya-SDM.xlsx</t>
        </is>
      </c>
    </row>
    <row r="62">
      <c r="B62" s="5" t="inlineStr">
        <is>
          <t>docs/organisasi/DESAIN-ORGANISASI.md</t>
        </is>
      </c>
    </row>
    <row r="65">
      <c r="A65" s="3" t="inlineStr">
        <is>
          <t>KETERBATASAN MODEL INI</t>
        </is>
      </c>
    </row>
    <row r="66" ht="30" customHeight="1">
      <c r="B66" s="26" t="inlineStr">
        <is>
          <t>1. Kualitas data untuk Pekanbaru &amp; Padang TIDAK diverifikasi. Tidak ditemukan sumber kredibel yang mengukurnya. Jalankan uji lapangan 60 alamat (§6.3 dokumen riset) sebelum menandatangani kontrak.</t>
        </is>
      </c>
    </row>
    <row r="67" ht="30" customHeight="1">
      <c r="B67" s="26" t="inlineStr">
        <is>
          <t>2. Harga HERE bersumber dari agregator pihak ketiga [S-15]; tarif routing HERE adalah [ASUMSI] penyusun.</t>
        </is>
      </c>
    </row>
    <row r="68" ht="30" customHeight="1">
      <c r="B68" s="26" t="inlineStr">
        <is>
          <t>3. Harga Peta Dunia AMap tidak dipublikasikan; perhitungan Rp186/pesanan bersifat hipotetis dan MOOT karena Pasal 14.1 [S-06] melarang pemakaiannya.</t>
        </is>
      </c>
    </row>
    <row r="69" ht="30" customHeight="1">
      <c r="B69" s="26" t="inlineStr">
        <is>
          <t>4. Klaim "unlimited map API requests" LocationIQ Startup [S-17] belum dikonfirmasi tertulis.</t>
        </is>
      </c>
    </row>
    <row r="70" ht="30" customHeight="1">
      <c r="B70" s="26" t="inlineStr">
        <is>
          <t>5. Ukuran PMTiles Indonesia &amp; Riau+Sumbar adalah [ASUMSI]; verifikasi dengan menjalankan pmtiles extract (gratis, ±1 jam).</t>
        </is>
      </c>
    </row>
    <row r="71" ht="30" customHeight="1">
      <c r="B71" s="26" t="inlineStr">
        <is>
          <t>6. Seluruh volume pesanan adalah [ASUMSI] penyusun — tidak ada angka pesanan/hari di dokumen bisnis AntarKita mana pun. Ubah lembar "Asumsi Volume" baris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2026-09-09T15:53:48Z</dcterms:created>
  <dcterms:modified xmlns:dcterms="http://purl.org/dc/terms/" xmlns:xsi="http://www.w3.org/2001/XMLSchema-instance" xsi:type="dcterms:W3CDTF">2026-09-09T15:53:48Z</dcterms:modified>
</cp:coreProperties>
</file>